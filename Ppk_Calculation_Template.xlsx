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k 分析報告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<sst xmlns="http://schemas.openxmlformats.org/spreadsheetml/2006/main" count="24" uniqueCount="24">
  <si>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製程能力分析報告 (Ppk Analysis)</t>
  </si>
  <si>
    <t>規格設定 (Specification)</t>
  </si>
  <si>
    <t>上限 (USL)</t>
  </si>
  <si>
    <t>目標 (Target)</t>
  </si>
  <si>
    <t>下限 (LSL)</t>
  </si>
  <si>
    <t>統計結果 (Results)</t>
  </si>
  <si>
    <t>樣本數 (n)</t>
  </si>
  <si>
    <t>平均值 (Mean)</t>
  </si>
  <si>
    <t>標準差 (StdDev - s)</t>
  </si>
  <si>
    <t>最大值 (Max)</t>
  </si>
  <si>
    <t>最小值 (Min)</t>
  </si>
  <si>
    <t>全距 (Range)</t>
  </si>
  <si>
    <t>Ppu (Upper)</t>
  </si>
  <si>
    <t>Ppl (Lower)</t>
  </si>
  <si>
    <t>Ppk</t>
  </si>
  <si>
    <t>測量數據 (Data)</t>
  </si>
  <si>
    <t>公式參考 (Formulas):</t>
  </si>
  <si>
    <t>Ppu = (USL - Average) / (3 * StdDev)</t>
  </si>
  <si>
    <t>Ppl = (Average - LSL) / (3 * StdDev)</t>
  </si>
  <si>
    <t>Ppk = Min(Ppu, Ppl)</t>
  </si>
  <si>
    <t>註: StdDev 使用樣本標準差 (STDEV.S)</t>
  </si>
  <si>
    <t>直方圖數據區</t>
  </si>
  <si>
    <t>Bin (上限)</t>
  </si>
  <si>
    <t>頻率 (Freq)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</si>
</sst>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製程能力直方圖 (Histogram)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數據分佈</c:v>
          </c:tx>
          <c:spPr>
            <a:solidFill>
              <a:srgbClr val="4F81BD"/>
            </a:solidFill>
            <a:ln>
              <a:solidFill>
                <a:srgbClr val="FFFFFF"/>
              </a:solidFill>
            </a:ln>
          </c:spPr>
          <c:cat>
            <c:numRef>
              <c:f>'Ppk 分析報告'!$H$6:$H$18</c:f>
              <c:numCache>
                <c:formatCode>General</c:formatCode>
                <c:ptCount val="13"/>
                <c:pt idx="0">
                  <c:v>9.4</c:v>
                </c:pt>
                <c:pt idx="1">
                  <c:v>9.5</c:v>
                </c:pt>
                <c:pt idx="2">
                  <c:v>9.6</c:v>
                </c:pt>
                <c:pt idx="3">
                  <c:v>9.699999999999999</c:v>
                </c:pt>
                <c:pt idx="4">
                  <c:v>9.800000000000001</c:v>
                </c:pt>
                <c:pt idx="5">
                  <c:v>9.9</c:v>
                </c:pt>
                <c:pt idx="6">
                  <c:v>10</c:v>
                </c:pt>
                <c:pt idx="7">
                  <c:v>10.1</c:v>
                </c:pt>
                <c:pt idx="8">
                  <c:v>10.2</c:v>
                </c:pt>
                <c:pt idx="9">
                  <c:v>10.3</c:v>
                </c:pt>
                <c:pt idx="10">
                  <c:v>10.4</c:v>
                </c:pt>
                <c:pt idx="11">
                  <c:v>10.5</c:v>
                </c:pt>
                <c:pt idx="12">
                  <c:v>10.6</c:v>
                </c:pt>
              </c:numCache>
            </c:numRef>
          </c:cat>
          <c:val>
            <c:numRef>
              <c:f>'Ppk 分析報告'!$I$6:$I$18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測量值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頻率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15</xdr:row>
      <xdr:rowOff>95250</xdr:rowOff>
    </xdr:from>
    <xdr:to>
      <xdr:col>8</xdr:col>
      <xdr:colOff>581025</xdr:colOff>
      <xdr:row>29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19"/>
  <sheetViews>
    <sheetView tabSelected="1" workbookViewId="0"/>
  </sheetViews>
  <sheetFormatPr defaultRowHeight="15"/>
  <cols>
    <col min="1" max="1" width="5.7109375" customWidth="1"/>
    <col min="2" max="4" width="15.7109375" customWidth="1"/>
    <col min="5" max="5" width="20.7109375" customWidth="1"/>
    <col min="6" max="7" width="15.7109375" customWidth="1"/>
  </cols>
  <sheetData>
    <row r="2" spans="2:9">
      <c r="B2" s="1" t="s">
        <v>0</v>
      </c>
    </row>
    <row r="4" spans="2:9">
      <c r="B4" s="2" t="s">
        <v>1</v>
      </c>
      <c r="E4" s="2" t="s">
        <v>5</v>
      </c>
      <c r="H4" s="3" t="s">
        <v>21</v>
      </c>
    </row>
    <row r="5" spans="2:9">
      <c r="B5" s="2" t="s">
        <v>2</v>
      </c>
      <c r="C5" s="4">
        <v>10.5</v>
      </c>
      <c r="E5" s="2" t="s">
        <v>6</v>
      </c>
      <c r="F5" s="5">
        <f>COUNT(B14:B113)</f>
        <v>0</v>
      </c>
      <c r="H5" s="2" t="s">
        <v>22</v>
      </c>
      <c r="I5" s="2" t="s">
        <v>23</v>
      </c>
    </row>
    <row r="6" spans="2:9">
      <c r="B6" s="2" t="s">
        <v>3</v>
      </c>
      <c r="C6" s="4">
        <v>10</v>
      </c>
      <c r="E6" s="2" t="s">
        <v>7</v>
      </c>
      <c r="F6" s="5">
        <f>AVERAGE(B14:B113)</f>
        <v>0</v>
      </c>
      <c r="H6" s="4">
        <v>9.4</v>
      </c>
      <c r="I6" s="5">
        <f>COUNTIF(B14:B113, "&lt;="&amp;H6)</f>
        <v>0</v>
      </c>
    </row>
    <row r="7" spans="2:9">
      <c r="B7" s="2" t="s">
        <v>4</v>
      </c>
      <c r="C7" s="4">
        <v>9.5</v>
      </c>
      <c r="E7" s="2" t="s">
        <v>8</v>
      </c>
      <c r="F7" s="5">
        <f>STDEV.S(B14:B113)</f>
        <v>0</v>
      </c>
      <c r="H7" s="4">
        <v>9.5</v>
      </c>
      <c r="I7" s="5">
        <f>COUNTIFS(B14:B113, "&gt;"&amp;H6, B14:B113, "&lt;="&amp;H7)</f>
        <v>0</v>
      </c>
    </row>
    <row r="8" spans="2:9">
      <c r="E8" s="2" t="s">
        <v>9</v>
      </c>
      <c r="F8" s="5">
        <f>MAX(B14:B113)</f>
        <v>0</v>
      </c>
      <c r="H8" s="4">
        <v>9.6</v>
      </c>
      <c r="I8" s="5">
        <f>COUNTIFS(B14:B113, "&gt;"&amp;H7, B14:B113, "&lt;="&amp;H8)</f>
        <v>0</v>
      </c>
    </row>
    <row r="9" spans="2:9">
      <c r="E9" s="2" t="s">
        <v>10</v>
      </c>
      <c r="F9" s="5">
        <f>MIN(B14:B113)</f>
        <v>0</v>
      </c>
      <c r="H9" s="4">
        <v>9.699999999999999</v>
      </c>
      <c r="I9" s="5">
        <f>COUNTIFS(B14:B113, "&gt;"&amp;H8, B14:B113, "&lt;="&amp;H9)</f>
        <v>0</v>
      </c>
    </row>
    <row r="10" spans="2:9">
      <c r="E10" s="2" t="s">
        <v>11</v>
      </c>
      <c r="F10" s="5">
        <f>F8-F9</f>
        <v>0</v>
      </c>
      <c r="H10" s="4">
        <v>9.800000000000001</v>
      </c>
      <c r="I10" s="5">
        <f>COUNTIFS(B14:B113, "&gt;"&amp;H9, B14:B113, "&lt;="&amp;H10)</f>
        <v>0</v>
      </c>
    </row>
    <row r="11" spans="2:9">
      <c r="H11" s="4">
        <v>9.9</v>
      </c>
      <c r="I11" s="5">
        <f>COUNTIFS(B14:B113, "&gt;"&amp;H10, B14:B113, "&lt;="&amp;H11)</f>
        <v>0</v>
      </c>
    </row>
    <row r="12" spans="2:9">
      <c r="E12" s="2" t="s">
        <v>12</v>
      </c>
      <c r="F12" s="5">
        <f>(C5-F6)/(3*F7)</f>
        <v>0</v>
      </c>
      <c r="H12" s="4">
        <v>10</v>
      </c>
      <c r="I12" s="5">
        <f>COUNTIFS(B14:B113, "&gt;"&amp;H11, B14:B113, "&lt;="&amp;H12)</f>
        <v>0</v>
      </c>
    </row>
    <row r="13" spans="2:9">
      <c r="B13" s="3" t="s">
        <v>15</v>
      </c>
      <c r="E13" s="2" t="s">
        <v>13</v>
      </c>
      <c r="F13" s="5">
        <f>(F6-C7)/(3*F7)</f>
        <v>0</v>
      </c>
      <c r="H13" s="4">
        <v>10.1</v>
      </c>
      <c r="I13" s="5">
        <f>COUNTIFS(B14:B113, "&gt;"&amp;H12, B14:B113, "&lt;="&amp;H13)</f>
        <v>0</v>
      </c>
    </row>
    <row r="14" spans="2:9">
      <c r="B14" s="4">
        <v>10.095</v>
      </c>
      <c r="E14" s="2" t="s">
        <v>14</v>
      </c>
      <c r="F14" s="6">
        <f>MIN(F12,F13)</f>
        <v>0</v>
      </c>
      <c r="H14" s="4">
        <v>10.2</v>
      </c>
      <c r="I14" s="5">
        <f>COUNTIFS(B14:B113, "&gt;"&amp;H13, B14:B113, "&lt;="&amp;H14)</f>
        <v>0</v>
      </c>
    </row>
    <row r="15" spans="2:9">
      <c r="B15" s="4">
        <v>9.999000000000001</v>
      </c>
      <c r="H15" s="4">
        <v>10.3</v>
      </c>
      <c r="I15" s="5">
        <f>COUNTIFS(B14:B113, "&gt;"&amp;H14, B14:B113, "&lt;="&amp;H15)</f>
        <v>0</v>
      </c>
    </row>
    <row r="16" spans="2:9">
      <c r="B16" s="4">
        <v>10.117</v>
      </c>
      <c r="H16" s="4">
        <v>10.4</v>
      </c>
      <c r="I16" s="5">
        <f>COUNTIFS(B14:B113, "&gt;"&amp;H15, B14:B113, "&lt;="&amp;H16)</f>
        <v>0</v>
      </c>
    </row>
    <row r="17" spans="2:9">
      <c r="B17" s="4">
        <v>10.248</v>
      </c>
      <c r="H17" s="4">
        <v>10.5</v>
      </c>
      <c r="I17" s="5">
        <f>COUNTIFS(B14:B113, "&gt;"&amp;H16, B14:B113, "&lt;="&amp;H17)</f>
        <v>0</v>
      </c>
    </row>
    <row r="18" spans="2:9">
      <c r="B18" s="4">
        <v>9.984999999999999</v>
      </c>
      <c r="H18" s="4">
        <v>10.6</v>
      </c>
      <c r="I18" s="5">
        <f>COUNTIFS(B14:B113, "&gt;"&amp;H17, B14:B113, "&lt;="&amp;H18)</f>
        <v>0</v>
      </c>
    </row>
    <row r="19" spans="2:9">
      <c r="B19" s="4">
        <v>9.984999999999999</v>
      </c>
    </row>
    <row r="20" spans="2:9">
      <c r="B20" s="4">
        <v>10.257</v>
      </c>
    </row>
    <row r="21" spans="2:9">
      <c r="B21" s="4">
        <v>10.135</v>
      </c>
    </row>
    <row r="22" spans="2:9">
      <c r="B22" s="4">
        <v>9.949999999999999</v>
      </c>
    </row>
    <row r="23" spans="2:9">
      <c r="B23" s="4">
        <v>10.101</v>
      </c>
    </row>
    <row r="24" spans="2:9">
      <c r="B24" s="4">
        <v>9.949999999999999</v>
      </c>
    </row>
    <row r="25" spans="2:9">
      <c r="B25" s="4">
        <v>9.949999999999999</v>
      </c>
    </row>
    <row r="26" spans="2:9">
      <c r="B26" s="4">
        <v>10.056</v>
      </c>
    </row>
    <row r="27" spans="2:9">
      <c r="B27" s="4">
        <v>9.733000000000001</v>
      </c>
    </row>
    <row r="28" spans="2:9">
      <c r="B28" s="4">
        <v>9.760999999999999</v>
      </c>
    </row>
    <row r="29" spans="2:9">
      <c r="B29" s="4">
        <v>9.936</v>
      </c>
    </row>
    <row r="30" spans="2:9">
      <c r="B30" s="4">
        <v>9.868</v>
      </c>
    </row>
    <row r="31" spans="2:9">
      <c r="B31" s="4">
        <v>10.067</v>
      </c>
    </row>
    <row r="32" spans="2:9">
      <c r="B32" s="4">
        <v>9.884</v>
      </c>
    </row>
    <row r="33" spans="2:2">
      <c r="B33" s="4">
        <v>9.808</v>
      </c>
    </row>
    <row r="34" spans="2:2">
      <c r="B34" s="4">
        <v>10.24</v>
      </c>
    </row>
    <row r="35" spans="2:2">
      <c r="B35" s="4">
        <v>9.986000000000001</v>
      </c>
    </row>
    <row r="36" spans="2:2">
      <c r="B36" s="4">
        <v>10.03</v>
      </c>
    </row>
    <row r="37" spans="2:2">
      <c r="B37" s="4">
        <v>9.805999999999999</v>
      </c>
    </row>
    <row r="38" spans="2:2">
      <c r="B38" s="4">
        <v>9.938000000000001</v>
      </c>
    </row>
    <row r="39" spans="2:2">
      <c r="B39" s="4">
        <v>10.037</v>
      </c>
    </row>
    <row r="40" spans="2:2">
      <c r="B40" s="4">
        <v>9.847</v>
      </c>
    </row>
    <row r="41" spans="2:2">
      <c r="B41" s="4">
        <v>10.076</v>
      </c>
    </row>
    <row r="42" spans="2:2">
      <c r="B42" s="4">
        <v>9.93</v>
      </c>
    </row>
    <row r="43" spans="2:2">
      <c r="B43" s="4">
        <v>9.976000000000001</v>
      </c>
    </row>
    <row r="44" spans="2:2">
      <c r="B44" s="4">
        <v>9.93</v>
      </c>
    </row>
    <row r="45" spans="2:2">
      <c r="B45" s="4">
        <v>10.298</v>
      </c>
    </row>
    <row r="46" spans="2:2">
      <c r="B46" s="4">
        <v>10.018</v>
      </c>
    </row>
    <row r="47" spans="2:2">
      <c r="B47" s="4">
        <v>9.861000000000001</v>
      </c>
    </row>
    <row r="48" spans="2:2">
      <c r="B48" s="4">
        <v>10.143</v>
      </c>
    </row>
    <row r="49" spans="2:2">
      <c r="B49" s="4">
        <v>9.837</v>
      </c>
    </row>
    <row r="50" spans="2:2">
      <c r="B50" s="4">
        <v>10.051</v>
      </c>
    </row>
    <row r="51" spans="2:2">
      <c r="B51" s="4">
        <v>9.726000000000001</v>
      </c>
    </row>
    <row r="52" spans="2:2">
      <c r="B52" s="4">
        <v>9.821</v>
      </c>
    </row>
    <row r="53" spans="2:2">
      <c r="B53" s="4">
        <v>10.05</v>
      </c>
    </row>
    <row r="54" spans="2:2">
      <c r="B54" s="4">
        <v>10.131</v>
      </c>
    </row>
    <row r="55" spans="2:2">
      <c r="B55" s="4">
        <v>10.046</v>
      </c>
    </row>
    <row r="56" spans="2:2">
      <c r="B56" s="4">
        <v>10.003</v>
      </c>
    </row>
    <row r="57" spans="2:2">
      <c r="B57" s="4">
        <v>9.975</v>
      </c>
    </row>
    <row r="58" spans="2:2">
      <c r="B58" s="4">
        <v>9.798</v>
      </c>
    </row>
    <row r="59" spans="2:2">
      <c r="B59" s="4">
        <v>9.912000000000001</v>
      </c>
    </row>
    <row r="60" spans="2:2">
      <c r="B60" s="4">
        <v>9.951000000000001</v>
      </c>
    </row>
    <row r="61" spans="2:2">
      <c r="B61" s="4">
        <v>10.179</v>
      </c>
    </row>
    <row r="62" spans="2:2">
      <c r="B62" s="4">
        <v>10.072</v>
      </c>
    </row>
    <row r="63" spans="2:2">
      <c r="B63" s="4">
        <v>9.756</v>
      </c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5" spans="2:2">
      <c r="B115" s="2" t="s">
        <v>16</v>
      </c>
    </row>
    <row r="116" spans="2:2">
      <c r="B116" s="7" t="s">
        <v>17</v>
      </c>
    </row>
    <row r="117" spans="2:2">
      <c r="B117" s="7" t="s">
        <v>18</v>
      </c>
    </row>
    <row r="118" spans="2:2">
      <c r="B118" s="7" t="s">
        <v>19</v>
      </c>
    </row>
    <row r="119" spans="2:2">
      <c r="B119" s="7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Ppk 分析報告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2026-04-13T14:59:02Z</dcterms:created>
  <dcterms:modified xsi:type="dcterms:W3CDTF">2026-04-13T14:59:02Z</dcterms:modified>
</cp:coreProperties>
</file>