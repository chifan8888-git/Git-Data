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6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說明" sheetId="1" state="visible" r:id="rId3"/>
    <sheet name="01_輸入值來源" sheetId="2" state="visible" r:id="rId4"/>
    <sheet name="10_風險矩陣_評分規則" sheetId="3" state="visible" r:id="rId5"/>
    <sheet name="11_風險矩陣_逐案計算" sheetId="4" state="visible" r:id="rId6"/>
    <sheet name="12_風險矩陣_5x5統計" sheetId="5" state="visible" r:id="rId7"/>
    <sheet name="20_人力負荷_計算規則" sheetId="6" state="visible" r:id="rId8"/>
    <sheet name="21_人力負荷_逐人明細" sheetId="7" state="visible" r:id="rId9"/>
    <sheet name="22_人力負荷_處級彙總" sheetId="8" state="visible" r:id="rId10"/>
    <sheet name="23_未排入專案人員" sheetId="9" state="visible" r:id="rId11"/>
    <sheet name="30_異常專案_判定規則" sheetId="10" state="visible" r:id="rId12"/>
    <sheet name="31_異常專案_逐案判定" sheetId="11" state="visible" r:id="rId13"/>
    <sheet name="40_欄位溯源與FineBI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PLM014.xlsx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A </t>
        </r>
        <r>
          <rPr>
            <sz val="10"/>
            <rFont val="Noto Sans CJK SC"/>
            <family val="2"/>
          </rPr>
          <t xml:space="preserve">欄「專案類別」，取首字元（</t>
        </r>
        <r>
          <rPr>
            <sz val="10"/>
            <rFont val="Arial"/>
            <family val="2"/>
          </rPr>
          <t xml:space="preserve">K/D/M/E/G</t>
        </r>
        <r>
          <rPr>
            <sz val="10"/>
            <rFont val="Noto Sans CJK SC"/>
            <family val="2"/>
          </rPr>
          <t xml:space="preserve">）。</t>
        </r>
      </text>
    </comment>
    <comment ref="F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PLM014.xlsx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I </t>
        </r>
        <r>
          <rPr>
            <sz val="10"/>
            <rFont val="Noto Sans CJK SC"/>
            <family val="2"/>
          </rPr>
          <t xml:space="preserve">欄「預計完成日」。
逾期天數 </t>
        </r>
        <r>
          <rPr>
            <sz val="10"/>
            <rFont val="Arial"/>
            <family val="2"/>
          </rPr>
          <t xml:space="preserve">= MAX(0, </t>
        </r>
        <r>
          <rPr>
            <sz val="10"/>
            <rFont val="Noto Sans CJK SC"/>
            <family val="2"/>
          </rPr>
          <t xml:space="preserve">參考日 </t>
        </r>
        <r>
          <rPr>
            <sz val="10"/>
            <rFont val="Arial"/>
            <family val="2"/>
          </rPr>
          <t xml:space="preserve">2026-08-14 − I </t>
        </r>
        <r>
          <rPr>
            <sz val="10"/>
            <rFont val="Noto Sans CJK SC"/>
            <family val="2"/>
          </rPr>
          <t xml:space="preserve">欄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</text>
    </comment>
    <comment ref="G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PLM014.xlsx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Q / J / L </t>
        </r>
        <r>
          <rPr>
            <sz val="10"/>
            <rFont val="Noto Sans CJK SC"/>
            <family val="2"/>
          </rPr>
          <t xml:space="preserve">欄。
</t>
        </r>
        <r>
          <rPr>
            <sz val="10"/>
            <rFont val="Arial"/>
            <family val="2"/>
          </rPr>
          <t xml:space="preserve">SPI = Q </t>
        </r>
        <r>
          <rPr>
            <sz val="10"/>
            <rFont val="Noto Sans CJK SC"/>
            <family val="2"/>
          </rPr>
          <t xml:space="preserve">專案總進度 </t>
        </r>
        <r>
          <rPr>
            <sz val="10"/>
            <rFont val="Arial"/>
            <family val="2"/>
          </rPr>
          <t xml:space="preserve">÷ (</t>
        </r>
        <r>
          <rPr>
            <sz val="10"/>
            <rFont val="Noto Sans CJK SC"/>
            <family val="2"/>
          </rPr>
          <t xml:space="preserve">已耗工作日 </t>
        </r>
        <r>
          <rPr>
            <sz val="10"/>
            <rFont val="Arial"/>
            <family val="2"/>
          </rPr>
          <t xml:space="preserve">÷ J </t>
        </r>
        <r>
          <rPr>
            <sz val="10"/>
            <rFont val="Noto Sans CJK SC"/>
            <family val="2"/>
          </rPr>
          <t xml:space="preserve">預計專案周期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
已耗工作日由 </t>
        </r>
        <r>
          <rPr>
            <sz val="10"/>
            <rFont val="Arial"/>
            <family val="2"/>
          </rPr>
          <t xml:space="preserve">L </t>
        </r>
        <r>
          <rPr>
            <sz val="10"/>
            <rFont val="Noto Sans CJK SC"/>
            <family val="2"/>
          </rPr>
          <t xml:space="preserve">任務實際開始日算至參考日（週一至週五）。</t>
        </r>
      </text>
    </comment>
    <comment ref="H4" authorId="0">
      <text>
        <r>
          <rPr>
            <sz val="10"/>
            <rFont val="Noto Sans CJK SC"/>
            <family val="2"/>
          </rPr>
          <t xml:space="preserve">來源：專案進度表</t>
        </r>
        <r>
          <rPr>
            <sz val="10"/>
            <rFont val="Arial"/>
            <family val="2"/>
          </rPr>
          <t xml:space="preserve">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S </t>
        </r>
        <r>
          <rPr>
            <sz val="10"/>
            <rFont val="Noto Sans CJK SC"/>
            <family val="2"/>
          </rPr>
          <t xml:space="preserve">欄「專案是否異常」，文字含「即將異常」→ 是。</t>
        </r>
      </text>
    </comment>
    <comment ref="I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(2026.7</t>
        </r>
        <r>
          <rPr>
            <sz val="10"/>
            <rFont val="Noto Sans CJK SC"/>
            <family val="2"/>
          </rPr>
          <t xml:space="preserve">月份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研發專案預算與實際統計</t>
        </r>
        <r>
          <rPr>
            <sz val="10"/>
            <rFont val="Arial"/>
            <family val="2"/>
          </rPr>
          <t xml:space="preserve">.xlsx →</t>
        </r>
        <r>
          <rPr>
            <sz val="10"/>
            <rFont val="Noto Sans CJK SC"/>
            <family val="2"/>
          </rPr>
          <t xml:space="preserve">「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Noto Sans CJK SC"/>
            <family val="2"/>
          </rPr>
          <t xml:space="preserve">專案費用統計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範圍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」</t>
        </r>
        <r>
          <rPr>
            <sz val="10"/>
            <rFont val="Arial"/>
            <family val="2"/>
          </rPr>
          <t xml:space="preserve">V </t>
        </r>
        <r>
          <rPr>
            <sz val="10"/>
            <rFont val="Noto Sans CJK SC"/>
            <family val="2"/>
          </rPr>
          <t xml:space="preserve">欄「專案總累計費用」。</t>
        </r>
      </text>
    </comment>
    <comment ref="J4" authorId="0">
      <text>
        <r>
          <rPr>
            <sz val="10"/>
            <rFont val="Noto Sans CJK SC"/>
            <family val="2"/>
          </rPr>
          <t xml:space="preserve">來源：專案進度表</t>
        </r>
        <r>
          <rPr>
            <sz val="10"/>
            <rFont val="Arial"/>
            <family val="2"/>
          </rPr>
          <t xml:space="preserve">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Y </t>
        </r>
        <r>
          <rPr>
            <sz val="10"/>
            <rFont val="Noto Sans CJK SC"/>
            <family val="2"/>
          </rPr>
          <t xml:space="preserve">欄起（每人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欄）。
該案中預計或實際設計工時 </t>
        </r>
        <r>
          <rPr>
            <sz val="10"/>
            <rFont val="Arial"/>
            <family val="2"/>
          </rPr>
          <t xml:space="preserve">&gt; 0 </t>
        </r>
        <r>
          <rPr>
            <sz val="10"/>
            <rFont val="Noto Sans CJK SC"/>
            <family val="2"/>
          </rPr>
          <t xml:space="preserve">之人數。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7" authorId="0">
      <text>
        <r>
          <rPr>
            <sz val="10"/>
            <rFont val="Noto Sans CJK SC"/>
            <family val="2"/>
          </rPr>
          <t xml:space="preserve">每日 </t>
        </r>
        <r>
          <rPr>
            <sz val="10"/>
            <rFont val="Arial"/>
            <family val="2"/>
          </rPr>
          <t xml:space="preserve">8 </t>
        </r>
        <r>
          <rPr>
            <sz val="10"/>
            <rFont val="Noto Sans CJK SC"/>
            <family val="2"/>
          </rPr>
          <t xml:space="preserve">小時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月平均 </t>
        </r>
        <r>
          <rPr>
            <sz val="10"/>
            <rFont val="Arial"/>
            <family val="2"/>
          </rPr>
          <t xml:space="preserve">22 </t>
        </r>
        <r>
          <rPr>
            <sz val="10"/>
            <rFont val="Noto Sans CJK SC"/>
            <family val="2"/>
          </rPr>
          <t xml:space="preserve">個工作日，依《勞動基準法》第 </t>
        </r>
        <r>
          <rPr>
            <sz val="10"/>
            <rFont val="Arial"/>
            <family val="2"/>
          </rPr>
          <t xml:space="preserve">30 </t>
        </r>
        <r>
          <rPr>
            <sz val="10"/>
            <rFont val="Noto Sans CJK SC"/>
            <family val="2"/>
          </rPr>
          <t xml:space="preserve">條之正常工時。內部參數，非系統取數。</t>
        </r>
      </text>
    </comment>
    <comment ref="A18" authorId="0">
      <text>
        <r>
          <rPr>
            <sz val="10"/>
            <rFont val="Noto Sans CJK SC"/>
            <family val="2"/>
          </rPr>
          <t xml:space="preserve">負荷率採近 </t>
        </r>
        <r>
          <rPr>
            <sz val="10"/>
            <rFont val="Arial"/>
            <family val="2"/>
          </rPr>
          <t xml:space="preserve">6 </t>
        </r>
        <r>
          <rPr>
            <sz val="10"/>
            <rFont val="Noto Sans CJK SC"/>
            <family val="2"/>
          </rPr>
          <t xml:space="preserve">個月滾動視窗（本期 </t>
        </r>
        <r>
          <rPr>
            <sz val="10"/>
            <rFont val="Arial"/>
            <family val="2"/>
          </rPr>
          <t xml:space="preserve">2026-03 ~ 2026-08</t>
        </r>
        <r>
          <rPr>
            <sz val="10"/>
            <rFont val="Noto Sans CJK SC"/>
            <family val="2"/>
          </rPr>
          <t xml:space="preserve">）。內部設定。</t>
        </r>
      </text>
    </comment>
    <comment ref="A19" authorId="0">
      <text>
        <r>
          <rPr>
            <sz val="10"/>
            <rFont val="Arial"/>
            <family val="2"/>
          </rPr>
          <t xml:space="preserve">2026-08-01 ~ </t>
        </r>
        <r>
          <rPr>
            <sz val="10"/>
            <rFont val="Noto Sans CJK SC"/>
            <family val="2"/>
          </rPr>
          <t xml:space="preserve">基準日 </t>
        </r>
        <r>
          <rPr>
            <sz val="10"/>
            <rFont val="Arial"/>
            <family val="2"/>
          </rPr>
          <t xml:space="preserve">2026-08-14 </t>
        </r>
        <r>
          <rPr>
            <sz val="10"/>
            <rFont val="Noto Sans CJK SC"/>
            <family val="2"/>
          </rPr>
          <t xml:space="preserve">之間的週一至週五天數 </t>
        </r>
        <r>
          <rPr>
            <sz val="10"/>
            <rFont val="Arial"/>
            <family val="2"/>
          </rPr>
          <t xml:space="preserve">= 10 </t>
        </r>
        <r>
          <rPr>
            <sz val="10"/>
            <rFont val="Noto Sans CJK SC"/>
            <family val="2"/>
          </rPr>
          <t xml:space="preserve">日。換基準日時須更新。</t>
        </r>
      </text>
    </comment>
    <comment ref="A20" authorId="0">
      <text>
        <r>
          <rPr>
            <sz val="10"/>
            <rFont val="Arial"/>
            <family val="2"/>
          </rPr>
          <t xml:space="preserve">2026 </t>
        </r>
        <r>
          <rPr>
            <sz val="10"/>
            <rFont val="Noto Sans CJK SC"/>
            <family val="2"/>
          </rPr>
          <t xml:space="preserve">年 </t>
        </r>
        <r>
          <rPr>
            <sz val="10"/>
            <rFont val="Arial"/>
            <family val="2"/>
          </rPr>
          <t xml:space="preserve">8 </t>
        </r>
        <r>
          <rPr>
            <sz val="10"/>
            <rFont val="Noto Sans CJK SC"/>
            <family val="2"/>
          </rPr>
          <t xml:space="preserve">月整月的週一至週五天數 </t>
        </r>
        <r>
          <rPr>
            <sz val="10"/>
            <rFont val="Arial"/>
            <family val="2"/>
          </rPr>
          <t xml:space="preserve">= 21 </t>
        </r>
        <r>
          <rPr>
            <sz val="10"/>
            <rFont val="Noto Sans CJK SC"/>
            <family val="2"/>
          </rPr>
          <t xml:space="preserve">日。</t>
        </r>
      </text>
    </comment>
    <comment ref="A21" authorId="0">
      <text>
        <r>
          <rPr>
            <sz val="10"/>
            <rFont val="Arial"/>
            <family val="2"/>
          </rPr>
          <t xml:space="preserve">85%</t>
        </r>
        <r>
          <rPr>
            <sz val="10"/>
            <rFont val="Noto Sans CJK SC"/>
            <family val="2"/>
          </rPr>
          <t xml:space="preserve">。內部標準，非法規值，可由管理層調整。</t>
        </r>
      </text>
    </comment>
    <comment ref="A22" authorId="0">
      <text>
        <r>
          <rPr>
            <sz val="10"/>
            <rFont val="Arial"/>
            <family val="2"/>
          </rPr>
          <t xml:space="preserve">110%</t>
        </r>
        <r>
          <rPr>
            <sz val="10"/>
            <rFont val="Noto Sans CJK SC"/>
            <family val="2"/>
          </rPr>
          <t xml:space="preserve">。內部標準。</t>
        </r>
      </text>
    </comment>
    <comment ref="A23" authorId="0">
      <text>
        <r>
          <rPr>
            <sz val="10"/>
            <rFont val="Arial"/>
            <family val="2"/>
          </rPr>
          <t xml:space="preserve">60%</t>
        </r>
        <r>
          <rPr>
            <sz val="10"/>
            <rFont val="Noto Sans CJK SC"/>
            <family val="2"/>
          </rPr>
          <t xml:space="preserve">。內部標準。</t>
        </r>
      </text>
    </comment>
    <comment ref="A24" authorId="0">
      <text>
        <r>
          <rPr>
            <sz val="10"/>
            <rFont val="Noto Sans CJK SC"/>
            <family val="2"/>
          </rPr>
          <t xml:space="preserve">四象限縱軸切點，取第 </t>
        </r>
        <r>
          <rPr>
            <sz val="10"/>
            <rFont val="Arial"/>
            <family val="2"/>
          </rPr>
          <t xml:space="preserve">50 </t>
        </r>
        <r>
          <rPr>
            <sz val="10"/>
            <rFont val="Noto Sans CJK SC"/>
            <family val="2"/>
          </rPr>
          <t xml:space="preserve">百分位（中位數）。內部標準。</t>
        </r>
      </text>
    </comment>
    <comment ref="A26" authorId="0">
      <text>
        <r>
          <rPr>
            <sz val="10"/>
            <rFont val="Noto Sans CJK SC"/>
            <family val="2"/>
          </rPr>
          <t xml:space="preserve">到職日落在 </t>
        </r>
        <r>
          <rPr>
            <sz val="10"/>
            <rFont val="Arial"/>
            <family val="2"/>
          </rPr>
          <t xml:space="preserve">2026-03 </t>
        </r>
        <r>
          <rPr>
            <sz val="10"/>
            <rFont val="Noto Sans CJK SC"/>
            <family val="2"/>
          </rPr>
          <t xml:space="preserve">之後者，應出勤依「到職日 → 基準日」的實際工作日折算，不以完整 </t>
        </r>
        <r>
          <rPr>
            <sz val="10"/>
            <rFont val="Arial"/>
            <family val="2"/>
          </rPr>
          <t xml:space="preserve">6 </t>
        </r>
        <r>
          <rPr>
            <sz val="10"/>
            <rFont val="Noto Sans CJK SC"/>
            <family val="2"/>
          </rPr>
          <t xml:space="preserve">個月為分母；否則新進人員的負荷率會被系統性低估。
若到職月之前已有工時回報，代表該日期為調任日而非首次到職，仍以全期計。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PLM002.xlsx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C / I / J </t>
        </r>
        <r>
          <rPr>
            <sz val="10"/>
            <rFont val="Noto Sans CJK SC"/>
            <family val="2"/>
          </rPr>
          <t xml:space="preserve">欄。
該人 </t>
        </r>
        <r>
          <rPr>
            <sz val="10"/>
            <rFont val="Arial"/>
            <family val="2"/>
          </rPr>
          <t xml:space="preserve">I </t>
        </r>
        <r>
          <rPr>
            <sz val="10"/>
            <rFont val="Noto Sans CJK SC"/>
            <family val="2"/>
          </rPr>
          <t xml:space="preserve">欄工作日期落在 </t>
        </r>
        <r>
          <rPr>
            <sz val="10"/>
            <rFont val="Arial"/>
            <family val="2"/>
          </rPr>
          <t xml:space="preserve">2026-03 ~ 2026-08 </t>
        </r>
        <r>
          <rPr>
            <sz val="10"/>
            <rFont val="Noto Sans CJK SC"/>
            <family val="2"/>
          </rPr>
          <t xml:space="preserve">之 </t>
        </r>
        <r>
          <rPr>
            <sz val="10"/>
            <rFont val="Arial"/>
            <family val="2"/>
          </rPr>
          <t xml:space="preserve">J </t>
        </r>
        <r>
          <rPr>
            <sz val="10"/>
            <rFont val="Noto Sans CJK SC"/>
            <family val="2"/>
          </rPr>
          <t xml:space="preserve">欄工時加總。</t>
        </r>
      </text>
    </comment>
    <comment ref="G4" authorId="0">
      <text>
        <r>
          <rPr>
            <sz val="10"/>
            <rFont val="Noto Sans CJK SC"/>
            <family val="2"/>
          </rPr>
          <t xml:space="preserve">逐人折算：</t>
        </r>
        <r>
          <rPr>
            <sz val="10"/>
            <rFont val="Arial"/>
            <family val="2"/>
          </rPr>
          <t xml:space="preserve">176 hr/</t>
        </r>
        <r>
          <rPr>
            <sz val="10"/>
            <rFont val="Noto Sans CJK SC"/>
            <family val="2"/>
          </rPr>
          <t xml:space="preserve">月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該人在視窗內可出勤工作日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 xml:space="preserve">該月全月工作日，逐月加總。
全期在職者＝</t>
        </r>
        <r>
          <rPr>
            <sz val="10"/>
            <rFont val="Arial"/>
            <family val="2"/>
          </rPr>
          <t xml:space="preserve">964 hr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176×5 </t>
        </r>
        <r>
          <rPr>
            <sz val="10"/>
            <rFont val="Noto Sans CJK SC"/>
            <family val="2"/>
          </rPr>
          <t xml:space="preserve">＋ </t>
        </r>
        <r>
          <rPr>
            <sz val="10"/>
            <rFont val="Arial"/>
            <family val="2"/>
          </rPr>
          <t xml:space="preserve">176×10/21</t>
        </r>
        <r>
          <rPr>
            <sz val="10"/>
            <rFont val="Noto Sans CJK SC"/>
            <family val="2"/>
          </rPr>
          <t xml:space="preserve">）。
到職日在 </t>
        </r>
        <r>
          <rPr>
            <sz val="10"/>
            <rFont val="Arial"/>
            <family val="2"/>
          </rPr>
          <t xml:space="preserve">2026-03 </t>
        </r>
        <r>
          <rPr>
            <sz val="10"/>
            <rFont val="Noto Sans CJK SC"/>
            <family val="2"/>
          </rPr>
          <t xml:space="preserve">之後者只計到職後的工作日，來源為研發處人員資料</t>
        </r>
        <r>
          <rPr>
            <sz val="10"/>
            <rFont val="Arial"/>
            <family val="2"/>
          </rPr>
          <t xml:space="preserve">.xlsx E </t>
        </r>
        <r>
          <rPr>
            <sz val="10"/>
            <rFont val="Noto Sans CJK SC"/>
            <family val="2"/>
          </rPr>
          <t xml:space="preserve">欄「到職日期」。</t>
        </r>
      </text>
    </comment>
    <comment ref="J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PLM002.xlsx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E / J </t>
        </r>
        <r>
          <rPr>
            <sz val="10"/>
            <rFont val="Noto Sans CJK SC"/>
            <family val="2"/>
          </rPr>
          <t xml:space="preserve">欄。
全期（</t>
        </r>
        <r>
          <rPr>
            <sz val="10"/>
            <rFont val="Arial"/>
            <family val="2"/>
          </rPr>
          <t xml:space="preserve">2024-06-27 ~ 2026-08-12</t>
        </r>
        <r>
          <rPr>
            <sz val="10"/>
            <rFont val="Noto Sans CJK SC"/>
            <family val="2"/>
          </rPr>
          <t xml:space="preserve">）工時加總，扣除 </t>
        </r>
        <r>
          <rPr>
            <sz val="10"/>
            <rFont val="Arial"/>
            <family val="2"/>
          </rPr>
          <t xml:space="preserve">E </t>
        </r>
        <r>
          <rPr>
            <sz val="10"/>
            <rFont val="Noto Sans CJK SC"/>
            <family val="2"/>
          </rPr>
          <t xml:space="preserve">欄類別＝「休假」。</t>
        </r>
      </text>
    </comment>
    <comment ref="K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PLM002.xlsx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E / J </t>
        </r>
        <r>
          <rPr>
            <sz val="10"/>
            <rFont val="Noto Sans CJK SC"/>
            <family val="2"/>
          </rPr>
          <t xml:space="preserve">欄。
全期 </t>
        </r>
        <r>
          <rPr>
            <sz val="10"/>
            <rFont val="Arial"/>
            <family val="2"/>
          </rPr>
          <t xml:space="preserve">E </t>
        </r>
        <r>
          <rPr>
            <sz val="10"/>
            <rFont val="Noto Sans CJK SC"/>
            <family val="2"/>
          </rPr>
          <t xml:space="preserve">欄類別＝「一般專案」之工時加總（僅此類別 </t>
        </r>
        <r>
          <rPr>
            <sz val="10"/>
            <rFont val="Arial"/>
            <family val="2"/>
          </rPr>
          <t xml:space="preserve">100% </t>
        </r>
        <r>
          <rPr>
            <sz val="10"/>
            <rFont val="Noto Sans CJK SC"/>
            <family val="2"/>
          </rPr>
          <t xml:space="preserve">掛專案編號）。</t>
        </r>
      </text>
    </comment>
    <comment ref="M4" authorId="0">
      <text>
        <r>
          <rPr>
            <sz val="10"/>
            <rFont val="Noto Sans CJK SC"/>
            <family val="2"/>
          </rPr>
          <t xml:space="preserve">衍生指標：九項指標之百分位加權，輸出 </t>
        </r>
        <r>
          <rPr>
            <sz val="10"/>
            <rFont val="Arial"/>
            <family val="2"/>
          </rPr>
          <t xml:space="preserve">0–100 </t>
        </r>
        <r>
          <rPr>
            <sz val="10"/>
            <rFont val="Noto Sans CJK SC"/>
            <family val="2"/>
          </rPr>
          <t xml:space="preserve">分位。
定義見《研發戰情室</t>
        </r>
        <r>
          <rPr>
            <sz val="10"/>
            <rFont val="Arial"/>
            <family val="2"/>
          </rPr>
          <t xml:space="preserve">_</t>
        </r>
        <r>
          <rPr>
            <sz val="10"/>
            <rFont val="Noto Sans CJK SC"/>
            <family val="2"/>
          </rPr>
          <t xml:space="preserve">計算與評估方式說明</t>
        </r>
        <r>
          <rPr>
            <sz val="10"/>
            <rFont val="Arial"/>
            <family val="2"/>
          </rPr>
          <t xml:space="preserve">.md</t>
        </r>
        <r>
          <rPr>
            <sz val="10"/>
            <rFont val="Noto Sans CJK SC"/>
            <family val="2"/>
          </rPr>
          <t xml:space="preserve">》</t>
        </r>
        <r>
          <rPr>
            <sz val="10"/>
            <rFont val="Arial"/>
            <family val="2"/>
          </rPr>
          <t xml:space="preserve">§5</t>
        </r>
        <r>
          <rPr>
            <sz val="10"/>
            <rFont val="Noto Sans CJK SC"/>
            <family val="2"/>
          </rPr>
          <t xml:space="preserve">。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PLM014.xlsx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G </t>
        </r>
        <r>
          <rPr>
            <sz val="10"/>
            <rFont val="Noto Sans CJK SC"/>
            <family val="2"/>
          </rPr>
          <t xml:space="preserve">欄「專案狀態」。</t>
        </r>
      </text>
    </comment>
    <comment ref="G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PLM014.xlsx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Q </t>
        </r>
        <r>
          <rPr>
            <sz val="10"/>
            <rFont val="Noto Sans CJK SC"/>
            <family val="2"/>
          </rPr>
          <t xml:space="preserve">欄「專案總進度」。</t>
        </r>
      </text>
    </comment>
    <comment ref="H4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PLM014.xlsx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I </t>
        </r>
        <r>
          <rPr>
            <sz val="10"/>
            <rFont val="Noto Sans CJK SC"/>
            <family val="2"/>
          </rPr>
          <t xml:space="preserve">欄；逾期天數 </t>
        </r>
        <r>
          <rPr>
            <sz val="10"/>
            <rFont val="Arial"/>
            <family val="2"/>
          </rPr>
          <t xml:space="preserve">= MAX(0, </t>
        </r>
        <r>
          <rPr>
            <sz val="10"/>
            <rFont val="Noto Sans CJK SC"/>
            <family val="2"/>
          </rPr>
          <t xml:space="preserve">參考日 </t>
        </r>
        <r>
          <rPr>
            <sz val="10"/>
            <rFont val="Arial"/>
            <family val="2"/>
          </rPr>
          <t xml:space="preserve">2026-08-14 − I </t>
        </r>
        <r>
          <rPr>
            <sz val="10"/>
            <rFont val="Noto Sans CJK SC"/>
            <family val="2"/>
          </rPr>
          <t xml:space="preserve">欄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</text>
    </comment>
    <comment ref="I4" authorId="0">
      <text>
        <r>
          <rPr>
            <sz val="10"/>
            <rFont val="Noto Sans CJK SC"/>
            <family val="2"/>
          </rPr>
          <t xml:space="preserve">衍生：</t>
        </r>
        <r>
          <rPr>
            <sz val="10"/>
            <rFont val="Arial"/>
            <family val="2"/>
          </rPr>
          <t xml:space="preserve">SPI = Q </t>
        </r>
        <r>
          <rPr>
            <sz val="10"/>
            <rFont val="Noto Sans CJK SC"/>
            <family val="2"/>
          </rPr>
          <t xml:space="preserve">專案總進度 </t>
        </r>
        <r>
          <rPr>
            <sz val="10"/>
            <rFont val="Arial"/>
            <family val="2"/>
          </rPr>
          <t xml:space="preserve">÷ (</t>
        </r>
        <r>
          <rPr>
            <sz val="10"/>
            <rFont val="Noto Sans CJK SC"/>
            <family val="2"/>
          </rPr>
          <t xml:space="preserve">已耗工作日 </t>
        </r>
        <r>
          <rPr>
            <sz val="10"/>
            <rFont val="Arial"/>
            <family val="2"/>
          </rPr>
          <t xml:space="preserve">÷ J </t>
        </r>
        <r>
          <rPr>
            <sz val="10"/>
            <rFont val="Noto Sans CJK SC"/>
            <family val="2"/>
          </rPr>
          <t xml:space="preserve">預計專案周期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，見 </t>
        </r>
        <r>
          <rPr>
            <sz val="10"/>
            <rFont val="Arial"/>
            <family val="2"/>
          </rPr>
          <t xml:space="preserve">11 </t>
        </r>
        <r>
          <rPr>
            <sz val="10"/>
            <rFont val="Noto Sans CJK SC"/>
            <family val="2"/>
          </rPr>
          <t xml:space="preserve">表與說明文件 </t>
        </r>
        <r>
          <rPr>
            <sz val="10"/>
            <rFont val="Arial"/>
            <family val="2"/>
          </rPr>
          <t xml:space="preserve">§1.3</t>
        </r>
        <r>
          <rPr>
            <sz val="10"/>
            <rFont val="Noto Sans CJK SC"/>
            <family val="2"/>
          </rPr>
          <t xml:space="preserve">。</t>
        </r>
      </text>
    </comment>
    <comment ref="J4" authorId="0">
      <text>
        <r>
          <rPr>
            <sz val="10"/>
            <rFont val="Noto Sans CJK SC"/>
            <family val="2"/>
          </rPr>
          <t xml:space="preserve">來源：專案進度表</t>
        </r>
        <r>
          <rPr>
            <sz val="10"/>
            <rFont val="Arial"/>
            <family val="2"/>
          </rPr>
          <t xml:space="preserve">.xlsx </t>
        </r>
        <r>
          <rPr>
            <sz val="10"/>
            <rFont val="Noto Sans CJK SC"/>
            <family val="2"/>
          </rPr>
          <t xml:space="preserve">工作表</t>
        </r>
        <r>
          <rPr>
            <sz val="10"/>
            <rFont val="Arial"/>
            <family val="2"/>
          </rPr>
          <t xml:space="preserve">1 S </t>
        </r>
        <r>
          <rPr>
            <sz val="10"/>
            <rFont val="Noto Sans CJK SC"/>
            <family val="2"/>
          </rPr>
          <t xml:space="preserve">欄「專案是否異常」。</t>
        </r>
      </text>
    </comment>
    <comment ref="K4" authorId="0">
      <text>
        <r>
          <rPr>
            <sz val="10"/>
            <rFont val="Noto Sans CJK SC"/>
            <family val="2"/>
          </rPr>
          <t xml:space="preserve">來源：專案進度表</t>
        </r>
        <r>
          <rPr>
            <sz val="10"/>
            <rFont val="Arial"/>
            <family val="2"/>
          </rPr>
          <t xml:space="preserve">.xlsx Y </t>
        </r>
        <r>
          <rPr>
            <sz val="10"/>
            <rFont val="Noto Sans CJK SC"/>
            <family val="2"/>
          </rPr>
          <t xml:space="preserve">欄起逐人「預計設計工時」加總。</t>
        </r>
      </text>
    </comment>
    <comment ref="L4" authorId="0">
      <text>
        <r>
          <rPr>
            <sz val="10"/>
            <rFont val="Noto Sans CJK SC"/>
            <family val="2"/>
          </rPr>
          <t xml:space="preserve">來源：專案進度表</t>
        </r>
        <r>
          <rPr>
            <sz val="10"/>
            <rFont val="Arial"/>
            <family val="2"/>
          </rPr>
          <t xml:space="preserve">.xlsx Y </t>
        </r>
        <r>
          <rPr>
            <sz val="10"/>
            <rFont val="Noto Sans CJK SC"/>
            <family val="2"/>
          </rPr>
          <t xml:space="preserve">欄起逐人「實際設計工時」加總。</t>
        </r>
      </text>
    </comment>
    <comment ref="M4" authorId="0">
      <text>
        <r>
          <rPr>
            <sz val="10"/>
            <rFont val="Noto Sans CJK SC"/>
            <family val="2"/>
          </rPr>
          <t xml:space="preserve">來源：費用檔「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預計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專案費用統計」</t>
        </r>
        <r>
          <rPr>
            <sz val="10"/>
            <rFont val="Arial"/>
            <family val="2"/>
          </rPr>
          <t xml:space="preserve">R </t>
        </r>
        <r>
          <rPr>
            <sz val="10"/>
            <rFont val="Noto Sans CJK SC"/>
            <family val="2"/>
          </rPr>
          <t xml:space="preserve">欄「總費用」。</t>
        </r>
      </text>
    </comment>
    <comment ref="N4" authorId="0">
      <text>
        <r>
          <rPr>
            <sz val="10"/>
            <rFont val="Noto Sans CJK SC"/>
            <family val="2"/>
          </rPr>
          <t xml:space="preserve">來源：費用檔「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Noto Sans CJK SC"/>
            <family val="2"/>
          </rPr>
          <t xml:space="preserve">專案費用統計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範圍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」</t>
        </r>
        <r>
          <rPr>
            <sz val="10"/>
            <rFont val="Arial"/>
            <family val="2"/>
          </rPr>
          <t xml:space="preserve">V </t>
        </r>
        <r>
          <rPr>
            <sz val="10"/>
            <rFont val="Noto Sans CJK SC"/>
            <family val="2"/>
          </rPr>
          <t xml:space="preserve">欄「專案總累計費用」。</t>
        </r>
      </text>
    </comment>
  </commentList>
</comments>
</file>

<file path=xl/sharedStrings.xml><?xml version="1.0" encoding="utf-8"?>
<sst xmlns="http://schemas.openxmlformats.org/spreadsheetml/2006/main" count="1315" uniqueCount="746">
  <si>
    <t xml:space="preserve">研發戰情室　第一層</t>
  </si>
  <si>
    <r>
      <rPr>
        <b val="true"/>
        <sz val="13"/>
        <color rgb="FF1F3864"/>
        <rFont val="Noto Sans CJK SC"/>
        <family val="2"/>
      </rPr>
      <t xml:space="preserve">異常專案、風險矩陣（機率 </t>
    </r>
    <r>
      <rPr>
        <b val="true"/>
        <sz val="13"/>
        <color rgb="FF1F3864"/>
        <rFont val="Arial"/>
        <family val="0"/>
        <charset val="1"/>
      </rPr>
      <t xml:space="preserve">× </t>
    </r>
    <r>
      <rPr>
        <b val="true"/>
        <sz val="13"/>
        <color rgb="FF1F3864"/>
        <rFont val="Noto Sans CJK SC"/>
        <family val="2"/>
      </rPr>
      <t xml:space="preserve">衝擊）與各處級人力負荷　計算說明</t>
    </r>
  </si>
  <si>
    <t xml:space="preserve">資料基準日</t>
  </si>
  <si>
    <t xml:space="preserve">2026-08-14</t>
  </si>
  <si>
    <t xml:space="preserve">對應平台</t>
  </si>
  <si>
    <r>
      <rPr>
        <sz val="10"/>
        <rFont val="Noto Sans CJK SC"/>
        <family val="2"/>
      </rPr>
      <t xml:space="preserve">研發戰情室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三層式專案戰情平台</t>
    </r>
    <r>
      <rPr>
        <sz val="10"/>
        <rFont val="Arial"/>
        <family val="0"/>
        <charset val="1"/>
      </rPr>
      <t xml:space="preserve">.html</t>
    </r>
    <r>
      <rPr>
        <sz val="10"/>
        <rFont val="Noto Sans CJK SC"/>
        <family val="2"/>
      </rPr>
      <t xml:space="preserve">　第一層 圖表④ 風險矩陣、圖表⑤ 異常專案、圖表⑥ 各處級人力負荷</t>
    </r>
  </si>
  <si>
    <t xml:space="preserve">用途</t>
  </si>
  <si>
    <r>
      <rPr>
        <sz val="10"/>
        <rFont val="Noto Sans CJK SC"/>
        <family val="2"/>
      </rPr>
      <t xml:space="preserve">提供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於帆軟 </t>
    </r>
    <r>
      <rPr>
        <sz val="10"/>
        <rFont val="Arial"/>
        <family val="0"/>
        <charset val="1"/>
      </rPr>
      <t xml:space="preserve">FineBI </t>
    </r>
    <r>
      <rPr>
        <sz val="10"/>
        <rFont val="Noto Sans CJK SC"/>
        <family val="2"/>
      </rPr>
      <t xml:space="preserve">重建時逐格核對；所有計算欄皆為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公式，可改輸入值驗證邏輯</t>
    </r>
  </si>
  <si>
    <t xml:space="preserve">工作表</t>
  </si>
  <si>
    <t xml:space="preserve">內容</t>
  </si>
  <si>
    <t xml:space="preserve">資料筆數</t>
  </si>
  <si>
    <r>
      <rPr>
        <sz val="10"/>
        <rFont val="Arial"/>
        <family val="0"/>
        <charset val="1"/>
      </rPr>
      <t xml:space="preserve">01_</t>
    </r>
    <r>
      <rPr>
        <sz val="10"/>
        <rFont val="Noto Sans CJK SC"/>
        <family val="2"/>
      </rPr>
      <t xml:space="preserve">輸入值來源</t>
    </r>
  </si>
  <si>
    <t xml:space="preserve">每一個黃色輸入格的來源檔案、工作表、欄位與取數方式（本檔的資料溯源總表）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</si>
  <si>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項</t>
    </r>
  </si>
  <si>
    <r>
      <rPr>
        <sz val="10"/>
        <rFont val="Arial"/>
        <family val="0"/>
        <charset val="1"/>
      </rPr>
      <t xml:space="preserve">10_</t>
    </r>
    <r>
      <rPr>
        <sz val="10"/>
        <rFont val="Noto Sans CJK SC"/>
        <family val="2"/>
      </rPr>
      <t xml:space="preserve">風險矩陣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評分規則</t>
    </r>
  </si>
  <si>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（發生機率）與 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（衝擊程度）的分項評分表、風險分級門檻</t>
    </r>
  </si>
  <si>
    <t xml:space="preserve">—</t>
  </si>
  <si>
    <r>
      <rPr>
        <sz val="10"/>
        <rFont val="Arial"/>
        <family val="0"/>
        <charset val="1"/>
      </rPr>
      <t xml:space="preserve">11_</t>
    </r>
    <r>
      <rPr>
        <sz val="10"/>
        <rFont val="Noto Sans CJK SC"/>
        <family val="2"/>
      </rPr>
      <t xml:space="preserve">風險矩陣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逐案計算</t>
    </r>
  </si>
  <si>
    <r>
      <rPr>
        <sz val="10"/>
        <rFont val="Noto Sans CJK SC"/>
        <family val="2"/>
      </rPr>
      <t xml:space="preserve">在製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件逐案：原始輸入 → 分項評分 → </t>
    </r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 → </t>
    </r>
    <r>
      <rPr>
        <sz val="10"/>
        <rFont val="Noto Sans CJK SC"/>
        <family val="2"/>
      </rPr>
      <t xml:space="preserve">風險值（含公式）</t>
    </r>
  </si>
  <si>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件</t>
    </r>
  </si>
  <si>
    <r>
      <rPr>
        <sz val="10"/>
        <rFont val="Arial"/>
        <family val="0"/>
        <charset val="1"/>
      </rPr>
      <t xml:space="preserve">12_</t>
    </r>
    <r>
      <rPr>
        <sz val="10"/>
        <rFont val="Noto Sans CJK SC"/>
        <family val="2"/>
      </rPr>
      <t xml:space="preserve">風險矩陣</t>
    </r>
    <r>
      <rPr>
        <sz val="10"/>
        <rFont val="Arial"/>
        <family val="0"/>
        <charset val="1"/>
      </rPr>
      <t xml:space="preserve">_5x5</t>
    </r>
    <r>
      <rPr>
        <sz val="10"/>
        <rFont val="Noto Sans CJK SC"/>
        <family val="2"/>
      </rPr>
      <t xml:space="preserve">統計</t>
    </r>
  </si>
  <si>
    <r>
      <rPr>
        <sz val="10"/>
        <rFont val="Arial"/>
        <family val="0"/>
        <charset val="1"/>
      </rPr>
      <t xml:space="preserve">5×5 </t>
    </r>
    <r>
      <rPr>
        <sz val="10"/>
        <rFont val="Noto Sans CJK SC"/>
        <family val="2"/>
      </rPr>
      <t xml:space="preserve">交叉統計表與各格件數（公式由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表統計）</t>
    </r>
  </si>
  <si>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格</t>
    </r>
  </si>
  <si>
    <r>
      <rPr>
        <sz val="10"/>
        <rFont val="Arial"/>
        <family val="0"/>
        <charset val="1"/>
      </rPr>
      <t xml:space="preserve">20_</t>
    </r>
    <r>
      <rPr>
        <sz val="10"/>
        <rFont val="Noto Sans CJK SC"/>
        <family val="2"/>
      </rPr>
      <t xml:space="preserve">人力負荷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計算規則</t>
    </r>
  </si>
  <si>
    <t xml:space="preserve">負荷率、負荷分帶、專案工時率、四象限的定義與門檻</t>
  </si>
  <si>
    <r>
      <rPr>
        <sz val="10"/>
        <rFont val="Arial"/>
        <family val="0"/>
        <charset val="1"/>
      </rPr>
      <t xml:space="preserve">21_</t>
    </r>
    <r>
      <rPr>
        <sz val="10"/>
        <rFont val="Noto Sans CJK SC"/>
        <family val="2"/>
      </rPr>
      <t xml:space="preserve">人力負荷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逐人明細</t>
    </r>
  </si>
  <si>
    <r>
      <rPr>
        <sz val="10"/>
        <rFont val="Noto Sans CJK SC"/>
        <family val="2"/>
      </rPr>
      <t xml:space="preserve">納入計算之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人逐人：近半年工時、應出勤、負荷率、專案工時率、象限</t>
    </r>
  </si>
  <si>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人</t>
    </r>
  </si>
  <si>
    <r>
      <rPr>
        <sz val="10"/>
        <rFont val="Arial"/>
        <family val="0"/>
        <charset val="1"/>
      </rPr>
      <t xml:space="preserve">22_</t>
    </r>
    <r>
      <rPr>
        <sz val="10"/>
        <rFont val="Noto Sans CJK SC"/>
        <family val="2"/>
      </rPr>
      <t xml:space="preserve">人力負荷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處級彙總</t>
    </r>
  </si>
  <si>
    <r>
      <rPr>
        <sz val="10"/>
        <rFont val="Noto Sans CJK SC"/>
        <family val="2"/>
      </rPr>
      <t xml:space="preserve">平台⑥表格的每一格如何由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表加總而來（含公式）</t>
    </r>
  </si>
  <si>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合計</t>
    </r>
  </si>
  <si>
    <r>
      <rPr>
        <sz val="10"/>
        <rFont val="Arial"/>
        <family val="0"/>
        <charset val="1"/>
      </rPr>
      <t xml:space="preserve">23_</t>
    </r>
    <r>
      <rPr>
        <sz val="10"/>
        <rFont val="Noto Sans CJK SC"/>
        <family val="2"/>
      </rPr>
      <t xml:space="preserve">未排入專案人員</t>
    </r>
  </si>
  <si>
    <t xml:space="preserve">以人員名冊比對專案指派，列出未排入專案者之職位名稱與姓名</t>
  </si>
  <si>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人</t>
    </r>
  </si>
  <si>
    <r>
      <rPr>
        <sz val="10"/>
        <rFont val="Arial"/>
        <family val="0"/>
        <charset val="1"/>
      </rPr>
      <t xml:space="preserve">30_</t>
    </r>
    <r>
      <rPr>
        <sz val="10"/>
        <rFont val="Noto Sans CJK SC"/>
        <family val="2"/>
      </rPr>
      <t xml:space="preserve">異常專案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判定規則</t>
    </r>
  </si>
  <si>
    <t xml:space="preserve">⑤ 異常專案的範圍、六條判定規則與優先序</t>
  </si>
  <si>
    <r>
      <rPr>
        <sz val="10"/>
        <rFont val="Arial"/>
        <family val="0"/>
        <charset val="1"/>
      </rPr>
      <t xml:space="preserve">31_</t>
    </r>
    <r>
      <rPr>
        <sz val="10"/>
        <rFont val="Noto Sans CJK SC"/>
        <family val="2"/>
      </rPr>
      <t xml:space="preserve">異常專案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逐案判定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</si>
  <si>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44 </t>
    </r>
    <r>
      <rPr>
        <sz val="10"/>
        <rFont val="Noto Sans CJK SC"/>
        <family val="2"/>
      </rPr>
      <t xml:space="preserve">件逐案：範圍判定 → 六條規則逐條命中 → 主類別（含公式）</t>
    </r>
  </si>
  <si>
    <r>
      <rPr>
        <sz val="10"/>
        <rFont val="Arial"/>
        <family val="0"/>
        <charset val="1"/>
      </rPr>
      <t xml:space="preserve">44 </t>
    </r>
    <r>
      <rPr>
        <sz val="10"/>
        <rFont val="Noto Sans CJK SC"/>
        <family val="2"/>
      </rPr>
      <t xml:space="preserve">件</t>
    </r>
  </si>
  <si>
    <r>
      <rPr>
        <sz val="10"/>
        <rFont val="Arial"/>
        <family val="0"/>
        <charset val="1"/>
      </rPr>
      <t xml:space="preserve">40_</t>
    </r>
    <r>
      <rPr>
        <sz val="10"/>
        <rFont val="Noto Sans CJK SC"/>
        <family val="2"/>
      </rPr>
      <t xml:space="preserve">欄位溯源與</t>
    </r>
    <r>
      <rPr>
        <sz val="10"/>
        <rFont val="Arial"/>
        <family val="0"/>
        <charset val="1"/>
      </rPr>
      <t xml:space="preserve">FineBI</t>
    </r>
  </si>
  <si>
    <r>
      <rPr>
        <sz val="10"/>
        <rFont val="Noto Sans CJK SC"/>
        <family val="2"/>
      </rPr>
      <t xml:space="preserve">兩張圖用到的每個欄位對應到哪個檔案哪一欄，以及 </t>
    </r>
    <r>
      <rPr>
        <sz val="10"/>
        <rFont val="Arial"/>
        <family val="0"/>
        <charset val="1"/>
      </rPr>
      <t xml:space="preserve">FineBI </t>
    </r>
    <r>
      <rPr>
        <sz val="10"/>
        <rFont val="Noto Sans CJK SC"/>
        <family val="2"/>
      </rPr>
      <t xml:space="preserve">建置方式</t>
    </r>
  </si>
  <si>
    <t xml:space="preserve">重要說明</t>
  </si>
  <si>
    <r>
      <rPr>
        <sz val="10"/>
        <color rgb="FF333333"/>
        <rFont val="Arial"/>
        <family val="0"/>
        <charset val="1"/>
      </rPr>
      <t xml:space="preserve">1. </t>
    </r>
    <r>
      <rPr>
        <sz val="10"/>
        <color rgb="FF333333"/>
        <rFont val="Noto Sans CJK SC"/>
        <family val="2"/>
      </rPr>
      <t xml:space="preserve">淺黃色儲存格＝原始輸入值；白色儲存格＝</t>
    </r>
    <r>
      <rPr>
        <sz val="10"/>
        <color rgb="FF333333"/>
        <rFont val="Arial"/>
        <family val="0"/>
        <charset val="1"/>
      </rPr>
      <t xml:space="preserve">Excel </t>
    </r>
    <r>
      <rPr>
        <sz val="10"/>
        <color rgb="FF333333"/>
        <rFont val="Noto Sans CJK SC"/>
        <family val="2"/>
      </rPr>
      <t xml:space="preserve">公式計算。每個黃色欄位的來源見「</t>
    </r>
    <r>
      <rPr>
        <sz val="10"/>
        <color rgb="FF333333"/>
        <rFont val="Arial"/>
        <family val="0"/>
        <charset val="1"/>
      </rPr>
      <t xml:space="preserve">01_</t>
    </r>
    <r>
      <rPr>
        <sz val="10"/>
        <color rgb="FF333333"/>
        <rFont val="Noto Sans CJK SC"/>
        <family val="2"/>
      </rPr>
      <t xml:space="preserve">輸入值來源」，欄標題也附滑鼠註解。</t>
    </r>
  </si>
  <si>
    <r>
      <rPr>
        <sz val="10"/>
        <color rgb="FF333333"/>
        <rFont val="Arial"/>
        <family val="0"/>
        <charset val="1"/>
      </rPr>
      <t xml:space="preserve">2. </t>
    </r>
    <r>
      <rPr>
        <sz val="10"/>
        <color rgb="FF333333"/>
        <rFont val="Noto Sans CJK SC"/>
        <family val="2"/>
      </rPr>
      <t xml:space="preserve">修改任一輸入值，右側的評分、</t>
    </r>
    <r>
      <rPr>
        <sz val="10"/>
        <color rgb="FF333333"/>
        <rFont val="Arial"/>
        <family val="0"/>
        <charset val="1"/>
      </rPr>
      <t xml:space="preserve">P/I</t>
    </r>
    <r>
      <rPr>
        <sz val="10"/>
        <color rgb="FF333333"/>
        <rFont val="Noto Sans CJK SC"/>
        <family val="2"/>
      </rPr>
      <t xml:space="preserve">、風險值、負荷率與象限都會自動重算，可用來驗證判定邏輯。</t>
    </r>
  </si>
  <si>
    <r>
      <rPr>
        <sz val="10"/>
        <color rgb="FF333333"/>
        <rFont val="Arial"/>
        <family val="0"/>
        <charset val="1"/>
      </rPr>
      <t xml:space="preserve">3. </t>
    </r>
    <r>
      <rPr>
        <sz val="10"/>
        <color rgb="FF333333"/>
        <rFont val="Noto Sans CJK SC"/>
        <family val="2"/>
      </rPr>
      <t xml:space="preserve">風險矩陣僅計「在製 </t>
    </r>
    <r>
      <rPr>
        <sz val="10"/>
        <color rgb="FF333333"/>
        <rFont val="Arial"/>
        <family val="0"/>
        <charset val="1"/>
      </rPr>
      <t xml:space="preserve">Active</t>
    </r>
    <r>
      <rPr>
        <sz val="10"/>
        <color rgb="FF333333"/>
        <rFont val="Noto Sans CJK SC"/>
        <family val="2"/>
      </rPr>
      <t xml:space="preserve">」</t>
    </r>
    <r>
      <rPr>
        <sz val="10"/>
        <color rgb="FF333333"/>
        <rFont val="Arial"/>
        <family val="0"/>
        <charset val="1"/>
      </rPr>
      <t xml:space="preserve">26 </t>
    </r>
    <r>
      <rPr>
        <sz val="10"/>
        <color rgb="FF333333"/>
        <rFont val="Noto Sans CJK SC"/>
        <family val="2"/>
      </rPr>
      <t xml:space="preserve">件；異常專案僅計「在製且進度 </t>
    </r>
    <r>
      <rPr>
        <sz val="10"/>
        <color rgb="FF333333"/>
        <rFont val="Arial"/>
        <family val="0"/>
        <charset val="1"/>
      </rPr>
      <t xml:space="preserve">&lt;100%</t>
    </r>
    <r>
      <rPr>
        <sz val="10"/>
        <color rgb="FF333333"/>
        <rFont val="Noto Sans CJK SC"/>
        <family val="2"/>
      </rPr>
      <t xml:space="preserve">」</t>
    </r>
    <r>
      <rPr>
        <sz val="10"/>
        <color rgb="FF333333"/>
        <rFont val="Arial"/>
        <family val="0"/>
        <charset val="1"/>
      </rPr>
      <t xml:space="preserve">25 </t>
    </r>
    <r>
      <rPr>
        <sz val="10"/>
        <color rgb="FF333333"/>
        <rFont val="Noto Sans CJK SC"/>
        <family val="2"/>
      </rPr>
      <t xml:space="preserve">件；已結案與已取消案兩者皆不列入。</t>
    </r>
  </si>
  <si>
    <r>
      <rPr>
        <sz val="10"/>
        <color rgb="FF333333"/>
        <rFont val="Arial"/>
        <family val="0"/>
        <charset val="1"/>
      </rPr>
      <t xml:space="preserve">4. </t>
    </r>
    <r>
      <rPr>
        <sz val="10"/>
        <color rgb="FF333333"/>
        <rFont val="Noto Sans CJK SC"/>
        <family val="2"/>
      </rPr>
      <t xml:space="preserve">人力負荷僅計「在職且累計工時 ≥ </t>
    </r>
    <r>
      <rPr>
        <sz val="10"/>
        <color rgb="FF333333"/>
        <rFont val="Arial"/>
        <family val="0"/>
        <charset val="1"/>
      </rPr>
      <t xml:space="preserve">100 hr</t>
    </r>
    <r>
      <rPr>
        <sz val="10"/>
        <color rgb="FF333333"/>
        <rFont val="Noto Sans CJK SC"/>
        <family val="2"/>
      </rPr>
      <t xml:space="preserve">」之 </t>
    </r>
    <r>
      <rPr>
        <sz val="10"/>
        <color rgb="FF333333"/>
        <rFont val="Arial"/>
        <family val="0"/>
        <charset val="1"/>
      </rPr>
      <t xml:space="preserve">30 </t>
    </r>
    <r>
      <rPr>
        <sz val="10"/>
        <color rgb="FF333333"/>
        <rFont val="Noto Sans CJK SC"/>
        <family val="2"/>
      </rPr>
      <t xml:space="preserve">人（在職＝</t>
    </r>
    <r>
      <rPr>
        <sz val="10"/>
        <color rgb="FF333333"/>
        <rFont val="Arial"/>
        <family val="0"/>
        <charset val="1"/>
      </rPr>
      <t xml:space="preserve">PLM002 </t>
    </r>
    <r>
      <rPr>
        <sz val="10"/>
        <color rgb="FF333333"/>
        <rFont val="Noto Sans CJK SC"/>
        <family val="2"/>
      </rPr>
      <t xml:space="preserve">最後回報月份 ≥ </t>
    </r>
    <r>
      <rPr>
        <sz val="10"/>
        <color rgb="FF333333"/>
        <rFont val="Arial"/>
        <family val="0"/>
        <charset val="1"/>
      </rPr>
      <t xml:space="preserve">2026-07</t>
    </r>
    <r>
      <rPr>
        <sz val="10"/>
        <color rgb="FF333333"/>
        <rFont val="Noto Sans CJK SC"/>
        <family val="2"/>
      </rPr>
      <t xml:space="preserve">）。</t>
    </r>
  </si>
  <si>
    <r>
      <rPr>
        <sz val="10"/>
        <color rgb="FF333333"/>
        <rFont val="Arial"/>
        <family val="0"/>
        <charset val="1"/>
      </rPr>
      <t xml:space="preserve">5. 21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Arial"/>
        <family val="0"/>
        <charset val="1"/>
      </rPr>
      <t xml:space="preserve">23 </t>
    </r>
    <r>
      <rPr>
        <sz val="10"/>
        <color rgb="FF333333"/>
        <rFont val="Noto Sans CJK SC"/>
        <family val="2"/>
      </rPr>
      <t xml:space="preserve">表為具名資料（含個人負荷率與綜合績效百分位），與全員可見的平台不同，屬主管內部管理用途，請勿對外或全員發布。</t>
    </r>
  </si>
  <si>
    <r>
      <rPr>
        <sz val="10"/>
        <color rgb="FF333333"/>
        <rFont val="Arial"/>
        <family val="0"/>
        <charset val="1"/>
      </rPr>
      <t xml:space="preserve">6. </t>
    </r>
    <r>
      <rPr>
        <sz val="10"/>
        <color rgb="FF333333"/>
        <rFont val="Noto Sans CJK SC"/>
        <family val="2"/>
      </rPr>
      <t xml:space="preserve">所有門檻（風險分數區間、負荷分帶、四象限切點）皆為內部標準，可由管理層調整，調整後兩張圖同步變動。</t>
    </r>
  </si>
  <si>
    <r>
      <rPr>
        <sz val="10"/>
        <color rgb="FF333333"/>
        <rFont val="Arial"/>
        <family val="0"/>
        <charset val="1"/>
      </rPr>
      <t xml:space="preserve">7. P </t>
    </r>
    <r>
      <rPr>
        <sz val="10"/>
        <color rgb="FF333333"/>
        <rFont val="Noto Sans CJK SC"/>
        <family val="2"/>
      </rPr>
      <t xml:space="preserve">與 </t>
    </r>
    <r>
      <rPr>
        <sz val="10"/>
        <color rgb="FF333333"/>
        <rFont val="Arial"/>
        <family val="0"/>
        <charset val="1"/>
      </rPr>
      <t xml:space="preserve">I </t>
    </r>
    <r>
      <rPr>
        <sz val="10"/>
        <color rgb="FF333333"/>
        <rFont val="Noto Sans CJK SC"/>
        <family val="2"/>
      </rPr>
      <t xml:space="preserve">的四捨五入採 </t>
    </r>
    <r>
      <rPr>
        <sz val="10"/>
        <color rgb="FF333333"/>
        <rFont val="Arial"/>
        <family val="0"/>
        <charset val="1"/>
      </rPr>
      <t xml:space="preserve">half-up</t>
    </r>
    <r>
      <rPr>
        <sz val="10"/>
        <color rgb="FF333333"/>
        <rFont val="Noto Sans CJK SC"/>
        <family val="2"/>
      </rPr>
      <t xml:space="preserve">（</t>
    </r>
    <r>
      <rPr>
        <sz val="10"/>
        <color rgb="FF333333"/>
        <rFont val="Arial"/>
        <family val="0"/>
        <charset val="1"/>
      </rPr>
      <t xml:space="preserve">4.5 → 5</t>
    </r>
    <r>
      <rPr>
        <sz val="10"/>
        <color rgb="FF333333"/>
        <rFont val="Noto Sans CJK SC"/>
        <family val="2"/>
      </rPr>
      <t xml:space="preserve">），與 </t>
    </r>
    <r>
      <rPr>
        <sz val="10"/>
        <color rgb="FF333333"/>
        <rFont val="Arial"/>
        <family val="0"/>
        <charset val="1"/>
      </rPr>
      <t xml:space="preserve">Excel</t>
    </r>
    <r>
      <rPr>
        <sz val="10"/>
        <color rgb="FF333333"/>
        <rFont val="Noto Sans CJK SC"/>
        <family val="2"/>
      </rPr>
      <t xml:space="preserve">／</t>
    </r>
    <r>
      <rPr>
        <sz val="10"/>
        <color rgb="FF333333"/>
        <rFont val="Arial"/>
        <family val="0"/>
        <charset val="1"/>
      </rPr>
      <t xml:space="preserve">FineBI </t>
    </r>
    <r>
      <rPr>
        <sz val="10"/>
        <color rgb="FF333333"/>
        <rFont val="Noto Sans CJK SC"/>
        <family val="2"/>
      </rPr>
      <t xml:space="preserve">的 </t>
    </r>
    <r>
      <rPr>
        <sz val="10"/>
        <color rgb="FF333333"/>
        <rFont val="Arial"/>
        <family val="0"/>
        <charset val="1"/>
      </rPr>
      <t xml:space="preserve">ROUND </t>
    </r>
    <r>
      <rPr>
        <sz val="10"/>
        <color rgb="FF333333"/>
        <rFont val="Noto Sans CJK SC"/>
        <family val="2"/>
      </rPr>
      <t xml:space="preserve">一致，本檔公式可直接重現平台數值。</t>
    </r>
  </si>
  <si>
    <t xml:space="preserve">黃色輸入格的來源對照</t>
  </si>
  <si>
    <t xml:space="preserve">本檔所有淺黃色儲存格皆為原始輸入，不含任何人工估計。下表逐欄說明其來源檔案、工作表、欄位與取數方式；其餘白色儲存格一律由這些輸入值以公式推導。</t>
  </si>
  <si>
    <t xml:space="preserve">本檔工作表</t>
  </si>
  <si>
    <t xml:space="preserve">欄</t>
  </si>
  <si>
    <t xml:space="preserve">欄位名稱</t>
  </si>
  <si>
    <t xml:space="preserve">來源檔案</t>
  </si>
  <si>
    <r>
      <rPr>
        <b val="true"/>
        <sz val="10"/>
        <color rgb="FF000000"/>
        <rFont val="Noto Sans CJK SC"/>
        <family val="2"/>
      </rPr>
      <t xml:space="preserve">來源工作表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欄</t>
    </r>
  </si>
  <si>
    <t xml:space="preserve">取數或計算方式</t>
  </si>
  <si>
    <t xml:space="preserve">本期範例</t>
  </si>
  <si>
    <r>
      <rPr>
        <sz val="9.5"/>
        <color rgb="FF000000"/>
        <rFont val="Arial"/>
        <family val="0"/>
        <charset val="1"/>
      </rPr>
      <t xml:space="preserve">11_</t>
    </r>
    <r>
      <rPr>
        <sz val="9.5"/>
        <color rgb="FF000000"/>
        <rFont val="Noto Sans CJK SC"/>
        <family val="2"/>
      </rPr>
      <t xml:space="preserve">風險矩陣</t>
    </r>
    <r>
      <rPr>
        <sz val="9.5"/>
        <color rgb="FF000000"/>
        <rFont val="Arial"/>
        <family val="0"/>
        <charset val="1"/>
      </rPr>
      <t xml:space="preserve">_</t>
    </r>
    <r>
      <rPr>
        <sz val="9.5"/>
        <color rgb="FF000000"/>
        <rFont val="Noto Sans CJK SC"/>
        <family val="2"/>
      </rPr>
      <t xml:space="preserve">逐案計算</t>
    </r>
  </si>
  <si>
    <t xml:space="preserve">E</t>
  </si>
  <si>
    <t xml:space="preserve">類別</t>
  </si>
  <si>
    <t xml:space="preserve">PLM014.xlsx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</si>
  <si>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A </t>
    </r>
    <r>
      <rPr>
        <sz val="9.5"/>
        <color rgb="FF000000"/>
        <rFont val="Noto Sans CJK SC"/>
        <family val="2"/>
      </rPr>
      <t xml:space="preserve">欄「專案類別」</t>
    </r>
  </si>
  <si>
    <r>
      <rPr>
        <sz val="9.5"/>
        <color rgb="FF000000"/>
        <rFont val="Noto Sans CJK SC"/>
        <family val="2"/>
      </rPr>
      <t xml:space="preserve">取首字元：</t>
    </r>
    <r>
      <rPr>
        <sz val="9.5"/>
        <color rgb="FF000000"/>
        <rFont val="Arial"/>
        <family val="0"/>
        <charset val="1"/>
      </rPr>
      <t xml:space="preserve">K-</t>
    </r>
    <r>
      <rPr>
        <sz val="9.5"/>
        <color rgb="FF000000"/>
        <rFont val="Noto Sans CJK SC"/>
        <family val="2"/>
      </rPr>
      <t xml:space="preserve">關鍵→</t>
    </r>
    <r>
      <rPr>
        <sz val="9.5"/>
        <color rgb="FF000000"/>
        <rFont val="Arial"/>
        <family val="0"/>
        <charset val="1"/>
      </rPr>
      <t xml:space="preserve">K</t>
    </r>
    <r>
      <rPr>
        <sz val="9.5"/>
        <color rgb="FF000000"/>
        <rFont val="Noto Sans CJK SC"/>
        <family val="2"/>
      </rPr>
      <t xml:space="preserve">、</t>
    </r>
    <r>
      <rPr>
        <sz val="9.5"/>
        <color rgb="FF000000"/>
        <rFont val="Arial"/>
        <family val="0"/>
        <charset val="1"/>
      </rPr>
      <t xml:space="preserve">D-</t>
    </r>
    <r>
      <rPr>
        <sz val="9.5"/>
        <color rgb="FF000000"/>
        <rFont val="Noto Sans CJK SC"/>
        <family val="2"/>
      </rPr>
      <t xml:space="preserve">協同→</t>
    </r>
    <r>
      <rPr>
        <sz val="9.5"/>
        <color rgb="FF000000"/>
        <rFont val="Arial"/>
        <family val="0"/>
        <charset val="1"/>
      </rPr>
      <t xml:space="preserve">D</t>
    </r>
    <r>
      <rPr>
        <sz val="9.5"/>
        <color rgb="FF000000"/>
        <rFont val="Noto Sans CJK SC"/>
        <family val="2"/>
      </rPr>
      <t xml:space="preserve">、</t>
    </r>
    <r>
      <rPr>
        <sz val="9.5"/>
        <color rgb="FF000000"/>
        <rFont val="Arial"/>
        <family val="0"/>
        <charset val="1"/>
      </rPr>
      <t xml:space="preserve">M-</t>
    </r>
    <r>
      <rPr>
        <sz val="9.5"/>
        <color rgb="FF000000"/>
        <rFont val="Noto Sans CJK SC"/>
        <family val="2"/>
      </rPr>
      <t xml:space="preserve">養護→</t>
    </r>
    <r>
      <rPr>
        <sz val="9.5"/>
        <color rgb="FF000000"/>
        <rFont val="Arial"/>
        <family val="0"/>
        <charset val="1"/>
      </rPr>
      <t xml:space="preserve">M</t>
    </r>
    <r>
      <rPr>
        <sz val="9.5"/>
        <color rgb="FF000000"/>
        <rFont val="Noto Sans CJK SC"/>
        <family val="2"/>
      </rPr>
      <t xml:space="preserve">、</t>
    </r>
    <r>
      <rPr>
        <sz val="9.5"/>
        <color rgb="FF000000"/>
        <rFont val="Arial"/>
        <family val="0"/>
        <charset val="1"/>
      </rPr>
      <t xml:space="preserve">E-</t>
    </r>
    <r>
      <rPr>
        <sz val="9.5"/>
        <color rgb="FF000000"/>
        <rFont val="Noto Sans CJK SC"/>
        <family val="2"/>
      </rPr>
      <t xml:space="preserve">設備→</t>
    </r>
    <r>
      <rPr>
        <sz val="9.5"/>
        <color rgb="FF000000"/>
        <rFont val="Arial"/>
        <family val="0"/>
        <charset val="1"/>
      </rPr>
      <t xml:space="preserve">E</t>
    </r>
    <r>
      <rPr>
        <sz val="9.5"/>
        <color rgb="FF000000"/>
        <rFont val="Noto Sans CJK SC"/>
        <family val="2"/>
      </rPr>
      <t xml:space="preserve">、</t>
    </r>
    <r>
      <rPr>
        <sz val="9.5"/>
        <color rgb="FF000000"/>
        <rFont val="Arial"/>
        <family val="0"/>
        <charset val="1"/>
      </rPr>
      <t xml:space="preserve">G-</t>
    </r>
    <r>
      <rPr>
        <sz val="9.5"/>
        <color rgb="FF000000"/>
        <rFont val="Noto Sans CJK SC"/>
        <family val="2"/>
      </rPr>
      <t xml:space="preserve">治具→</t>
    </r>
    <r>
      <rPr>
        <sz val="9.5"/>
        <color rgb="FF000000"/>
        <rFont val="Arial"/>
        <family val="0"/>
        <charset val="1"/>
      </rPr>
      <t xml:space="preserve">G</t>
    </r>
  </si>
  <si>
    <t xml:space="preserve">D250101R1 → D</t>
  </si>
  <si>
    <t xml:space="preserve">F</t>
  </si>
  <si>
    <t xml:space="preserve">逾期天數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</si>
  <si>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I </t>
    </r>
    <r>
      <rPr>
        <sz val="9.5"/>
        <color rgb="FF000000"/>
        <rFont val="Noto Sans CJK SC"/>
        <family val="2"/>
      </rPr>
      <t xml:space="preserve">欄「預計完成日」</t>
    </r>
  </si>
  <si>
    <r>
      <rPr>
        <sz val="9.5"/>
        <color rgb="FF000000"/>
        <rFont val="Noto Sans CJK SC"/>
        <family val="2"/>
      </rPr>
      <t xml:space="preserve">在製案＝</t>
    </r>
    <r>
      <rPr>
        <sz val="9.5"/>
        <color rgb="FF000000"/>
        <rFont val="Arial"/>
        <family val="0"/>
        <charset val="1"/>
      </rPr>
      <t xml:space="preserve">MAX(0, </t>
    </r>
    <r>
      <rPr>
        <sz val="9.5"/>
        <color rgb="FF000000"/>
        <rFont val="Noto Sans CJK SC"/>
        <family val="2"/>
      </rPr>
      <t xml:space="preserve">參考日 − </t>
    </r>
    <r>
      <rPr>
        <sz val="9.5"/>
        <color rgb="FF000000"/>
        <rFont val="Arial"/>
        <family val="0"/>
        <charset val="1"/>
      </rPr>
      <t xml:space="preserve">I </t>
    </r>
    <r>
      <rPr>
        <sz val="9.5"/>
        <color rgb="FF000000"/>
        <rFont val="Noto Sans CJK SC"/>
        <family val="2"/>
      </rPr>
      <t xml:space="preserve">欄</t>
    </r>
    <r>
      <rPr>
        <sz val="9.5"/>
        <color rgb="FF000000"/>
        <rFont val="Arial"/>
        <family val="0"/>
        <charset val="1"/>
      </rPr>
      <t xml:space="preserve">)</t>
    </r>
    <r>
      <rPr>
        <sz val="9.5"/>
        <color rgb="FF000000"/>
        <rFont val="Noto Sans CJK SC"/>
        <family val="2"/>
      </rPr>
      <t xml:space="preserve">；參考日為資料基準日 </t>
    </r>
    <r>
      <rPr>
        <sz val="9.5"/>
        <color rgb="FF000000"/>
        <rFont val="Arial"/>
        <family val="0"/>
        <charset val="1"/>
      </rPr>
      <t xml:space="preserve">2026-08-14</t>
    </r>
    <r>
      <rPr>
        <sz val="9.5"/>
        <color rgb="FF000000"/>
        <rFont val="Noto Sans CJK SC"/>
        <family val="2"/>
      </rPr>
      <t xml:space="preserve">。已結案案改用 </t>
    </r>
    <r>
      <rPr>
        <sz val="9.5"/>
        <color rgb="FF000000"/>
        <rFont val="Arial"/>
        <family val="0"/>
        <charset val="1"/>
      </rPr>
      <t xml:space="preserve">N </t>
    </r>
    <r>
      <rPr>
        <sz val="9.5"/>
        <color rgb="FF000000"/>
        <rFont val="Noto Sans CJK SC"/>
        <family val="2"/>
      </rPr>
      <t xml:space="preserve">欄結案日，但本表僅含在製案</t>
    </r>
  </si>
  <si>
    <r>
      <rPr>
        <sz val="9.5"/>
        <color rgb="FF000000"/>
        <rFont val="Arial"/>
        <family val="0"/>
        <charset val="1"/>
      </rPr>
      <t xml:space="preserve">D250101R1 → 472 </t>
    </r>
    <r>
      <rPr>
        <sz val="9.5"/>
        <color rgb="FF000000"/>
        <rFont val="Noto Sans CJK SC"/>
        <family val="2"/>
      </rPr>
      <t xml:space="preserve">天</t>
    </r>
  </si>
  <si>
    <t xml:space="preserve">G</t>
  </si>
  <si>
    <t xml:space="preserve">SPI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</si>
  <si>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Q / J / L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</si>
  <si>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Arial"/>
        <family val="0"/>
        <charset val="1"/>
      </rPr>
      <t xml:space="preserve">SPI = Q </t>
    </r>
    <r>
      <rPr>
        <sz val="9.5"/>
        <color rgb="FF000000"/>
        <rFont val="Noto Sans CJK SC"/>
        <family val="2"/>
      </rPr>
      <t xml:space="preserve">專案總進度 </t>
    </r>
    <r>
      <rPr>
        <sz val="9.5"/>
        <color rgb="FF000000"/>
        <rFont val="Arial"/>
        <family val="0"/>
        <charset val="1"/>
      </rPr>
      <t xml:space="preserve">÷ </t>
    </r>
    <r>
      <rPr>
        <sz val="9.5"/>
        <color rgb="FF000000"/>
        <rFont val="Noto Sans CJK SC"/>
        <family val="2"/>
      </rPr>
      <t xml:space="preserve">時程消耗比；時程消耗比 </t>
    </r>
    <r>
      <rPr>
        <sz val="9.5"/>
        <color rgb="FF000000"/>
        <rFont val="Arial"/>
        <family val="0"/>
        <charset val="1"/>
      </rPr>
      <t xml:space="preserve">= </t>
    </r>
    <r>
      <rPr>
        <sz val="9.5"/>
        <color rgb="FF000000"/>
        <rFont val="Noto Sans CJK SC"/>
        <family val="2"/>
      </rPr>
      <t xml:space="preserve">已耗工作日 </t>
    </r>
    <r>
      <rPr>
        <sz val="9.5"/>
        <color rgb="FF000000"/>
        <rFont val="Arial"/>
        <family val="0"/>
        <charset val="1"/>
      </rPr>
      <t xml:space="preserve">÷ J </t>
    </r>
    <r>
      <rPr>
        <sz val="9.5"/>
        <color rgb="FF000000"/>
        <rFont val="Noto Sans CJK SC"/>
        <family val="2"/>
      </rPr>
      <t xml:space="preserve">預計專案周期</t>
    </r>
    <r>
      <rPr>
        <sz val="9.5"/>
        <color rgb="FF000000"/>
        <rFont val="Arial"/>
        <family val="0"/>
        <charset val="1"/>
      </rPr>
      <t xml:space="preserve">(</t>
    </r>
    <r>
      <rPr>
        <sz val="9.5"/>
        <color rgb="FF000000"/>
        <rFont val="Noto Sans CJK SC"/>
        <family val="2"/>
      </rPr>
      <t xml:space="preserve">工作日</t>
    </r>
    <r>
      <rPr>
        <sz val="9.5"/>
        <color rgb="FF000000"/>
        <rFont val="Arial"/>
        <family val="0"/>
        <charset val="1"/>
      </rPr>
      <t xml:space="preserve">)</t>
    </r>
    <r>
      <rPr>
        <sz val="9.5"/>
        <color rgb="FF000000"/>
        <rFont val="Noto Sans CJK SC"/>
        <family val="2"/>
      </rPr>
      <t xml:space="preserve">；已耗工作日＝</t>
    </r>
    <r>
      <rPr>
        <sz val="9.5"/>
        <color rgb="FF000000"/>
        <rFont val="Arial"/>
        <family val="0"/>
        <charset val="1"/>
      </rPr>
      <t xml:space="preserve">L </t>
    </r>
    <r>
      <rPr>
        <sz val="9.5"/>
        <color rgb="FF000000"/>
        <rFont val="Noto Sans CJK SC"/>
        <family val="2"/>
      </rPr>
      <t xml:space="preserve">任務實際開始日 → 參考日之工作日數（週一至週五）</t>
    </r>
  </si>
  <si>
    <t xml:space="preserve">D250101R1 → 0.16</t>
  </si>
  <si>
    <t xml:space="preserve">H</t>
  </si>
  <si>
    <t xml:space="preserve">即將異常</t>
  </si>
  <si>
    <r>
      <rPr>
        <sz val="9.5"/>
        <color rgb="FF000000"/>
        <rFont val="Noto Sans CJK SC"/>
        <family val="2"/>
      </rPr>
      <t xml:space="preserve">專案進度表</t>
    </r>
    <r>
      <rPr>
        <sz val="9.5"/>
        <color rgb="FF000000"/>
        <rFont val="Arial"/>
        <family val="0"/>
        <charset val="1"/>
      </rPr>
      <t xml:space="preserve">.xlsx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</si>
  <si>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S </t>
    </r>
    <r>
      <rPr>
        <sz val="9.5"/>
        <color rgb="FF000000"/>
        <rFont val="Noto Sans CJK SC"/>
        <family val="2"/>
      </rPr>
      <t xml:space="preserve">欄「專案是否異常」</t>
    </r>
  </si>
  <si>
    <t xml:space="preserve">文字含「即將異常」→「是」，否則「否」。此欄是專案進度表在本平台唯一保留的專案層用途</t>
  </si>
  <si>
    <r>
      <rPr>
        <sz val="9.5"/>
        <color rgb="FF000000"/>
        <rFont val="Arial"/>
        <family val="0"/>
        <charset val="1"/>
      </rPr>
      <t xml:space="preserve">K250501R2 → </t>
    </r>
    <r>
      <rPr>
        <sz val="9.5"/>
        <color rgb="FF000000"/>
        <rFont val="Noto Sans CJK SC"/>
        <family val="2"/>
      </rPr>
      <t xml:space="preserve">是</t>
    </r>
  </si>
  <si>
    <t xml:space="preserve">I</t>
  </si>
  <si>
    <r>
      <rPr>
        <sz val="9.5"/>
        <color rgb="FF000000"/>
        <rFont val="Noto Sans CJK SC"/>
        <family val="2"/>
      </rPr>
      <t xml:space="preserve">累計費用</t>
    </r>
    <r>
      <rPr>
        <sz val="9.5"/>
        <color rgb="FF000000"/>
        <rFont val="Arial"/>
        <family val="0"/>
        <charset val="1"/>
      </rPr>
      <t xml:space="preserve">(</t>
    </r>
    <r>
      <rPr>
        <sz val="9.5"/>
        <color rgb="FF000000"/>
        <rFont val="Noto Sans CJK SC"/>
        <family val="2"/>
      </rPr>
      <t xml:space="preserve">元</t>
    </r>
    <r>
      <rPr>
        <sz val="9.5"/>
        <color rgb="FF000000"/>
        <rFont val="Arial"/>
        <family val="0"/>
        <charset val="1"/>
      </rPr>
      <t xml:space="preserve">)</t>
    </r>
  </si>
  <si>
    <r>
      <rPr>
        <sz val="9.5"/>
        <color rgb="FF000000"/>
        <rFont val="Arial"/>
        <family val="0"/>
        <charset val="1"/>
      </rPr>
      <t xml:space="preserve">(2026.7</t>
    </r>
    <r>
      <rPr>
        <sz val="9.5"/>
        <color rgb="FF000000"/>
        <rFont val="Noto Sans CJK SC"/>
        <family val="2"/>
      </rPr>
      <t xml:space="preserve">月份</t>
    </r>
    <r>
      <rPr>
        <sz val="9.5"/>
        <color rgb="FF000000"/>
        <rFont val="Arial"/>
        <family val="0"/>
        <charset val="1"/>
      </rPr>
      <t xml:space="preserve">)</t>
    </r>
    <r>
      <rPr>
        <sz val="9.5"/>
        <color rgb="FF000000"/>
        <rFont val="Noto Sans CJK SC"/>
        <family val="2"/>
      </rPr>
      <t xml:space="preserve">研發專案預算與實際統計</t>
    </r>
    <r>
      <rPr>
        <sz val="9.5"/>
        <color rgb="FF000000"/>
        <rFont val="Arial"/>
        <family val="0"/>
        <charset val="1"/>
      </rPr>
      <t xml:space="preserve">.xlsx</t>
    </r>
  </si>
  <si>
    <r>
      <rPr>
        <sz val="9.5"/>
        <color rgb="FF000000"/>
        <rFont val="Arial"/>
        <family val="0"/>
        <charset val="1"/>
      </rPr>
      <t xml:space="preserve">2026</t>
    </r>
    <r>
      <rPr>
        <sz val="9.5"/>
        <color rgb="FF000000"/>
        <rFont val="Noto Sans CJK SC"/>
        <family val="2"/>
      </rPr>
      <t xml:space="preserve">年</t>
    </r>
    <r>
      <rPr>
        <sz val="9.5"/>
        <color rgb="FF000000"/>
        <rFont val="Arial"/>
        <family val="0"/>
        <charset val="1"/>
      </rPr>
      <t xml:space="preserve">-</t>
    </r>
    <r>
      <rPr>
        <sz val="9.5"/>
        <color rgb="FF000000"/>
        <rFont val="Noto Sans CJK SC"/>
        <family val="2"/>
      </rPr>
      <t xml:space="preserve">專案費用統計</t>
    </r>
    <r>
      <rPr>
        <sz val="9.5"/>
        <color rgb="FF000000"/>
        <rFont val="Arial"/>
        <family val="0"/>
        <charset val="1"/>
      </rPr>
      <t xml:space="preserve">(</t>
    </r>
    <r>
      <rPr>
        <sz val="9.5"/>
        <color rgb="FF000000"/>
        <rFont val="Noto Sans CJK SC"/>
        <family val="2"/>
      </rPr>
      <t xml:space="preserve">範圍</t>
    </r>
    <r>
      <rPr>
        <sz val="9.5"/>
        <color rgb="FF000000"/>
        <rFont val="Arial"/>
        <family val="0"/>
        <charset val="1"/>
      </rPr>
      <t xml:space="preserve">)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V </t>
    </r>
    <r>
      <rPr>
        <sz val="9.5"/>
        <color rgb="FF000000"/>
        <rFont val="Noto Sans CJK SC"/>
        <family val="2"/>
      </rPr>
      <t xml:space="preserve">欄「專案總累計費用」</t>
    </r>
  </si>
  <si>
    <r>
      <rPr>
        <sz val="9.5"/>
        <color rgb="FF000000"/>
        <rFont val="Noto Sans CJK SC"/>
        <family val="2"/>
      </rPr>
      <t xml:space="preserve">直接取用；</t>
    </r>
    <r>
      <rPr>
        <sz val="9.5"/>
        <color rgb="FF000000"/>
        <rFont val="Arial"/>
        <family val="0"/>
        <charset val="1"/>
      </rPr>
      <t xml:space="preserve">A </t>
    </r>
    <r>
      <rPr>
        <sz val="9.5"/>
        <color rgb="FF000000"/>
        <rFont val="Noto Sans CJK SC"/>
        <family val="2"/>
      </rPr>
      <t xml:space="preserve">欄部門為合併儲存格，讀取時需向下填滿才能正確對應</t>
    </r>
  </si>
  <si>
    <t xml:space="preserve">D250101R1 → 2,549,601</t>
  </si>
  <si>
    <t xml:space="preserve">J</t>
  </si>
  <si>
    <t xml:space="preserve">投入人力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</si>
  <si>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Y </t>
    </r>
    <r>
      <rPr>
        <sz val="9.5"/>
        <color rgb="FF000000"/>
        <rFont val="Noto Sans CJK SC"/>
        <family val="2"/>
      </rPr>
      <t xml:space="preserve">欄起（每人 </t>
    </r>
    <r>
      <rPr>
        <sz val="9.5"/>
        <color rgb="FF000000"/>
        <rFont val="Arial"/>
        <family val="0"/>
        <charset val="1"/>
      </rPr>
      <t xml:space="preserve">2 </t>
    </r>
    <r>
      <rPr>
        <sz val="9.5"/>
        <color rgb="FF000000"/>
        <rFont val="Noto Sans CJK SC"/>
        <family val="2"/>
      </rPr>
      <t xml:space="preserve">欄：預計／實際）</t>
    </r>
  </si>
  <si>
    <r>
      <rPr>
        <sz val="9.5"/>
        <color rgb="FF000000"/>
        <rFont val="Noto Sans CJK SC"/>
        <family val="2"/>
      </rPr>
      <t xml:space="preserve">該專案中「預計或實際設計工時 </t>
    </r>
    <r>
      <rPr>
        <sz val="9.5"/>
        <color rgb="FF000000"/>
        <rFont val="Arial"/>
        <family val="0"/>
        <charset val="1"/>
      </rPr>
      <t xml:space="preserve">&gt; 0</t>
    </r>
    <r>
      <rPr>
        <sz val="9.5"/>
        <color rgb="FF000000"/>
        <rFont val="Noto Sans CJK SC"/>
        <family val="2"/>
      </rPr>
      <t xml:space="preserve">」之人數。第 </t>
    </r>
    <r>
      <rPr>
        <sz val="9.5"/>
        <color rgb="FF000000"/>
        <rFont val="Arial"/>
        <family val="0"/>
        <charset val="1"/>
      </rPr>
      <t xml:space="preserve">3 </t>
    </r>
    <r>
      <rPr>
        <sz val="9.5"/>
        <color rgb="FF000000"/>
        <rFont val="Noto Sans CJK SC"/>
        <family val="2"/>
      </rPr>
      <t xml:space="preserve">列為單位群組、第 </t>
    </r>
    <r>
      <rPr>
        <sz val="9.5"/>
        <color rgb="FF000000"/>
        <rFont val="Arial"/>
        <family val="0"/>
        <charset val="1"/>
      </rPr>
      <t xml:space="preserve">4 </t>
    </r>
    <r>
      <rPr>
        <sz val="9.5"/>
        <color rgb="FF000000"/>
        <rFont val="Noto Sans CJK SC"/>
        <family val="2"/>
      </rPr>
      <t xml:space="preserve">列為姓名、第 </t>
    </r>
    <r>
      <rPr>
        <sz val="9.5"/>
        <color rgb="FF000000"/>
        <rFont val="Arial"/>
        <family val="0"/>
        <charset val="1"/>
      </rPr>
      <t xml:space="preserve">5 </t>
    </r>
    <r>
      <rPr>
        <sz val="9.5"/>
        <color rgb="FF000000"/>
        <rFont val="Noto Sans CJK SC"/>
        <family val="2"/>
      </rPr>
      <t xml:space="preserve">列為預計／實際</t>
    </r>
  </si>
  <si>
    <r>
      <rPr>
        <sz val="9.5"/>
        <color rgb="FF000000"/>
        <rFont val="Arial"/>
        <family val="0"/>
        <charset val="1"/>
      </rPr>
      <t xml:space="preserve">D250101R1 → 7 </t>
    </r>
    <r>
      <rPr>
        <sz val="9.5"/>
        <color rgb="FF000000"/>
        <rFont val="Noto Sans CJK SC"/>
        <family val="2"/>
      </rPr>
      <t xml:space="preserve">人</t>
    </r>
  </si>
  <si>
    <r>
      <rPr>
        <sz val="9.5"/>
        <color rgb="FF000000"/>
        <rFont val="Arial"/>
        <family val="0"/>
        <charset val="1"/>
      </rPr>
      <t xml:space="preserve">31_</t>
    </r>
    <r>
      <rPr>
        <sz val="9.5"/>
        <color rgb="FF000000"/>
        <rFont val="Noto Sans CJK SC"/>
        <family val="2"/>
      </rPr>
      <t xml:space="preserve">異常專案</t>
    </r>
    <r>
      <rPr>
        <sz val="9.5"/>
        <color rgb="FF000000"/>
        <rFont val="Arial"/>
        <family val="0"/>
        <charset val="1"/>
      </rPr>
      <t xml:space="preserve">_</t>
    </r>
    <r>
      <rPr>
        <sz val="9.5"/>
        <color rgb="FF000000"/>
        <rFont val="Noto Sans CJK SC"/>
        <family val="2"/>
      </rPr>
      <t xml:space="preserve">逐案判定</t>
    </r>
  </si>
  <si>
    <t xml:space="preserve">狀態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</si>
  <si>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G </t>
    </r>
    <r>
      <rPr>
        <sz val="9.5"/>
        <color rgb="FF000000"/>
        <rFont val="Noto Sans CJK SC"/>
        <family val="2"/>
      </rPr>
      <t xml:space="preserve">欄「專案狀態」</t>
    </r>
  </si>
  <si>
    <r>
      <rPr>
        <sz val="9.5"/>
        <color rgb="FF000000"/>
        <rFont val="Arial"/>
        <family val="0"/>
        <charset val="1"/>
      </rPr>
      <t xml:space="preserve">Active</t>
    </r>
    <r>
      <rPr>
        <sz val="9.5"/>
        <color rgb="FF000000"/>
        <rFont val="Noto Sans CJK SC"/>
        <family val="2"/>
      </rPr>
      <t xml:space="preserve">／</t>
    </r>
    <r>
      <rPr>
        <sz val="9.5"/>
        <color rgb="FF000000"/>
        <rFont val="Arial"/>
        <family val="0"/>
        <charset val="1"/>
      </rPr>
      <t xml:space="preserve">Closed</t>
    </r>
    <r>
      <rPr>
        <sz val="9.5"/>
        <color rgb="FF000000"/>
        <rFont val="Noto Sans CJK SC"/>
        <family val="2"/>
      </rPr>
      <t xml:space="preserve">／</t>
    </r>
    <r>
      <rPr>
        <sz val="9.5"/>
        <color rgb="FF000000"/>
        <rFont val="Arial"/>
        <family val="0"/>
        <charset val="1"/>
      </rPr>
      <t xml:space="preserve">Cancelled</t>
    </r>
    <r>
      <rPr>
        <sz val="9.5"/>
        <color rgb="FF000000"/>
        <rFont val="Noto Sans CJK SC"/>
        <family val="2"/>
      </rPr>
      <t xml:space="preserve">；範圍判定用</t>
    </r>
  </si>
  <si>
    <t xml:space="preserve">D250101R1 → Active</t>
  </si>
  <si>
    <r>
      <rPr>
        <sz val="9.5"/>
        <color rgb="FF000000"/>
        <rFont val="Noto Sans CJK SC"/>
        <family val="2"/>
      </rPr>
      <t xml:space="preserve">進度</t>
    </r>
    <r>
      <rPr>
        <sz val="9.5"/>
        <color rgb="FF000000"/>
        <rFont val="Arial"/>
        <family val="0"/>
        <charset val="1"/>
      </rPr>
      <t xml:space="preserve">%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</si>
  <si>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Q </t>
    </r>
    <r>
      <rPr>
        <sz val="9.5"/>
        <color rgb="FF000000"/>
        <rFont val="Noto Sans CJK SC"/>
        <family val="2"/>
      </rPr>
      <t xml:space="preserve">欄「專案總進度」</t>
    </r>
  </si>
  <si>
    <r>
      <rPr>
        <sz val="9.5"/>
        <color rgb="FF000000"/>
        <rFont val="Noto Sans CJK SC"/>
        <family val="2"/>
      </rPr>
      <t xml:space="preserve">直接取用，不重估。進度 </t>
    </r>
    <r>
      <rPr>
        <sz val="9.5"/>
        <color rgb="FF000000"/>
        <rFont val="Arial"/>
        <family val="0"/>
        <charset val="1"/>
      </rPr>
      <t xml:space="preserve">=100% </t>
    </r>
    <r>
      <rPr>
        <sz val="9.5"/>
        <color rgb="FF000000"/>
        <rFont val="Noto Sans CJK SC"/>
        <family val="2"/>
      </rPr>
      <t xml:space="preserve">者不納入⑤</t>
    </r>
  </si>
  <si>
    <t xml:space="preserve">D250101R1 → 98</t>
  </si>
  <si>
    <r>
      <rPr>
        <sz val="9.5"/>
        <color rgb="FF000000"/>
        <rFont val="Arial"/>
        <family val="0"/>
        <charset val="1"/>
      </rPr>
      <t xml:space="preserve">MAX(0, </t>
    </r>
    <r>
      <rPr>
        <sz val="9.5"/>
        <color rgb="FF000000"/>
        <rFont val="Noto Sans CJK SC"/>
        <family val="2"/>
      </rPr>
      <t xml:space="preserve">參考日 </t>
    </r>
    <r>
      <rPr>
        <sz val="9.5"/>
        <color rgb="FF000000"/>
        <rFont val="Arial"/>
        <family val="0"/>
        <charset val="1"/>
      </rPr>
      <t xml:space="preserve">2026-08-14 − I </t>
    </r>
    <r>
      <rPr>
        <sz val="9.5"/>
        <color rgb="FF000000"/>
        <rFont val="Noto Sans CJK SC"/>
        <family val="2"/>
      </rPr>
      <t xml:space="preserve">欄</t>
    </r>
    <r>
      <rPr>
        <sz val="9.5"/>
        <color rgb="FF000000"/>
        <rFont val="Arial"/>
        <family val="0"/>
        <charset val="1"/>
      </rPr>
      <t xml:space="preserve">)</t>
    </r>
  </si>
  <si>
    <t xml:space="preserve">D250101R1 → 472</t>
  </si>
  <si>
    <r>
      <rPr>
        <sz val="9.5"/>
        <color rgb="FF000000"/>
        <rFont val="Noto Sans CJK SC"/>
        <family val="2"/>
      </rPr>
      <t xml:space="preserve">同 </t>
    </r>
    <r>
      <rPr>
        <sz val="9.5"/>
        <color rgb="FF000000"/>
        <rFont val="Arial"/>
        <family val="0"/>
        <charset val="1"/>
      </rPr>
      <t xml:space="preserve">11 </t>
    </r>
    <r>
      <rPr>
        <sz val="9.5"/>
        <color rgb="FF000000"/>
        <rFont val="Noto Sans CJK SC"/>
        <family val="2"/>
      </rPr>
      <t xml:space="preserve">表 </t>
    </r>
    <r>
      <rPr>
        <sz val="9.5"/>
        <color rgb="FF000000"/>
        <rFont val="Arial"/>
        <family val="0"/>
        <charset val="1"/>
      </rPr>
      <t xml:space="preserve">G </t>
    </r>
    <r>
      <rPr>
        <sz val="9.5"/>
        <color rgb="FF000000"/>
        <rFont val="Noto Sans CJK SC"/>
        <family val="2"/>
      </rPr>
      <t xml:space="preserve">欄之算法</t>
    </r>
  </si>
  <si>
    <t xml:space="preserve">文字含「即將異常」→ 是</t>
  </si>
  <si>
    <t xml:space="preserve">K / L</t>
  </si>
  <si>
    <t xml:space="preserve">預計／實際設計工時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</si>
  <si>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Y </t>
    </r>
    <r>
      <rPr>
        <sz val="9.5"/>
        <color rgb="FF000000"/>
        <rFont val="Noto Sans CJK SC"/>
        <family val="2"/>
      </rPr>
      <t xml:space="preserve">欄起（每人 </t>
    </r>
    <r>
      <rPr>
        <sz val="9.5"/>
        <color rgb="FF000000"/>
        <rFont val="Arial"/>
        <family val="0"/>
        <charset val="1"/>
      </rPr>
      <t xml:space="preserve">2 </t>
    </r>
    <r>
      <rPr>
        <sz val="9.5"/>
        <color rgb="FF000000"/>
        <rFont val="Noto Sans CJK SC"/>
        <family val="2"/>
      </rPr>
      <t xml:space="preserve">欄）</t>
    </r>
  </si>
  <si>
    <r>
      <rPr>
        <sz val="9.5"/>
        <color rgb="FF000000"/>
        <rFont val="Noto Sans CJK SC"/>
        <family val="2"/>
      </rPr>
      <t xml:space="preserve">逐人加總；用於「工時未登錄」判定（預計 </t>
    </r>
    <r>
      <rPr>
        <sz val="9.5"/>
        <color rgb="FF000000"/>
        <rFont val="Arial"/>
        <family val="0"/>
        <charset val="1"/>
      </rPr>
      <t xml:space="preserve">&gt;0 </t>
    </r>
    <r>
      <rPr>
        <sz val="9.5"/>
        <color rgb="FF000000"/>
        <rFont val="Noto Sans CJK SC"/>
        <family val="2"/>
      </rPr>
      <t xml:space="preserve">且實際 </t>
    </r>
    <r>
      <rPr>
        <sz val="9.5"/>
        <color rgb="FF000000"/>
        <rFont val="Arial"/>
        <family val="0"/>
        <charset val="1"/>
      </rPr>
      <t xml:space="preserve">=0</t>
    </r>
    <r>
      <rPr>
        <sz val="9.5"/>
        <color rgb="FF000000"/>
        <rFont val="Noto Sans CJK SC"/>
        <family val="2"/>
      </rPr>
      <t xml:space="preserve">）</t>
    </r>
  </si>
  <si>
    <t xml:space="preserve">M240704P1 → 368 / 0</t>
  </si>
  <si>
    <t xml:space="preserve">M / N</t>
  </si>
  <si>
    <t xml:space="preserve">預算／實際費用</t>
  </si>
  <si>
    <r>
      <rPr>
        <sz val="9.5"/>
        <color rgb="FF000000"/>
        <rFont val="Arial"/>
        <family val="0"/>
        <charset val="1"/>
      </rPr>
      <t xml:space="preserve">(</t>
    </r>
    <r>
      <rPr>
        <sz val="9.5"/>
        <color rgb="FF000000"/>
        <rFont val="Noto Sans CJK SC"/>
        <family val="2"/>
      </rPr>
      <t xml:space="preserve">預計</t>
    </r>
    <r>
      <rPr>
        <sz val="9.5"/>
        <color rgb="FF000000"/>
        <rFont val="Arial"/>
        <family val="0"/>
        <charset val="1"/>
      </rPr>
      <t xml:space="preserve">)</t>
    </r>
    <r>
      <rPr>
        <sz val="9.5"/>
        <color rgb="FF000000"/>
        <rFont val="Noto Sans CJK SC"/>
        <family val="2"/>
      </rPr>
      <t xml:space="preserve">專案費用統計 </t>
    </r>
    <r>
      <rPr>
        <sz val="9.5"/>
        <color rgb="FF000000"/>
        <rFont val="Arial"/>
        <family val="0"/>
        <charset val="1"/>
      </rPr>
      <t xml:space="preserve">R </t>
    </r>
    <r>
      <rPr>
        <sz val="9.5"/>
        <color rgb="FF000000"/>
        <rFont val="Noto Sans CJK SC"/>
        <family val="2"/>
      </rPr>
      <t xml:space="preserve">欄；</t>
    </r>
    <r>
      <rPr>
        <sz val="9.5"/>
        <color rgb="FF000000"/>
        <rFont val="Arial"/>
        <family val="0"/>
        <charset val="1"/>
      </rPr>
      <t xml:space="preserve">2026</t>
    </r>
    <r>
      <rPr>
        <sz val="9.5"/>
        <color rgb="FF000000"/>
        <rFont val="Noto Sans CJK SC"/>
        <family val="2"/>
      </rPr>
      <t xml:space="preserve">年</t>
    </r>
    <r>
      <rPr>
        <sz val="9.5"/>
        <color rgb="FF000000"/>
        <rFont val="Arial"/>
        <family val="0"/>
        <charset val="1"/>
      </rPr>
      <t xml:space="preserve">-</t>
    </r>
    <r>
      <rPr>
        <sz val="9.5"/>
        <color rgb="FF000000"/>
        <rFont val="Noto Sans CJK SC"/>
        <family val="2"/>
      </rPr>
      <t xml:space="preserve">專案費用統計</t>
    </r>
    <r>
      <rPr>
        <sz val="9.5"/>
        <color rgb="FF000000"/>
        <rFont val="Arial"/>
        <family val="0"/>
        <charset val="1"/>
      </rPr>
      <t xml:space="preserve">(</t>
    </r>
    <r>
      <rPr>
        <sz val="9.5"/>
        <color rgb="FF000000"/>
        <rFont val="Noto Sans CJK SC"/>
        <family val="2"/>
      </rPr>
      <t xml:space="preserve">範圍</t>
    </r>
    <r>
      <rPr>
        <sz val="9.5"/>
        <color rgb="FF000000"/>
        <rFont val="Arial"/>
        <family val="0"/>
        <charset val="1"/>
      </rPr>
      <t xml:space="preserve">) V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</si>
  <si>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用於「預算超支」判定（</t>
    </r>
    <r>
      <rPr>
        <sz val="9.5"/>
        <color rgb="FF000000"/>
        <rFont val="Arial"/>
        <family val="0"/>
        <charset val="1"/>
      </rPr>
      <t xml:space="preserve">N ÷ M &gt; 150%</t>
    </r>
    <r>
      <rPr>
        <sz val="9.5"/>
        <color rgb="FF000000"/>
        <rFont val="Noto Sans CJK SC"/>
        <family val="2"/>
      </rPr>
      <t xml:space="preserve">）；</t>
    </r>
    <r>
      <rPr>
        <sz val="9.5"/>
        <color rgb="FF000000"/>
        <rFont val="Arial"/>
        <family val="0"/>
        <charset val="1"/>
      </rPr>
      <t xml:space="preserve">M = 0 </t>
    </r>
    <r>
      <rPr>
        <sz val="9.5"/>
        <color rgb="FF000000"/>
        <rFont val="Noto Sans CJK SC"/>
        <family val="2"/>
      </rPr>
      <t xml:space="preserve">者不判定</t>
    </r>
  </si>
  <si>
    <t xml:space="preserve">M251001R1 → 687,370 / 4,962,281</t>
  </si>
  <si>
    <r>
      <rPr>
        <sz val="9.5"/>
        <color rgb="FF000000"/>
        <rFont val="Arial"/>
        <family val="0"/>
        <charset val="1"/>
      </rPr>
      <t xml:space="preserve">20_</t>
    </r>
    <r>
      <rPr>
        <sz val="9.5"/>
        <color rgb="FF000000"/>
        <rFont val="Noto Sans CJK SC"/>
        <family val="2"/>
      </rPr>
      <t xml:space="preserve">人力負荷</t>
    </r>
    <r>
      <rPr>
        <sz val="9.5"/>
        <color rgb="FF000000"/>
        <rFont val="Arial"/>
        <family val="0"/>
        <charset val="1"/>
      </rPr>
      <t xml:space="preserve">_</t>
    </r>
    <r>
      <rPr>
        <sz val="9.5"/>
        <color rgb="FF000000"/>
        <rFont val="Noto Sans CJK SC"/>
        <family val="2"/>
      </rPr>
      <t xml:space="preserve">計算規則</t>
    </r>
  </si>
  <si>
    <t xml:space="preserve">B</t>
  </si>
  <si>
    <t xml:space="preserve">標準月工時</t>
  </si>
  <si>
    <t xml:space="preserve">參數（內部設定）</t>
  </si>
  <si>
    <r>
      <rPr>
        <sz val="9.5"/>
        <color rgb="FF000000"/>
        <rFont val="Arial"/>
        <family val="0"/>
        <charset val="1"/>
      </rPr>
      <t xml:space="preserve">176 hr</t>
    </r>
    <r>
      <rPr>
        <sz val="9.5"/>
        <color rgb="FF000000"/>
        <rFont val="Noto Sans CJK SC"/>
        <family val="2"/>
      </rPr>
      <t xml:space="preserve">／月＝每日 </t>
    </r>
    <r>
      <rPr>
        <sz val="9.5"/>
        <color rgb="FF000000"/>
        <rFont val="Arial"/>
        <family val="0"/>
        <charset val="1"/>
      </rPr>
      <t xml:space="preserve">8 </t>
    </r>
    <r>
      <rPr>
        <sz val="9.5"/>
        <color rgb="FF000000"/>
        <rFont val="Noto Sans CJK SC"/>
        <family val="2"/>
      </rPr>
      <t xml:space="preserve">小時 </t>
    </r>
    <r>
      <rPr>
        <sz val="9.5"/>
        <color rgb="FF000000"/>
        <rFont val="Arial"/>
        <family val="0"/>
        <charset val="1"/>
      </rPr>
      <t xml:space="preserve">× </t>
    </r>
    <r>
      <rPr>
        <sz val="9.5"/>
        <color rgb="FF000000"/>
        <rFont val="Noto Sans CJK SC"/>
        <family val="2"/>
      </rPr>
      <t xml:space="preserve">月平均 </t>
    </r>
    <r>
      <rPr>
        <sz val="9.5"/>
        <color rgb="FF000000"/>
        <rFont val="Arial"/>
        <family val="0"/>
        <charset val="1"/>
      </rPr>
      <t xml:space="preserve">22 </t>
    </r>
    <r>
      <rPr>
        <sz val="9.5"/>
        <color rgb="FF000000"/>
        <rFont val="Noto Sans CJK SC"/>
        <family val="2"/>
      </rPr>
      <t xml:space="preserve">個工作日，依《勞動基準法》第 </t>
    </r>
    <r>
      <rPr>
        <sz val="9.5"/>
        <color rgb="FF000000"/>
        <rFont val="Arial"/>
        <family val="0"/>
        <charset val="1"/>
      </rPr>
      <t xml:space="preserve">30 </t>
    </r>
    <r>
      <rPr>
        <sz val="9.5"/>
        <color rgb="FF000000"/>
        <rFont val="Noto Sans CJK SC"/>
        <family val="2"/>
      </rPr>
      <t xml:space="preserve">條之正常工時</t>
    </r>
  </si>
  <si>
    <t xml:space="preserve">176</t>
  </si>
  <si>
    <t xml:space="preserve">計算月數</t>
  </si>
  <si>
    <r>
      <rPr>
        <sz val="9.5"/>
        <color rgb="FF000000"/>
        <rFont val="Noto Sans CJK SC"/>
        <family val="2"/>
      </rPr>
      <t xml:space="preserve">負荷率採近 </t>
    </r>
    <r>
      <rPr>
        <sz val="9.5"/>
        <color rgb="FF000000"/>
        <rFont val="Arial"/>
        <family val="0"/>
        <charset val="1"/>
      </rPr>
      <t xml:space="preserve">6 </t>
    </r>
    <r>
      <rPr>
        <sz val="9.5"/>
        <color rgb="FF000000"/>
        <rFont val="Noto Sans CJK SC"/>
        <family val="2"/>
      </rPr>
      <t xml:space="preserve">個月滾動視窗（本期 </t>
    </r>
    <r>
      <rPr>
        <sz val="9.5"/>
        <color rgb="FF000000"/>
        <rFont val="Arial"/>
        <family val="0"/>
        <charset val="1"/>
      </rPr>
      <t xml:space="preserve">2026-03 ~ 2026-08</t>
    </r>
    <r>
      <rPr>
        <sz val="9.5"/>
        <color rgb="FF000000"/>
        <rFont val="Noto Sans CJK SC"/>
        <family val="2"/>
      </rPr>
      <t xml:space="preserve">）</t>
    </r>
  </si>
  <si>
    <t xml:space="preserve">6</t>
  </si>
  <si>
    <t xml:space="preserve">末月可出勤／全月工作日</t>
  </si>
  <si>
    <t xml:space="preserve">參數（依基準日計算）</t>
  </si>
  <si>
    <r>
      <rPr>
        <sz val="9.5"/>
        <color rgb="FF000000"/>
        <rFont val="Arial"/>
        <family val="0"/>
        <charset val="1"/>
      </rPr>
      <t xml:space="preserve">2026-08-01 ~ </t>
    </r>
    <r>
      <rPr>
        <sz val="9.5"/>
        <color rgb="FF000000"/>
        <rFont val="Noto Sans CJK SC"/>
        <family val="2"/>
      </rPr>
      <t xml:space="preserve">基準日 </t>
    </r>
    <r>
      <rPr>
        <sz val="9.5"/>
        <color rgb="FF000000"/>
        <rFont val="Arial"/>
        <family val="0"/>
        <charset val="1"/>
      </rPr>
      <t xml:space="preserve">2026-08-14 </t>
    </r>
    <r>
      <rPr>
        <sz val="9.5"/>
        <color rgb="FF000000"/>
        <rFont val="Noto Sans CJK SC"/>
        <family val="2"/>
      </rPr>
      <t xml:space="preserve">之工作日 </t>
    </r>
    <r>
      <rPr>
        <sz val="9.5"/>
        <color rgb="FF000000"/>
        <rFont val="Arial"/>
        <family val="0"/>
        <charset val="1"/>
      </rPr>
      <t xml:space="preserve">10 </t>
    </r>
    <r>
      <rPr>
        <sz val="9.5"/>
        <color rgb="FF000000"/>
        <rFont val="Noto Sans CJK SC"/>
        <family val="2"/>
      </rPr>
      <t xml:space="preserve">日；</t>
    </r>
    <r>
      <rPr>
        <sz val="9.5"/>
        <color rgb="FF000000"/>
        <rFont val="Arial"/>
        <family val="0"/>
        <charset val="1"/>
      </rPr>
      <t xml:space="preserve">2026 </t>
    </r>
    <r>
      <rPr>
        <sz val="9.5"/>
        <color rgb="FF000000"/>
        <rFont val="Noto Sans CJK SC"/>
        <family val="2"/>
      </rPr>
      <t xml:space="preserve">年 </t>
    </r>
    <r>
      <rPr>
        <sz val="9.5"/>
        <color rgb="FF000000"/>
        <rFont val="Arial"/>
        <family val="0"/>
        <charset val="1"/>
      </rPr>
      <t xml:space="preserve">8 </t>
    </r>
    <r>
      <rPr>
        <sz val="9.5"/>
        <color rgb="FF000000"/>
        <rFont val="Noto Sans CJK SC"/>
        <family val="2"/>
      </rPr>
      <t xml:space="preserve">月全月工作日 </t>
    </r>
    <r>
      <rPr>
        <sz val="9.5"/>
        <color rgb="FF000000"/>
        <rFont val="Arial"/>
        <family val="0"/>
        <charset val="1"/>
      </rPr>
      <t xml:space="preserve">21 </t>
    </r>
    <r>
      <rPr>
        <sz val="9.5"/>
        <color rgb="FF000000"/>
        <rFont val="Noto Sans CJK SC"/>
        <family val="2"/>
      </rPr>
      <t xml:space="preserve">日。換基準日時須更新</t>
    </r>
  </si>
  <si>
    <t xml:space="preserve">10 / 21</t>
  </si>
  <si>
    <t xml:space="preserve">飽和／過載／適中門檻</t>
  </si>
  <si>
    <t xml:space="preserve">參數（內部標準）</t>
  </si>
  <si>
    <r>
      <rPr>
        <sz val="9.5"/>
        <color rgb="FF000000"/>
        <rFont val="Arial"/>
        <family val="0"/>
        <charset val="1"/>
      </rPr>
      <t xml:space="preserve">85%</t>
    </r>
    <r>
      <rPr>
        <sz val="9.5"/>
        <color rgb="FF000000"/>
        <rFont val="Noto Sans CJK SC"/>
        <family val="2"/>
      </rPr>
      <t xml:space="preserve">／</t>
    </r>
    <r>
      <rPr>
        <sz val="9.5"/>
        <color rgb="FF000000"/>
        <rFont val="Arial"/>
        <family val="0"/>
        <charset val="1"/>
      </rPr>
      <t xml:space="preserve">110%</t>
    </r>
    <r>
      <rPr>
        <sz val="9.5"/>
        <color rgb="FF000000"/>
        <rFont val="Noto Sans CJK SC"/>
        <family val="2"/>
      </rPr>
      <t xml:space="preserve">／</t>
    </r>
    <r>
      <rPr>
        <sz val="9.5"/>
        <color rgb="FF000000"/>
        <rFont val="Arial"/>
        <family val="0"/>
        <charset val="1"/>
      </rPr>
      <t xml:space="preserve">60%</t>
    </r>
    <r>
      <rPr>
        <sz val="9.5"/>
        <color rgb="FF000000"/>
        <rFont val="Noto Sans CJK SC"/>
        <family val="2"/>
      </rPr>
      <t xml:space="preserve">。非法規值，可由管理層調整，調整後 </t>
    </r>
    <r>
      <rPr>
        <sz val="9.5"/>
        <color rgb="FF000000"/>
        <rFont val="Arial"/>
        <family val="0"/>
        <charset val="1"/>
      </rPr>
      <t xml:space="preserve">21</t>
    </r>
    <r>
      <rPr>
        <sz val="9.5"/>
        <color rgb="FF000000"/>
        <rFont val="Noto Sans CJK SC"/>
        <family val="2"/>
      </rPr>
      <t xml:space="preserve">、</t>
    </r>
    <r>
      <rPr>
        <sz val="9.5"/>
        <color rgb="FF000000"/>
        <rFont val="Arial"/>
        <family val="0"/>
        <charset val="1"/>
      </rPr>
      <t xml:space="preserve">22 </t>
    </r>
    <r>
      <rPr>
        <sz val="9.5"/>
        <color rgb="FF000000"/>
        <rFont val="Noto Sans CJK SC"/>
        <family val="2"/>
      </rPr>
      <t xml:space="preserve">表同步變動</t>
    </r>
  </si>
  <si>
    <t xml:space="preserve">85 / 110 / 60</t>
  </si>
  <si>
    <t xml:space="preserve">績效切點</t>
  </si>
  <si>
    <r>
      <rPr>
        <sz val="9.5"/>
        <color rgb="FF000000"/>
        <rFont val="Noto Sans CJK SC"/>
        <family val="2"/>
      </rPr>
      <t xml:space="preserve">四象限縱軸切點，取第 </t>
    </r>
    <r>
      <rPr>
        <sz val="9.5"/>
        <color rgb="FF000000"/>
        <rFont val="Arial"/>
        <family val="0"/>
        <charset val="1"/>
      </rPr>
      <t xml:space="preserve">50 </t>
    </r>
    <r>
      <rPr>
        <sz val="9.5"/>
        <color rgb="FF000000"/>
        <rFont val="Noto Sans CJK SC"/>
        <family val="2"/>
      </rPr>
      <t xml:space="preserve">百分位（中位數）</t>
    </r>
  </si>
  <si>
    <t xml:space="preserve">50</t>
  </si>
  <si>
    <r>
      <rPr>
        <sz val="9.5"/>
        <color rgb="FF000000"/>
        <rFont val="Arial"/>
        <family val="0"/>
        <charset val="1"/>
      </rPr>
      <t xml:space="preserve">21_</t>
    </r>
    <r>
      <rPr>
        <sz val="9.5"/>
        <color rgb="FF000000"/>
        <rFont val="Noto Sans CJK SC"/>
        <family val="2"/>
      </rPr>
      <t xml:space="preserve">人力負荷</t>
    </r>
    <r>
      <rPr>
        <sz val="9.5"/>
        <color rgb="FF000000"/>
        <rFont val="Arial"/>
        <family val="0"/>
        <charset val="1"/>
      </rPr>
      <t xml:space="preserve">_</t>
    </r>
    <r>
      <rPr>
        <sz val="9.5"/>
        <color rgb="FF000000"/>
        <rFont val="Noto Sans CJK SC"/>
        <family val="2"/>
      </rPr>
      <t xml:space="preserve">逐人明細</t>
    </r>
  </si>
  <si>
    <r>
      <rPr>
        <sz val="9.5"/>
        <color rgb="FF000000"/>
        <rFont val="Noto Sans CJK SC"/>
        <family val="2"/>
      </rPr>
      <t xml:space="preserve">近半年工時</t>
    </r>
    <r>
      <rPr>
        <sz val="9.5"/>
        <color rgb="FF000000"/>
        <rFont val="Arial"/>
        <family val="0"/>
        <charset val="1"/>
      </rPr>
      <t xml:space="preserve">(hr)</t>
    </r>
  </si>
  <si>
    <t xml:space="preserve">PLM002.xlsx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</si>
  <si>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C / I / J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</si>
  <si>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該人於 </t>
    </r>
    <r>
      <rPr>
        <sz val="9.5"/>
        <color rgb="FF000000"/>
        <rFont val="Arial"/>
        <family val="0"/>
        <charset val="1"/>
      </rPr>
      <t xml:space="preserve">I </t>
    </r>
    <r>
      <rPr>
        <sz val="9.5"/>
        <color rgb="FF000000"/>
        <rFont val="Noto Sans CJK SC"/>
        <family val="2"/>
      </rPr>
      <t xml:space="preserve">欄工作日期落在 </t>
    </r>
    <r>
      <rPr>
        <sz val="9.5"/>
        <color rgb="FF000000"/>
        <rFont val="Arial"/>
        <family val="0"/>
        <charset val="1"/>
      </rPr>
      <t xml:space="preserve">2026-03-01 ~ 2026-08-31 </t>
    </r>
    <r>
      <rPr>
        <sz val="9.5"/>
        <color rgb="FF000000"/>
        <rFont val="Noto Sans CJK SC"/>
        <family val="2"/>
      </rPr>
      <t xml:space="preserve">之 </t>
    </r>
    <r>
      <rPr>
        <sz val="9.5"/>
        <color rgb="FF000000"/>
        <rFont val="Arial"/>
        <family val="0"/>
        <charset val="1"/>
      </rPr>
      <t xml:space="preserve">J </t>
    </r>
    <r>
      <rPr>
        <sz val="9.5"/>
        <color rgb="FF000000"/>
        <rFont val="Noto Sans CJK SC"/>
        <family val="2"/>
      </rPr>
      <t xml:space="preserve">欄工作時數加總（含休假，因分母為應出勤工時）</t>
    </r>
  </si>
  <si>
    <r>
      <rPr>
        <sz val="9.5"/>
        <color rgb="FF000000"/>
        <rFont val="Noto Sans CJK SC"/>
        <family val="2"/>
      </rPr>
      <t xml:space="preserve">許慧芝 → </t>
    </r>
    <r>
      <rPr>
        <sz val="9.5"/>
        <color rgb="FF000000"/>
        <rFont val="Arial"/>
        <family val="0"/>
        <charset val="1"/>
      </rPr>
      <t xml:space="preserve">331.5</t>
    </r>
  </si>
  <si>
    <r>
      <rPr>
        <sz val="9.5"/>
        <color rgb="FF000000"/>
        <rFont val="Noto Sans CJK SC"/>
        <family val="2"/>
      </rPr>
      <t xml:space="preserve">應出勤</t>
    </r>
    <r>
      <rPr>
        <sz val="9.5"/>
        <color rgb="FF000000"/>
        <rFont val="Arial"/>
        <family val="0"/>
        <charset val="1"/>
      </rPr>
      <t xml:space="preserve">(hr)</t>
    </r>
  </si>
  <si>
    <r>
      <rPr>
        <sz val="9.5"/>
        <color rgb="FF000000"/>
        <rFont val="Noto Sans CJK SC"/>
        <family val="2"/>
      </rPr>
      <t xml:space="preserve">研發處人員資料</t>
    </r>
    <r>
      <rPr>
        <sz val="9.5"/>
        <color rgb="FF000000"/>
        <rFont val="Arial"/>
        <family val="0"/>
        <charset val="1"/>
      </rPr>
      <t xml:space="preserve">.xlsx + </t>
    </r>
    <r>
      <rPr>
        <sz val="9.5"/>
        <color rgb="FF000000"/>
        <rFont val="Noto Sans CJK SC"/>
        <family val="2"/>
      </rPr>
      <t xml:space="preserve">參數</t>
    </r>
  </si>
  <si>
    <r>
      <rPr>
        <sz val="9.5"/>
        <color rgb="FF000000"/>
        <rFont val="Noto Sans CJK SC"/>
        <family val="2"/>
      </rPr>
      <t xml:space="preserve">員工簡易表 </t>
    </r>
    <r>
      <rPr>
        <sz val="9.5"/>
        <color rgb="FF000000"/>
        <rFont val="Arial"/>
        <family val="0"/>
        <charset val="1"/>
      </rPr>
      <t xml:space="preserve">E </t>
    </r>
    <r>
      <rPr>
        <sz val="9.5"/>
        <color rgb="FF000000"/>
        <rFont val="Noto Sans CJK SC"/>
        <family val="2"/>
      </rPr>
      <t xml:space="preserve">欄「到職日期」＋ </t>
    </r>
    <r>
      <rPr>
        <sz val="9.5"/>
        <color rgb="FF000000"/>
        <rFont val="Arial"/>
        <family val="0"/>
        <charset val="1"/>
      </rPr>
      <t xml:space="preserve">20 </t>
    </r>
    <r>
      <rPr>
        <sz val="9.5"/>
        <color rgb="FF000000"/>
        <rFont val="Noto Sans CJK SC"/>
        <family val="2"/>
      </rPr>
      <t xml:space="preserve">表參數</t>
    </r>
  </si>
  <si>
    <r>
      <rPr>
        <sz val="9.5"/>
        <color rgb="FF000000"/>
        <rFont val="Arial"/>
        <family val="0"/>
        <charset val="1"/>
      </rPr>
      <t xml:space="preserve">176 hr/</t>
    </r>
    <r>
      <rPr>
        <sz val="9.5"/>
        <color rgb="FF000000"/>
        <rFont val="Noto Sans CJK SC"/>
        <family val="2"/>
      </rPr>
      <t xml:space="preserve">月 </t>
    </r>
    <r>
      <rPr>
        <sz val="9.5"/>
        <color rgb="FF000000"/>
        <rFont val="Arial"/>
        <family val="0"/>
        <charset val="1"/>
      </rPr>
      <t xml:space="preserve">× </t>
    </r>
    <r>
      <rPr>
        <sz val="9.5"/>
        <color rgb="FF000000"/>
        <rFont val="Noto Sans CJK SC"/>
        <family val="2"/>
      </rPr>
      <t xml:space="preserve">該人在視窗內可出勤工作日 </t>
    </r>
    <r>
      <rPr>
        <sz val="9.5"/>
        <color rgb="FF000000"/>
        <rFont val="Arial"/>
        <family val="0"/>
        <charset val="1"/>
      </rPr>
      <t xml:space="preserve">÷ </t>
    </r>
    <r>
      <rPr>
        <sz val="9.5"/>
        <color rgb="FF000000"/>
        <rFont val="Noto Sans CJK SC"/>
        <family val="2"/>
      </rPr>
      <t xml:space="preserve">全月工作日，逐月加總。全期在職者＝</t>
    </r>
    <r>
      <rPr>
        <sz val="9.5"/>
        <color rgb="FF000000"/>
        <rFont val="Arial"/>
        <family val="0"/>
        <charset val="1"/>
      </rPr>
      <t xml:space="preserve">964 hr</t>
    </r>
    <r>
      <rPr>
        <sz val="9.5"/>
        <color rgb="FF000000"/>
        <rFont val="Noto Sans CJK SC"/>
        <family val="2"/>
      </rPr>
      <t xml:space="preserve">（</t>
    </r>
    <r>
      <rPr>
        <sz val="9.5"/>
        <color rgb="FF000000"/>
        <rFont val="Arial"/>
        <family val="0"/>
        <charset val="1"/>
      </rPr>
      <t xml:space="preserve">176×5</t>
    </r>
    <r>
      <rPr>
        <sz val="9.5"/>
        <color rgb="FF000000"/>
        <rFont val="Noto Sans CJK SC"/>
        <family val="2"/>
      </rPr>
      <t xml:space="preserve">＋</t>
    </r>
    <r>
      <rPr>
        <sz val="9.5"/>
        <color rgb="FF000000"/>
        <rFont val="Arial"/>
        <family val="0"/>
        <charset val="1"/>
      </rPr>
      <t xml:space="preserve">176×10/21</t>
    </r>
    <r>
      <rPr>
        <sz val="9.5"/>
        <color rgb="FF000000"/>
        <rFont val="Noto Sans CJK SC"/>
        <family val="2"/>
      </rPr>
      <t xml:space="preserve">）；到職日在 </t>
    </r>
    <r>
      <rPr>
        <sz val="9.5"/>
        <color rgb="FF000000"/>
        <rFont val="Arial"/>
        <family val="0"/>
        <charset val="1"/>
      </rPr>
      <t xml:space="preserve">2026-03 </t>
    </r>
    <r>
      <rPr>
        <sz val="9.5"/>
        <color rgb="FF000000"/>
        <rFont val="Noto Sans CJK SC"/>
        <family val="2"/>
      </rPr>
      <t xml:space="preserve">後者只計到職後工作日，避免新進人員負荷率被低估</t>
    </r>
  </si>
  <si>
    <r>
      <rPr>
        <sz val="9.5"/>
        <color rgb="FF000000"/>
        <rFont val="Noto Sans CJK SC"/>
        <family val="2"/>
      </rPr>
      <t xml:space="preserve">洪尚凰（</t>
    </r>
    <r>
      <rPr>
        <sz val="9.5"/>
        <color rgb="FF000000"/>
        <rFont val="Arial"/>
        <family val="0"/>
        <charset val="1"/>
      </rPr>
      <t xml:space="preserve">7/15 </t>
    </r>
    <r>
      <rPr>
        <sz val="9.5"/>
        <color rgb="FF000000"/>
        <rFont val="Noto Sans CJK SC"/>
        <family val="2"/>
      </rPr>
      <t xml:space="preserve">到職）→ </t>
    </r>
    <r>
      <rPr>
        <sz val="9.5"/>
        <color rgb="FF000000"/>
        <rFont val="Arial"/>
        <family val="0"/>
        <charset val="1"/>
      </rPr>
      <t xml:space="preserve">183.3</t>
    </r>
  </si>
  <si>
    <r>
      <rPr>
        <sz val="9.5"/>
        <color rgb="FF000000"/>
        <rFont val="Noto Sans CJK SC"/>
        <family val="2"/>
      </rPr>
      <t xml:space="preserve">淨工時</t>
    </r>
    <r>
      <rPr>
        <sz val="9.5"/>
        <color rgb="FF000000"/>
        <rFont val="Arial"/>
        <family val="0"/>
        <charset val="1"/>
      </rPr>
      <t xml:space="preserve">(hr)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</si>
  <si>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E / J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</si>
  <si>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該人全期（</t>
    </r>
    <r>
      <rPr>
        <sz val="9.5"/>
        <color rgb="FF000000"/>
        <rFont val="Arial"/>
        <family val="0"/>
        <charset val="1"/>
      </rPr>
      <t xml:space="preserve">2024-06-27 ~ 2026-08-12</t>
    </r>
    <r>
      <rPr>
        <sz val="9.5"/>
        <color rgb="FF000000"/>
        <rFont val="Noto Sans CJK SC"/>
        <family val="2"/>
      </rPr>
      <t xml:space="preserve">）</t>
    </r>
    <r>
      <rPr>
        <sz val="9.5"/>
        <color rgb="FF000000"/>
        <rFont val="Arial"/>
        <family val="0"/>
        <charset val="1"/>
      </rPr>
      <t xml:space="preserve">J </t>
    </r>
    <r>
      <rPr>
        <sz val="9.5"/>
        <color rgb="FF000000"/>
        <rFont val="Noto Sans CJK SC"/>
        <family val="2"/>
      </rPr>
      <t xml:space="preserve">欄工時加總，扣除 </t>
    </r>
    <r>
      <rPr>
        <sz val="9.5"/>
        <color rgb="FF000000"/>
        <rFont val="Arial"/>
        <family val="0"/>
        <charset val="1"/>
      </rPr>
      <t xml:space="preserve">E </t>
    </r>
    <r>
      <rPr>
        <sz val="9.5"/>
        <color rgb="FF000000"/>
        <rFont val="Noto Sans CJK SC"/>
        <family val="2"/>
      </rPr>
      <t xml:space="preserve">欄工時類別＝「休假」者</t>
    </r>
  </si>
  <si>
    <r>
      <rPr>
        <sz val="9.5"/>
        <color rgb="FF000000"/>
        <rFont val="Noto Sans CJK SC"/>
        <family val="2"/>
      </rPr>
      <t xml:space="preserve">許慧芝 → </t>
    </r>
    <r>
      <rPr>
        <sz val="9.5"/>
        <color rgb="FF000000"/>
        <rFont val="Arial"/>
        <family val="0"/>
        <charset val="1"/>
      </rPr>
      <t xml:space="preserve">2,041.0</t>
    </r>
  </si>
  <si>
    <t xml:space="preserve">K</t>
  </si>
  <si>
    <r>
      <rPr>
        <sz val="9.5"/>
        <color rgb="FF000000"/>
        <rFont val="Noto Sans CJK SC"/>
        <family val="2"/>
      </rPr>
      <t xml:space="preserve">專案工時</t>
    </r>
    <r>
      <rPr>
        <sz val="9.5"/>
        <color rgb="FF000000"/>
        <rFont val="Arial"/>
        <family val="0"/>
        <charset val="1"/>
      </rPr>
      <t xml:space="preserve">(hr)</t>
    </r>
  </si>
  <si>
    <r>
      <rPr>
        <sz val="9.5"/>
        <color rgb="FF000000"/>
        <rFont val="Noto Sans CJK SC"/>
        <family val="2"/>
      </rPr>
      <t xml:space="preserve">該人全期 </t>
    </r>
    <r>
      <rPr>
        <sz val="9.5"/>
        <color rgb="FF000000"/>
        <rFont val="Arial"/>
        <family val="0"/>
        <charset val="1"/>
      </rPr>
      <t xml:space="preserve">E </t>
    </r>
    <r>
      <rPr>
        <sz val="9.5"/>
        <color rgb="FF000000"/>
        <rFont val="Noto Sans CJK SC"/>
        <family val="2"/>
      </rPr>
      <t xml:space="preserve">欄工時類別＝「一般專案」之 </t>
    </r>
    <r>
      <rPr>
        <sz val="9.5"/>
        <color rgb="FF000000"/>
        <rFont val="Arial"/>
        <family val="0"/>
        <charset val="1"/>
      </rPr>
      <t xml:space="preserve">J </t>
    </r>
    <r>
      <rPr>
        <sz val="9.5"/>
        <color rgb="FF000000"/>
        <rFont val="Noto Sans CJK SC"/>
        <family val="2"/>
      </rPr>
      <t xml:space="preserve">欄工時加總。實測僅此類別 </t>
    </r>
    <r>
      <rPr>
        <sz val="9.5"/>
        <color rgb="FF000000"/>
        <rFont val="Arial"/>
        <family val="0"/>
        <charset val="1"/>
      </rPr>
      <t xml:space="preserve">100% </t>
    </r>
    <r>
      <rPr>
        <sz val="9.5"/>
        <color rgb="FF000000"/>
        <rFont val="Noto Sans CJK SC"/>
        <family val="2"/>
      </rPr>
      <t xml:space="preserve">填有專案編號，其餘 </t>
    </r>
    <r>
      <rPr>
        <sz val="9.5"/>
        <color rgb="FF000000"/>
        <rFont val="Arial"/>
        <family val="0"/>
        <charset val="1"/>
      </rPr>
      <t xml:space="preserve">14 </t>
    </r>
    <r>
      <rPr>
        <sz val="9.5"/>
        <color rgb="FF000000"/>
        <rFont val="Noto Sans CJK SC"/>
        <family val="2"/>
      </rPr>
      <t xml:space="preserve">類皆低於 </t>
    </r>
    <r>
      <rPr>
        <sz val="9.5"/>
        <color rgb="FF000000"/>
        <rFont val="Arial"/>
        <family val="0"/>
        <charset val="1"/>
      </rPr>
      <t xml:space="preserve">26%</t>
    </r>
  </si>
  <si>
    <r>
      <rPr>
        <sz val="9.5"/>
        <color rgb="FF000000"/>
        <rFont val="Noto Sans CJK SC"/>
        <family val="2"/>
      </rPr>
      <t xml:space="preserve">許慧芝 → </t>
    </r>
    <r>
      <rPr>
        <sz val="9.5"/>
        <color rgb="FF000000"/>
        <rFont val="Arial"/>
        <family val="0"/>
        <charset val="1"/>
      </rPr>
      <t xml:space="preserve">1,791.3</t>
    </r>
  </si>
  <si>
    <t xml:space="preserve">M</t>
  </si>
  <si>
    <t xml:space="preserve">綜合績效百分位</t>
  </si>
  <si>
    <t xml:space="preserve">多來源（衍生指標）</t>
  </si>
  <si>
    <r>
      <rPr>
        <sz val="9.5"/>
        <color rgb="FF000000"/>
        <rFont val="Noto Sans CJK SC"/>
        <family val="2"/>
      </rPr>
      <t xml:space="preserve">九項指標之百分位加權後輸出 </t>
    </r>
    <r>
      <rPr>
        <sz val="9.5"/>
        <color rgb="FF000000"/>
        <rFont val="Arial"/>
        <family val="0"/>
        <charset val="1"/>
      </rPr>
      <t xml:space="preserve">0–100 </t>
    </r>
    <r>
      <rPr>
        <sz val="9.5"/>
        <color rgb="FF000000"/>
        <rFont val="Noto Sans CJK SC"/>
        <family val="2"/>
      </rPr>
      <t xml:space="preserve">分位，定義見《研發戰情室</t>
    </r>
    <r>
      <rPr>
        <sz val="9.5"/>
        <color rgb="FF000000"/>
        <rFont val="Arial"/>
        <family val="0"/>
        <charset val="1"/>
      </rPr>
      <t xml:space="preserve">_</t>
    </r>
    <r>
      <rPr>
        <sz val="9.5"/>
        <color rgb="FF000000"/>
        <rFont val="Noto Sans CJK SC"/>
        <family val="2"/>
      </rPr>
      <t xml:space="preserve">計算與評估方式說明</t>
    </r>
    <r>
      <rPr>
        <sz val="9.5"/>
        <color rgb="FF000000"/>
        <rFont val="Arial"/>
        <family val="0"/>
        <charset val="1"/>
      </rPr>
      <t xml:space="preserve">.md</t>
    </r>
    <r>
      <rPr>
        <sz val="9.5"/>
        <color rgb="FF000000"/>
        <rFont val="Noto Sans CJK SC"/>
        <family val="2"/>
      </rPr>
      <t xml:space="preserve">》</t>
    </r>
    <r>
      <rPr>
        <sz val="9.5"/>
        <color rgb="FF000000"/>
        <rFont val="Arial"/>
        <family val="0"/>
        <charset val="1"/>
      </rPr>
      <t xml:space="preserve">§5</t>
    </r>
    <r>
      <rPr>
        <sz val="9.5"/>
        <color rgb="FF000000"/>
        <rFont val="Noto Sans CJK SC"/>
        <family val="2"/>
      </rPr>
      <t xml:space="preserve">。非本檔可回推之原始值</t>
    </r>
  </si>
  <si>
    <r>
      <rPr>
        <sz val="9.5"/>
        <color rgb="FF000000"/>
        <rFont val="Noto Sans CJK SC"/>
        <family val="2"/>
      </rPr>
      <t xml:space="preserve">許慧芝 → </t>
    </r>
    <r>
      <rPr>
        <sz val="9.5"/>
        <color rgb="FF000000"/>
        <rFont val="Arial"/>
        <family val="0"/>
        <charset val="1"/>
      </rPr>
      <t xml:space="preserve">65.4</t>
    </r>
  </si>
  <si>
    <t xml:space="preserve">C/D/E</t>
  </si>
  <si>
    <t xml:space="preserve">處／部門／職稱</t>
  </si>
  <si>
    <r>
      <rPr>
        <sz val="9.5"/>
        <color rgb="FF000000"/>
        <rFont val="Noto Sans CJK SC"/>
        <family val="2"/>
      </rPr>
      <t xml:space="preserve">研發處人員資料</t>
    </r>
    <r>
      <rPr>
        <sz val="9.5"/>
        <color rgb="FF000000"/>
        <rFont val="Arial"/>
        <family val="0"/>
        <charset val="1"/>
      </rPr>
      <t xml:space="preserve">.xlsx + PLM002.xlsx</t>
    </r>
  </si>
  <si>
    <r>
      <rPr>
        <sz val="9.5"/>
        <color rgb="FF000000"/>
        <rFont val="Noto Sans CJK SC"/>
        <family val="2"/>
      </rPr>
      <t xml:space="preserve">員工簡易表 </t>
    </r>
    <r>
      <rPr>
        <sz val="9.5"/>
        <color rgb="FF000000"/>
        <rFont val="Arial"/>
        <family val="0"/>
        <charset val="1"/>
      </rPr>
      <t xml:space="preserve">C/D/G </t>
    </r>
    <r>
      <rPr>
        <sz val="9.5"/>
        <color rgb="FF000000"/>
        <rFont val="Noto Sans CJK SC"/>
        <family val="2"/>
      </rPr>
      <t xml:space="preserve">欄；</t>
    </r>
    <r>
      <rPr>
        <sz val="9.5"/>
        <color rgb="FF000000"/>
        <rFont val="Arial"/>
        <family val="0"/>
        <charset val="1"/>
      </rPr>
      <t xml:space="preserve">PLM002 A/D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</si>
  <si>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處別由部門代號對應（</t>
    </r>
    <r>
      <rPr>
        <sz val="9.5"/>
        <color rgb="FF000000"/>
        <rFont val="Arial"/>
        <family val="0"/>
        <charset val="1"/>
      </rPr>
      <t xml:space="preserve">RD11xx→</t>
    </r>
    <r>
      <rPr>
        <sz val="9.5"/>
        <color rgb="FF000000"/>
        <rFont val="Noto Sans CJK SC"/>
        <family val="2"/>
      </rPr>
      <t xml:space="preserve">研發一處…）；職稱以名冊「職位名稱」為準</t>
    </r>
  </si>
  <si>
    <r>
      <rPr>
        <sz val="9.5"/>
        <color rgb="FF000000"/>
        <rFont val="Noto Sans CJK SC"/>
        <family val="2"/>
      </rPr>
      <t xml:space="preserve">許慧芝 → 研發一處 </t>
    </r>
    <r>
      <rPr>
        <sz val="9.5"/>
        <color rgb="FF000000"/>
        <rFont val="Arial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研發一處直屬 </t>
    </r>
    <r>
      <rPr>
        <sz val="9.5"/>
        <color rgb="FF000000"/>
        <rFont val="Arial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工程師</t>
    </r>
  </si>
  <si>
    <t xml:space="preserve">Q/R</t>
  </si>
  <si>
    <t xml:space="preserve">在製案／逾期未結</t>
  </si>
  <si>
    <r>
      <rPr>
        <sz val="9.5"/>
        <color rgb="FF000000"/>
        <rFont val="Noto Sans CJK SC"/>
        <family val="2"/>
      </rPr>
      <t xml:space="preserve">專案進度表</t>
    </r>
    <r>
      <rPr>
        <sz val="9.5"/>
        <color rgb="FF000000"/>
        <rFont val="Arial"/>
        <family val="0"/>
        <charset val="1"/>
      </rPr>
      <t xml:space="preserve">.xlsx / PLM001.xlsx</t>
    </r>
  </si>
  <si>
    <r>
      <rPr>
        <sz val="9.5"/>
        <color rgb="FF000000"/>
        <rFont val="Noto Sans CJK SC"/>
        <family val="2"/>
      </rPr>
      <t xml:space="preserve">進度表 </t>
    </r>
    <r>
      <rPr>
        <sz val="9.5"/>
        <color rgb="FF000000"/>
        <rFont val="Arial"/>
        <family val="0"/>
        <charset val="1"/>
      </rPr>
      <t xml:space="preserve">Y </t>
    </r>
    <r>
      <rPr>
        <sz val="9.5"/>
        <color rgb="FF000000"/>
        <rFont val="Noto Sans CJK SC"/>
        <family val="2"/>
      </rPr>
      <t xml:space="preserve">欄起；</t>
    </r>
    <r>
      <rPr>
        <sz val="9.5"/>
        <color rgb="FF000000"/>
        <rFont val="Arial"/>
        <family val="0"/>
        <charset val="1"/>
      </rPr>
      <t xml:space="preserve">PLM001 H / L / O / Q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</si>
  <si>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在製案＝該人有工時之在製專案數；逾期未結＝</t>
    </r>
    <r>
      <rPr>
        <sz val="9.5"/>
        <color rgb="FF000000"/>
        <rFont val="Arial"/>
        <family val="0"/>
        <charset val="1"/>
      </rPr>
      <t xml:space="preserve">PLM001 </t>
    </r>
    <r>
      <rPr>
        <sz val="9.5"/>
        <color rgb="FF000000"/>
        <rFont val="Noto Sans CJK SC"/>
        <family val="2"/>
      </rPr>
      <t xml:space="preserve">中該人為任務負責人、已過 </t>
    </r>
    <r>
      <rPr>
        <sz val="9.5"/>
        <color rgb="FF000000"/>
        <rFont val="Arial"/>
        <family val="0"/>
        <charset val="1"/>
      </rPr>
      <t xml:space="preserve">L </t>
    </r>
    <r>
      <rPr>
        <sz val="9.5"/>
        <color rgb="FF000000"/>
        <rFont val="Noto Sans CJK SC"/>
        <family val="2"/>
      </rPr>
      <t xml:space="preserve">欄預計結束日且 </t>
    </r>
    <r>
      <rPr>
        <sz val="9.5"/>
        <color rgb="FF000000"/>
        <rFont val="Arial"/>
        <family val="0"/>
        <charset val="1"/>
      </rPr>
      <t xml:space="preserve">O </t>
    </r>
    <r>
      <rPr>
        <sz val="9.5"/>
        <color rgb="FF000000"/>
        <rFont val="Noto Sans CJK SC"/>
        <family val="2"/>
      </rPr>
      <t xml:space="preserve">欄狀態非 </t>
    </r>
    <r>
      <rPr>
        <sz val="9.5"/>
        <color rgb="FF000000"/>
        <rFont val="Arial"/>
        <family val="0"/>
        <charset val="1"/>
      </rPr>
      <t xml:space="preserve">Complete </t>
    </r>
    <r>
      <rPr>
        <sz val="9.5"/>
        <color rgb="FF000000"/>
        <rFont val="Noto Sans CJK SC"/>
        <family val="2"/>
      </rPr>
      <t xml:space="preserve">之任務數</t>
    </r>
  </si>
  <si>
    <r>
      <rPr>
        <sz val="9.5"/>
        <color rgb="FF000000"/>
        <rFont val="Noto Sans CJK SC"/>
        <family val="2"/>
      </rPr>
      <t xml:space="preserve">許慧芝 → </t>
    </r>
    <r>
      <rPr>
        <sz val="9.5"/>
        <color rgb="FF000000"/>
        <rFont val="Arial"/>
        <family val="0"/>
        <charset val="1"/>
      </rPr>
      <t xml:space="preserve">10 </t>
    </r>
    <r>
      <rPr>
        <sz val="9.5"/>
        <color rgb="FF000000"/>
        <rFont val="Noto Sans CJK SC"/>
        <family val="2"/>
      </rPr>
      <t xml:space="preserve">案 </t>
    </r>
    <r>
      <rPr>
        <sz val="9.5"/>
        <color rgb="FF000000"/>
        <rFont val="Arial"/>
        <family val="0"/>
        <charset val="1"/>
      </rPr>
      <t xml:space="preserve">/ 13 </t>
    </r>
    <r>
      <rPr>
        <sz val="9.5"/>
        <color rgb="FF000000"/>
        <rFont val="Noto Sans CJK SC"/>
        <family val="2"/>
      </rPr>
      <t xml:space="preserve">項</t>
    </r>
  </si>
  <si>
    <r>
      <rPr>
        <sz val="9.5"/>
        <color rgb="FF000000"/>
        <rFont val="Arial"/>
        <family val="0"/>
        <charset val="1"/>
      </rPr>
      <t xml:space="preserve">23_</t>
    </r>
    <r>
      <rPr>
        <sz val="9.5"/>
        <color rgb="FF000000"/>
        <rFont val="Noto Sans CJK SC"/>
        <family val="2"/>
      </rPr>
      <t xml:space="preserve">未排入專案人員</t>
    </r>
  </si>
  <si>
    <t xml:space="preserve">B/C/D/G</t>
  </si>
  <si>
    <t xml:space="preserve">工號／姓名／職位名稱／到職日</t>
  </si>
  <si>
    <r>
      <rPr>
        <sz val="9.5"/>
        <color rgb="FF000000"/>
        <rFont val="Noto Sans CJK SC"/>
        <family val="2"/>
      </rPr>
      <t xml:space="preserve">研發處人員資料</t>
    </r>
    <r>
      <rPr>
        <sz val="9.5"/>
        <color rgb="FF000000"/>
        <rFont val="Arial"/>
        <family val="0"/>
        <charset val="1"/>
      </rPr>
      <t xml:space="preserve">.xlsx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</si>
  <si>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A / B / G / E </t>
    </r>
    <r>
      <rPr>
        <sz val="9.5"/>
        <color rgb="FF000000"/>
        <rFont val="Noto Sans CJK SC"/>
        <family val="2"/>
      </rPr>
      <t xml:space="preserve">欄（第 </t>
    </r>
    <r>
      <rPr>
        <sz val="9.5"/>
        <color rgb="FF000000"/>
        <rFont val="Arial"/>
        <family val="0"/>
        <charset val="1"/>
      </rPr>
      <t xml:space="preserve">6 </t>
    </r>
    <r>
      <rPr>
        <sz val="9.5"/>
        <color rgb="FF000000"/>
        <rFont val="Noto Sans CJK SC"/>
        <family val="2"/>
      </rPr>
      <t xml:space="preserve">列起）</t>
    </r>
  </si>
  <si>
    <r>
      <rPr>
        <sz val="9.5"/>
        <color rgb="FF000000"/>
        <rFont val="Noto Sans CJK SC"/>
        <family val="2"/>
      </rPr>
      <t xml:space="preserve">官方員工簡易表，列印日期 </t>
    </r>
    <r>
      <rPr>
        <sz val="9.5"/>
        <color rgb="FF000000"/>
        <rFont val="Arial"/>
        <family val="0"/>
        <charset val="1"/>
      </rPr>
      <t xml:space="preserve">2026-08-13</t>
    </r>
    <r>
      <rPr>
        <sz val="9.5"/>
        <color rgb="FF000000"/>
        <rFont val="Noto Sans CJK SC"/>
        <family val="2"/>
      </rPr>
      <t xml:space="preserve">。排除職位名稱含「工讀」者</t>
    </r>
  </si>
  <si>
    <r>
      <rPr>
        <sz val="9.5"/>
        <color rgb="FF000000"/>
        <rFont val="Noto Sans CJK SC"/>
        <family val="2"/>
      </rPr>
      <t xml:space="preserve">王志文 </t>
    </r>
    <r>
      <rPr>
        <sz val="9.5"/>
        <color rgb="FF000000"/>
        <rFont val="Arial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處長 </t>
    </r>
    <r>
      <rPr>
        <sz val="9.5"/>
        <color rgb="FF000000"/>
        <rFont val="Arial"/>
        <family val="0"/>
        <charset val="1"/>
      </rPr>
      <t xml:space="preserve">/ 1998-07-16</t>
    </r>
  </si>
  <si>
    <t xml:space="preserve">E/F</t>
  </si>
  <si>
    <t xml:space="preserve">處／部門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</si>
  <si>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C / D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</si>
  <si>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以部門代號（</t>
    </r>
    <r>
      <rPr>
        <sz val="9.5"/>
        <color rgb="FF000000"/>
        <rFont val="Arial"/>
        <family val="0"/>
        <charset val="1"/>
      </rPr>
      <t xml:space="preserve">RD1000~RD2300</t>
    </r>
    <r>
      <rPr>
        <sz val="9.5"/>
        <color rgb="FF000000"/>
        <rFont val="Noto Sans CJK SC"/>
        <family val="2"/>
      </rPr>
      <t xml:space="preserve">）對應處別，不使用部門簡稱文字</t>
    </r>
  </si>
  <si>
    <r>
      <rPr>
        <sz val="9.5"/>
        <color rgb="FF000000"/>
        <rFont val="Arial"/>
        <family val="0"/>
        <charset val="1"/>
      </rPr>
      <t xml:space="preserve">RD2000 → </t>
    </r>
    <r>
      <rPr>
        <sz val="9.5"/>
        <color rgb="FF000000"/>
        <rFont val="Noto Sans CJK SC"/>
        <family val="2"/>
      </rPr>
      <t xml:space="preserve">研發二處</t>
    </r>
  </si>
  <si>
    <t xml:space="preserve">J/K</t>
  </si>
  <si>
    <t xml:space="preserve">累計工時／最後回報月</t>
  </si>
  <si>
    <r>
      <rPr>
        <sz val="9.5"/>
        <color rgb="FF000000"/>
        <rFont val="Noto Sans CJK SC"/>
        <family val="2"/>
      </rPr>
      <t xml:space="preserve">以姓名比對；名冊有而 </t>
    </r>
    <r>
      <rPr>
        <sz val="9.5"/>
        <color rgb="FF000000"/>
        <rFont val="Arial"/>
        <family val="0"/>
        <charset val="1"/>
      </rPr>
      <t xml:space="preserve">PLM002 </t>
    </r>
    <r>
      <rPr>
        <sz val="9.5"/>
        <color rgb="FF000000"/>
        <rFont val="Noto Sans CJK SC"/>
        <family val="2"/>
      </rPr>
      <t xml:space="preserve">無回報者顯示「無回報」</t>
    </r>
  </si>
  <si>
    <t xml:space="preserve">鄭華瑜 → 無回報</t>
  </si>
  <si>
    <t xml:space="preserve">共通說明</t>
  </si>
  <si>
    <r>
      <rPr>
        <sz val="10"/>
        <color rgb="FF333333"/>
        <rFont val="Arial"/>
        <family val="0"/>
        <charset val="1"/>
      </rPr>
      <t xml:space="preserve">1. </t>
    </r>
    <r>
      <rPr>
        <sz val="10"/>
        <color rgb="FF333333"/>
        <rFont val="Noto Sans CJK SC"/>
        <family val="2"/>
      </rPr>
      <t xml:space="preserve">上表「來源檔案」皆位於 </t>
    </r>
    <r>
      <rPr>
        <sz val="10"/>
        <color rgb="FF333333"/>
        <rFont val="Arial"/>
        <family val="0"/>
        <charset val="1"/>
      </rPr>
      <t xml:space="preserve">C:\Git-Data\</t>
    </r>
    <r>
      <rPr>
        <sz val="10"/>
        <color rgb="FF333333"/>
        <rFont val="Noto Sans CJK SC"/>
        <family val="2"/>
      </rPr>
      <t xml:space="preserve">工作報表</t>
    </r>
    <r>
      <rPr>
        <sz val="10"/>
        <color rgb="FF333333"/>
        <rFont val="Arial"/>
        <family val="0"/>
        <charset val="1"/>
      </rPr>
      <t xml:space="preserve">\</t>
    </r>
    <r>
      <rPr>
        <sz val="10"/>
        <color rgb="FF333333"/>
        <rFont val="Noto Sans CJK SC"/>
        <family val="2"/>
      </rPr>
      <t xml:space="preserve">研發戰情室</t>
    </r>
    <r>
      <rPr>
        <sz val="10"/>
        <color rgb="FF333333"/>
        <rFont val="Arial"/>
        <family val="0"/>
        <charset val="1"/>
      </rPr>
      <t xml:space="preserve">\</t>
    </r>
    <r>
      <rPr>
        <sz val="10"/>
        <color rgb="FF333333"/>
        <rFont val="Noto Sans CJK SC"/>
        <family val="2"/>
      </rPr>
      <t xml:space="preserve">，共 </t>
    </r>
    <r>
      <rPr>
        <sz val="10"/>
        <color rgb="FF333333"/>
        <rFont val="Arial"/>
        <family val="0"/>
        <charset val="1"/>
      </rPr>
      <t xml:space="preserve">6 </t>
    </r>
    <r>
      <rPr>
        <sz val="10"/>
        <color rgb="FF333333"/>
        <rFont val="Noto Sans CJK SC"/>
        <family val="2"/>
      </rPr>
      <t xml:space="preserve">個檔案（</t>
    </r>
    <r>
      <rPr>
        <sz val="10"/>
        <color rgb="FF333333"/>
        <rFont val="Arial"/>
        <family val="0"/>
        <charset val="1"/>
      </rPr>
      <t xml:space="preserve">PLM014</t>
    </r>
    <r>
      <rPr>
        <sz val="10"/>
        <color rgb="FF333333"/>
        <rFont val="Noto Sans CJK SC"/>
        <family val="2"/>
      </rPr>
      <t xml:space="preserve">、專案進度表、</t>
    </r>
    <r>
      <rPr>
        <sz val="10"/>
        <color rgb="FF333333"/>
        <rFont val="Arial"/>
        <family val="0"/>
        <charset val="1"/>
      </rPr>
      <t xml:space="preserve">PLM001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Arial"/>
        <family val="0"/>
        <charset val="1"/>
      </rPr>
      <t xml:space="preserve">PLM002</t>
    </r>
    <r>
      <rPr>
        <sz val="10"/>
        <color rgb="FF333333"/>
        <rFont val="Noto Sans CJK SC"/>
        <family val="2"/>
      </rPr>
      <t xml:space="preserve">、預算與實際統計、研發處人員資料）。</t>
    </r>
  </si>
  <si>
    <r>
      <rPr>
        <sz val="10"/>
        <color rgb="FF333333"/>
        <rFont val="Arial"/>
        <family val="0"/>
        <charset val="1"/>
      </rPr>
      <t xml:space="preserve">2. </t>
    </r>
    <r>
      <rPr>
        <sz val="10"/>
        <color rgb="FF333333"/>
        <rFont val="Noto Sans CJK SC"/>
        <family val="2"/>
      </rPr>
      <t xml:space="preserve">標示「參數（內部設定／內部標準）」者不是從系統取得的資料，而是本平台的計算前提，已集中放在 </t>
    </r>
    <r>
      <rPr>
        <sz val="10"/>
        <color rgb="FF333333"/>
        <rFont val="Arial"/>
        <family val="0"/>
        <charset val="1"/>
      </rPr>
      <t xml:space="preserve">20 </t>
    </r>
    <r>
      <rPr>
        <sz val="10"/>
        <color rgb="FF333333"/>
        <rFont val="Noto Sans CJK SC"/>
        <family val="2"/>
      </rPr>
      <t xml:space="preserve">表的參數區，修改後全檔自動重算。</t>
    </r>
  </si>
  <si>
    <r>
      <rPr>
        <sz val="10"/>
        <color rgb="FF333333"/>
        <rFont val="Arial"/>
        <family val="0"/>
        <charset val="1"/>
      </rPr>
      <t xml:space="preserve">3. </t>
    </r>
    <r>
      <rPr>
        <sz val="10"/>
        <color rgb="FF333333"/>
        <rFont val="Noto Sans CJK SC"/>
        <family val="2"/>
      </rPr>
      <t xml:space="preserve">「綜合績效百分位」是唯一無法從本檔輸入值回推的欄位（需九項指標的完整母體排序），故以結果值帶入並標為輸入。</t>
    </r>
  </si>
  <si>
    <r>
      <rPr>
        <sz val="10"/>
        <color rgb="FF333333"/>
        <rFont val="Arial"/>
        <family val="0"/>
        <charset val="1"/>
      </rPr>
      <t xml:space="preserve">4. </t>
    </r>
    <r>
      <rPr>
        <sz val="10"/>
        <color rgb="FF333333"/>
        <rFont val="Noto Sans CJK SC"/>
        <family val="2"/>
      </rPr>
      <t xml:space="preserve">工作日定義：週一至週五，不扣國定假日 —— 與 </t>
    </r>
    <r>
      <rPr>
        <sz val="10"/>
        <color rgb="FF333333"/>
        <rFont val="Arial"/>
        <family val="0"/>
        <charset val="1"/>
      </rPr>
      <t xml:space="preserve">PLM014 </t>
    </r>
    <r>
      <rPr>
        <sz val="10"/>
        <color rgb="FF333333"/>
        <rFont val="Noto Sans CJK SC"/>
        <family val="2"/>
      </rPr>
      <t xml:space="preserve">原生「預計專案周期（工作日）」的口徑一致。</t>
    </r>
  </si>
  <si>
    <t xml:space="preserve">風險矩陣　評分規則</t>
  </si>
  <si>
    <r>
      <rPr>
        <sz val="9.5"/>
        <color rgb="FF595959"/>
        <rFont val="Noto Sans CJK SC"/>
        <family val="2"/>
      </rPr>
      <t xml:space="preserve">風險值 </t>
    </r>
    <r>
      <rPr>
        <sz val="9.5"/>
        <color rgb="FF595959"/>
        <rFont val="Arial"/>
        <family val="0"/>
        <charset val="1"/>
      </rPr>
      <t xml:space="preserve">= P</t>
    </r>
    <r>
      <rPr>
        <sz val="9.5"/>
        <color rgb="FF595959"/>
        <rFont val="Noto Sans CJK SC"/>
        <family val="2"/>
      </rPr>
      <t xml:space="preserve">（發生機率 </t>
    </r>
    <r>
      <rPr>
        <sz val="9.5"/>
        <color rgb="FF595959"/>
        <rFont val="Arial"/>
        <family val="0"/>
        <charset val="1"/>
      </rPr>
      <t xml:space="preserve">1–5</t>
    </r>
    <r>
      <rPr>
        <sz val="9.5"/>
        <color rgb="FF595959"/>
        <rFont val="Noto Sans CJK SC"/>
        <family val="2"/>
      </rPr>
      <t xml:space="preserve">） </t>
    </r>
    <r>
      <rPr>
        <sz val="9.5"/>
        <color rgb="FF595959"/>
        <rFont val="Arial"/>
        <family val="0"/>
        <charset val="1"/>
      </rPr>
      <t xml:space="preserve">× I</t>
    </r>
    <r>
      <rPr>
        <sz val="9.5"/>
        <color rgb="FF595959"/>
        <rFont val="Noto Sans CJK SC"/>
        <family val="2"/>
      </rPr>
      <t xml:space="preserve">（衝擊程度 </t>
    </r>
    <r>
      <rPr>
        <sz val="9.5"/>
        <color rgb="FF595959"/>
        <rFont val="Arial"/>
        <family val="0"/>
        <charset val="1"/>
      </rPr>
      <t xml:space="preserve">1–5</t>
    </r>
    <r>
      <rPr>
        <sz val="9.5"/>
        <color rgb="FF595959"/>
        <rFont val="Noto Sans CJK SC"/>
        <family val="2"/>
      </rPr>
      <t xml:space="preserve">），僅評在製專案。門檻為依桓達 </t>
    </r>
    <r>
      <rPr>
        <sz val="9.5"/>
        <color rgb="FF595959"/>
        <rFont val="Arial"/>
        <family val="0"/>
        <charset val="1"/>
      </rPr>
      <t xml:space="preserve">44 </t>
    </r>
    <r>
      <rPr>
        <sz val="9.5"/>
        <color rgb="FF595959"/>
        <rFont val="Noto Sans CJK SC"/>
        <family val="2"/>
      </rPr>
      <t xml:space="preserve">件專案分佈校準之內部標準（</t>
    </r>
    <r>
      <rPr>
        <sz val="9.5"/>
        <color rgb="FF595959"/>
        <rFont val="Arial"/>
        <family val="0"/>
        <charset val="1"/>
      </rPr>
      <t xml:space="preserve">IEC 31010:2019 Annex B </t>
    </r>
    <r>
      <rPr>
        <sz val="9.5"/>
        <color rgb="FF595959"/>
        <rFont val="Noto Sans CJK SC"/>
        <family val="2"/>
      </rPr>
      <t xml:space="preserve">僅規範矩陣形式，不規定門檻）。</t>
    </r>
  </si>
  <si>
    <r>
      <rPr>
        <b val="true"/>
        <sz val="10"/>
        <color rgb="FF000000"/>
        <rFont val="Noto Sans CJK SC"/>
        <family val="2"/>
      </rPr>
      <t xml:space="preserve">縱軸 </t>
    </r>
    <r>
      <rPr>
        <b val="true"/>
        <sz val="10"/>
        <color rgb="FF000000"/>
        <rFont val="Arial"/>
        <family val="0"/>
        <charset val="1"/>
      </rPr>
      <t xml:space="preserve">P</t>
    </r>
    <r>
      <rPr>
        <b val="true"/>
        <sz val="10"/>
        <color rgb="FF000000"/>
        <rFont val="Noto Sans CJK SC"/>
        <family val="2"/>
      </rPr>
      <t xml:space="preserve">　分項</t>
    </r>
  </si>
  <si>
    <t xml:space="preserve">評分規則</t>
  </si>
  <si>
    <t xml:space="preserve">分數</t>
  </si>
  <si>
    <t xml:space="preserve">來源欄位</t>
  </si>
  <si>
    <r>
      <rPr>
        <sz val="10"/>
        <rFont val="Arial"/>
        <family val="0"/>
        <charset val="1"/>
      </rPr>
      <t xml:space="preserve">&gt; 180 </t>
    </r>
    <r>
      <rPr>
        <sz val="10"/>
        <rFont val="Noto Sans CJK SC"/>
        <family val="2"/>
      </rPr>
      <t xml:space="preserve">天</t>
    </r>
  </si>
  <si>
    <r>
      <rPr>
        <sz val="9"/>
        <color rgb="FF595959"/>
        <rFont val="Arial"/>
        <family val="0"/>
        <charset val="1"/>
      </rPr>
      <t xml:space="preserve">PLM014 I </t>
    </r>
    <r>
      <rPr>
        <sz val="9"/>
        <color rgb="FF595959"/>
        <rFont val="Noto Sans CJK SC"/>
        <family val="2"/>
      </rPr>
      <t xml:space="preserve">預計完成日 → 參考日</t>
    </r>
  </si>
  <si>
    <r>
      <rPr>
        <sz val="10"/>
        <rFont val="Arial"/>
        <family val="0"/>
        <charset val="1"/>
      </rPr>
      <t xml:space="preserve">91 – 180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</si>
  <si>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31 – 90 </t>
    </r>
    <r>
      <rPr>
        <sz val="10"/>
        <rFont val="Noto Sans CJK SC"/>
        <family val="2"/>
      </rPr>
      <t xml:space="preserve">天</t>
    </r>
  </si>
  <si>
    <r>
      <rPr>
        <sz val="10"/>
        <rFont val="Arial"/>
        <family val="0"/>
        <charset val="1"/>
      </rPr>
      <t xml:space="preserve">1 – 30 </t>
    </r>
    <r>
      <rPr>
        <sz val="10"/>
        <rFont val="Noto Sans CJK SC"/>
        <family val="2"/>
      </rPr>
      <t xml:space="preserve">天</t>
    </r>
  </si>
  <si>
    <t xml:space="preserve">未逾期</t>
  </si>
  <si>
    <r>
      <rPr>
        <b val="true"/>
        <sz val="10"/>
        <color rgb="FF000000"/>
        <rFont val="Arial"/>
        <family val="0"/>
        <charset val="1"/>
      </rPr>
      <t xml:space="preserve">SPI </t>
    </r>
    <r>
      <rPr>
        <b val="true"/>
        <sz val="10"/>
        <color rgb="FF000000"/>
        <rFont val="Noto Sans CJK SC"/>
        <family val="2"/>
      </rPr>
      <t xml:space="preserve">時程績效</t>
    </r>
  </si>
  <si>
    <t xml:space="preserve">&lt; 0.40</t>
  </si>
  <si>
    <r>
      <rPr>
        <sz val="9"/>
        <color rgb="FF595959"/>
        <rFont val="Arial"/>
        <family val="0"/>
        <charset val="1"/>
      </rPr>
      <t xml:space="preserve">PLM014 Q ÷</t>
    </r>
    <r>
      <rPr>
        <sz val="9"/>
        <color rgb="FF595959"/>
        <rFont val="Noto Sans CJK SC"/>
        <family val="2"/>
      </rPr>
      <t xml:space="preserve">（已耗工作日 </t>
    </r>
    <r>
      <rPr>
        <sz val="9"/>
        <color rgb="FF595959"/>
        <rFont val="Arial"/>
        <family val="0"/>
        <charset val="1"/>
      </rPr>
      <t xml:space="preserve">÷ J</t>
    </r>
    <r>
      <rPr>
        <sz val="9"/>
        <color rgb="FF595959"/>
        <rFont val="Noto Sans CJK SC"/>
        <family val="2"/>
      </rPr>
      <t xml:space="preserve">）</t>
    </r>
  </si>
  <si>
    <t xml:space="preserve">0.40 – 0.59</t>
  </si>
  <si>
    <t xml:space="preserve">0.60 – 0.79</t>
  </si>
  <si>
    <t xml:space="preserve">0.80 – 0.94</t>
  </si>
  <si>
    <t xml:space="preserve">≥ 0.95</t>
  </si>
  <si>
    <t xml:space="preserve">即將異常標記</t>
  </si>
  <si>
    <r>
      <rPr>
        <sz val="10"/>
        <rFont val="Noto Sans CJK SC"/>
        <family val="2"/>
      </rPr>
      <t xml:space="preserve">進度表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欄標記為即將異常　→ 加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分</t>
    </r>
  </si>
  <si>
    <r>
      <rPr>
        <sz val="9"/>
        <color rgb="FF595959"/>
        <rFont val="Noto Sans CJK SC"/>
        <family val="2"/>
      </rPr>
      <t xml:space="preserve">專案進度表 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</si>
  <si>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rFont val="Noto Sans CJK SC"/>
        <family val="2"/>
      </rPr>
      <t xml:space="preserve">未標記　→ 加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分</t>
    </r>
  </si>
  <si>
    <r>
      <rPr>
        <b val="true"/>
        <sz val="10"/>
        <color rgb="FF000000"/>
        <rFont val="Arial"/>
        <family val="0"/>
        <charset val="1"/>
      </rPr>
      <t xml:space="preserve">P </t>
    </r>
    <r>
      <rPr>
        <b val="true"/>
        <sz val="10"/>
        <color rgb="FF000000"/>
        <rFont val="Noto Sans CJK SC"/>
        <family val="2"/>
      </rPr>
      <t xml:space="preserve">合成公式</t>
    </r>
  </si>
  <si>
    <r>
      <rPr>
        <sz val="10"/>
        <rFont val="Arial"/>
        <family val="0"/>
        <charset val="1"/>
      </rPr>
      <t xml:space="preserve">P = ROUND( (</t>
    </r>
    <r>
      <rPr>
        <sz val="10"/>
        <rFont val="Noto Sans CJK SC"/>
        <family val="2"/>
      </rPr>
      <t xml:space="preserve">逾期分 </t>
    </r>
    <r>
      <rPr>
        <sz val="10"/>
        <rFont val="Arial"/>
        <family val="0"/>
        <charset val="1"/>
      </rPr>
      <t xml:space="preserve">+ SPI</t>
    </r>
    <r>
      <rPr>
        <sz val="10"/>
        <rFont val="Noto Sans CJK SC"/>
        <family val="2"/>
      </rPr>
      <t xml:space="preserve">分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即將異常加分</t>
    </r>
    <r>
      <rPr>
        <sz val="10"/>
        <rFont val="Arial"/>
        <family val="0"/>
        <charset val="1"/>
      </rPr>
      <t xml:space="preserve">) / 2 , 0 )</t>
    </r>
    <r>
      <rPr>
        <sz val="10"/>
        <rFont val="Noto Sans CJK SC"/>
        <family val="2"/>
      </rPr>
      <t xml:space="preserve">，上限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、下限 </t>
    </r>
    <r>
      <rPr>
        <sz val="10"/>
        <rFont val="Arial"/>
        <family val="0"/>
        <charset val="1"/>
      </rPr>
      <t xml:space="preserve">1</t>
    </r>
  </si>
  <si>
    <r>
      <rPr>
        <b val="true"/>
        <sz val="10"/>
        <color rgb="FF000000"/>
        <rFont val="Noto Sans CJK SC"/>
        <family val="2"/>
      </rPr>
      <t xml:space="preserve">橫軸 </t>
    </r>
    <r>
      <rPr>
        <b val="true"/>
        <sz val="10"/>
        <color rgb="FF000000"/>
        <rFont val="Arial"/>
        <family val="0"/>
        <charset val="1"/>
      </rPr>
      <t xml:space="preserve">I</t>
    </r>
    <r>
      <rPr>
        <b val="true"/>
        <sz val="10"/>
        <color rgb="FF000000"/>
        <rFont val="Noto Sans CJK SC"/>
        <family val="2"/>
      </rPr>
      <t xml:space="preserve">　分項</t>
    </r>
  </si>
  <si>
    <r>
      <rPr>
        <b val="true"/>
        <sz val="10"/>
        <color rgb="FF000000"/>
        <rFont val="Noto Sans CJK SC"/>
        <family val="2"/>
      </rPr>
      <t xml:space="preserve">權重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來源</t>
    </r>
  </si>
  <si>
    <t xml:space="preserve">專案類別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</si>
  <si>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－關鍵</t>
    </r>
  </si>
  <si>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　</t>
    </r>
    <r>
      <rPr>
        <sz val="9"/>
        <color rgb="FF595959"/>
        <rFont val="Arial"/>
        <family val="0"/>
        <charset val="1"/>
      </rPr>
      <t xml:space="preserve">PLM014 A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</si>
  <si>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－協同</t>
    </r>
  </si>
  <si>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－養護</t>
    </r>
  </si>
  <si>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－其他</t>
    </r>
  </si>
  <si>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－一般</t>
    </r>
  </si>
  <si>
    <t xml:space="preserve">累計費用</t>
  </si>
  <si>
    <r>
      <rPr>
        <sz val="10"/>
        <rFont val="Arial"/>
        <family val="0"/>
        <charset val="1"/>
      </rPr>
      <t xml:space="preserve">&gt; 500 </t>
    </r>
    <r>
      <rPr>
        <sz val="10"/>
        <rFont val="Noto Sans CJK SC"/>
        <family val="2"/>
      </rPr>
      <t xml:space="preserve">萬</t>
    </r>
  </si>
  <si>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　費用表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</si>
  <si>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rFont val="Arial"/>
        <family val="0"/>
        <charset val="1"/>
      </rPr>
      <t xml:space="preserve">200 – 500 </t>
    </r>
    <r>
      <rPr>
        <sz val="10"/>
        <rFont val="Noto Sans CJK SC"/>
        <family val="2"/>
      </rPr>
      <t xml:space="preserve">萬</t>
    </r>
  </si>
  <si>
    <r>
      <rPr>
        <sz val="10"/>
        <rFont val="Arial"/>
        <family val="0"/>
        <charset val="1"/>
      </rPr>
      <t xml:space="preserve">80 – 200 </t>
    </r>
    <r>
      <rPr>
        <sz val="10"/>
        <rFont val="Noto Sans CJK SC"/>
        <family val="2"/>
      </rPr>
      <t xml:space="preserve">萬</t>
    </r>
  </si>
  <si>
    <r>
      <rPr>
        <sz val="10"/>
        <rFont val="Arial"/>
        <family val="0"/>
        <charset val="1"/>
      </rPr>
      <t xml:space="preserve">20 – 80 </t>
    </r>
    <r>
      <rPr>
        <sz val="10"/>
        <rFont val="Noto Sans CJK SC"/>
        <family val="2"/>
      </rPr>
      <t xml:space="preserve">萬</t>
    </r>
  </si>
  <si>
    <r>
      <rPr>
        <sz val="10"/>
        <rFont val="Arial"/>
        <family val="0"/>
        <charset val="1"/>
      </rPr>
      <t xml:space="preserve">≤ 20 </t>
    </r>
    <r>
      <rPr>
        <sz val="10"/>
        <rFont val="Noto Sans CJK SC"/>
        <family val="2"/>
      </rPr>
      <t xml:space="preserve">萬</t>
    </r>
  </si>
  <si>
    <r>
      <rPr>
        <sz val="10"/>
        <rFont val="Arial"/>
        <family val="0"/>
        <charset val="1"/>
      </rPr>
      <t xml:space="preserve">≥ 8 </t>
    </r>
    <r>
      <rPr>
        <sz val="10"/>
        <rFont val="Noto Sans CJK SC"/>
        <family val="2"/>
      </rPr>
      <t xml:space="preserve">人</t>
    </r>
  </si>
  <si>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　專案進度表逐人工時 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之人數（含預計）</t>
    </r>
  </si>
  <si>
    <r>
      <rPr>
        <sz val="10"/>
        <rFont val="Arial"/>
        <family val="0"/>
        <charset val="1"/>
      </rPr>
      <t xml:space="preserve">6 – 7 </t>
    </r>
    <r>
      <rPr>
        <sz val="10"/>
        <rFont val="Noto Sans CJK SC"/>
        <family val="2"/>
      </rPr>
      <t xml:space="preserve">人</t>
    </r>
  </si>
  <si>
    <r>
      <rPr>
        <sz val="10"/>
        <rFont val="Arial"/>
        <family val="0"/>
        <charset val="1"/>
      </rPr>
      <t xml:space="preserve">4 – 5 </t>
    </r>
    <r>
      <rPr>
        <sz val="10"/>
        <rFont val="Noto Sans CJK SC"/>
        <family val="2"/>
      </rPr>
      <t xml:space="preserve">人</t>
    </r>
  </si>
  <si>
    <r>
      <rPr>
        <sz val="10"/>
        <rFont val="Arial"/>
        <family val="0"/>
        <charset val="1"/>
      </rPr>
      <t xml:space="preserve">2 – 3 </t>
    </r>
    <r>
      <rPr>
        <sz val="10"/>
        <rFont val="Noto Sans CJK SC"/>
        <family val="2"/>
      </rPr>
      <t xml:space="preserve">人</t>
    </r>
  </si>
  <si>
    <r>
      <rPr>
        <sz val="10"/>
        <rFont val="Arial"/>
        <family val="0"/>
        <charset val="1"/>
      </rPr>
      <t xml:space="preserve">≤ 1 </t>
    </r>
    <r>
      <rPr>
        <sz val="10"/>
        <rFont val="Noto Sans CJK SC"/>
        <family val="2"/>
      </rPr>
      <t xml:space="preserve">人</t>
    </r>
  </si>
  <si>
    <r>
      <rPr>
        <b val="true"/>
        <sz val="10"/>
        <color rgb="FF000000"/>
        <rFont val="Arial"/>
        <family val="0"/>
        <charset val="1"/>
      </rPr>
      <t xml:space="preserve">I </t>
    </r>
    <r>
      <rPr>
        <b val="true"/>
        <sz val="10"/>
        <color rgb="FF000000"/>
        <rFont val="Noto Sans CJK SC"/>
        <family val="2"/>
      </rPr>
      <t xml:space="preserve">合成公式</t>
    </r>
  </si>
  <si>
    <r>
      <rPr>
        <sz val="10"/>
        <rFont val="Arial"/>
        <family val="0"/>
        <charset val="1"/>
      </rPr>
      <t xml:space="preserve">I = ROUND( </t>
    </r>
    <r>
      <rPr>
        <sz val="10"/>
        <rFont val="Noto Sans CJK SC"/>
        <family val="2"/>
      </rPr>
      <t xml:space="preserve">類別分 </t>
    </r>
    <r>
      <rPr>
        <sz val="10"/>
        <rFont val="Arial"/>
        <family val="0"/>
        <charset val="1"/>
      </rPr>
      <t xml:space="preserve">× 0.4 + </t>
    </r>
    <r>
      <rPr>
        <sz val="10"/>
        <rFont val="Noto Sans CJK SC"/>
        <family val="2"/>
      </rPr>
      <t xml:space="preserve">費用分 </t>
    </r>
    <r>
      <rPr>
        <sz val="10"/>
        <rFont val="Arial"/>
        <family val="0"/>
        <charset val="1"/>
      </rPr>
      <t xml:space="preserve">× 0.4 + </t>
    </r>
    <r>
      <rPr>
        <sz val="10"/>
        <rFont val="Noto Sans CJK SC"/>
        <family val="2"/>
      </rPr>
      <t xml:space="preserve">人力分 </t>
    </r>
    <r>
      <rPr>
        <sz val="10"/>
        <rFont val="Arial"/>
        <family val="0"/>
        <charset val="1"/>
      </rPr>
      <t xml:space="preserve">× 0.2 , 0 )</t>
    </r>
    <r>
      <rPr>
        <sz val="10"/>
        <rFont val="Noto Sans CJK SC"/>
        <family val="2"/>
      </rPr>
      <t xml:space="preserve">，上限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、下限 </t>
    </r>
    <r>
      <rPr>
        <sz val="10"/>
        <rFont val="Arial"/>
        <family val="0"/>
        <charset val="1"/>
      </rPr>
      <t xml:space="preserve">1</t>
    </r>
  </si>
  <si>
    <t xml:space="preserve">風險分級</t>
  </si>
  <si>
    <t xml:space="preserve">風險值區間</t>
  </si>
  <si>
    <t xml:space="preserve">本期件數</t>
  </si>
  <si>
    <t xml:space="preserve">管理意義</t>
  </si>
  <si>
    <t xml:space="preserve">極高</t>
  </si>
  <si>
    <t xml:space="preserve">≥ 20</t>
  </si>
  <si>
    <t xml:space="preserve">列入決策佇列，須明確處置決議</t>
  </si>
  <si>
    <t xml:space="preserve">高</t>
  </si>
  <si>
    <t xml:space="preserve">12 – 19</t>
  </si>
  <si>
    <t xml:space="preserve">週會逐案追蹤</t>
  </si>
  <si>
    <t xml:space="preserve">中</t>
  </si>
  <si>
    <t xml:space="preserve">6 – 11</t>
  </si>
  <si>
    <t xml:space="preserve">部門自行控管</t>
  </si>
  <si>
    <t xml:space="preserve">低</t>
  </si>
  <si>
    <t xml:space="preserve">&lt; 6</t>
  </si>
  <si>
    <t xml:space="preserve">例行回報即可</t>
  </si>
  <si>
    <r>
      <rPr>
        <b val="true"/>
        <sz val="15"/>
        <color rgb="FF1F3864"/>
        <rFont val="Noto Sans CJK SC"/>
        <family val="2"/>
      </rPr>
      <t xml:space="preserve">風險矩陣　逐案計算（在製 </t>
    </r>
    <r>
      <rPr>
        <b val="true"/>
        <sz val="15"/>
        <color rgb="FF1F3864"/>
        <rFont val="Arial"/>
        <family val="0"/>
        <charset val="1"/>
      </rPr>
      <t xml:space="preserve">26 </t>
    </r>
    <r>
      <rPr>
        <b val="true"/>
        <sz val="15"/>
        <color rgb="FF1F3864"/>
        <rFont val="Noto Sans CJK SC"/>
        <family val="2"/>
      </rPr>
      <t xml:space="preserve">件）</t>
    </r>
  </si>
  <si>
    <r>
      <rPr>
        <sz val="9.5"/>
        <color rgb="FF595959"/>
        <rFont val="Noto Sans CJK SC"/>
        <family val="2"/>
      </rPr>
      <t xml:space="preserve">淺黃欄（</t>
    </r>
    <r>
      <rPr>
        <sz val="9.5"/>
        <color rgb="FF595959"/>
        <rFont val="Arial"/>
        <family val="0"/>
        <charset val="1"/>
      </rPr>
      <t xml:space="preserve">E~J</t>
    </r>
    <r>
      <rPr>
        <sz val="9.5"/>
        <color rgb="FF595959"/>
        <rFont val="Noto Sans CJK SC"/>
        <family val="2"/>
      </rPr>
      <t xml:space="preserve">）＝原始輸入，來源見「</t>
    </r>
    <r>
      <rPr>
        <sz val="9.5"/>
        <color rgb="FF595959"/>
        <rFont val="Arial"/>
        <family val="0"/>
        <charset val="1"/>
      </rPr>
      <t xml:space="preserve">01_</t>
    </r>
    <r>
      <rPr>
        <sz val="9.5"/>
        <color rgb="FF595959"/>
        <rFont val="Noto Sans CJK SC"/>
        <family val="2"/>
      </rPr>
      <t xml:space="preserve">輸入值來源」或滑鼠停在欄標題上的註解；其餘為公式。修改輸入值可即時驗證判定邏輯，門檻參照 </t>
    </r>
    <r>
      <rPr>
        <sz val="9.5"/>
        <color rgb="FF595959"/>
        <rFont val="Arial"/>
        <family val="0"/>
        <charset val="1"/>
      </rPr>
      <t xml:space="preserve">10 </t>
    </r>
    <r>
      <rPr>
        <sz val="9.5"/>
        <color rgb="FF595959"/>
        <rFont val="Noto Sans CJK SC"/>
        <family val="2"/>
      </rPr>
      <t xml:space="preserve">表。</t>
    </r>
  </si>
  <si>
    <t xml:space="preserve">#</t>
  </si>
  <si>
    <t xml:space="preserve">專案編號</t>
  </si>
  <si>
    <t xml:space="preserve">專案名稱</t>
  </si>
  <si>
    <r>
      <rPr>
        <b val="true"/>
        <sz val="10"/>
        <color rgb="FF000000"/>
        <rFont val="Noto Sans CJK SC"/>
        <family val="2"/>
      </rPr>
      <t xml:space="preserve">處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部門</t>
    </r>
  </si>
  <si>
    <r>
      <rPr>
        <b val="true"/>
        <sz val="10"/>
        <color rgb="FF000000"/>
        <rFont val="Noto Sans CJK SC"/>
        <family val="2"/>
      </rPr>
      <t xml:space="preserve">累計費用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元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</si>
  <si>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逾期分</t>
  </si>
  <si>
    <r>
      <rPr>
        <b val="true"/>
        <sz val="10"/>
        <color rgb="FF000000"/>
        <rFont val="Arial"/>
        <family val="0"/>
        <charset val="1"/>
      </rPr>
      <t xml:space="preserve">SPI</t>
    </r>
    <r>
      <rPr>
        <b val="true"/>
        <sz val="10"/>
        <color rgb="FF000000"/>
        <rFont val="Noto Sans CJK SC"/>
        <family val="2"/>
      </rPr>
      <t xml:space="preserve">分</t>
    </r>
  </si>
  <si>
    <t xml:space="preserve">異常加分</t>
  </si>
  <si>
    <t xml:space="preserve">P</t>
  </si>
  <si>
    <t xml:space="preserve">類別分</t>
  </si>
  <si>
    <t xml:space="preserve">費用分</t>
  </si>
  <si>
    <t xml:space="preserve">人力分</t>
  </si>
  <si>
    <t xml:space="preserve">風險值</t>
  </si>
  <si>
    <t xml:space="preserve">等級</t>
  </si>
  <si>
    <t xml:space="preserve">K240801R2</t>
  </si>
  <si>
    <r>
      <rPr>
        <sz val="9"/>
        <color rgb="FF000000"/>
        <rFont val="Arial"/>
        <family val="0"/>
        <charset val="1"/>
      </rPr>
      <t xml:space="preserve">PCB</t>
    </r>
    <r>
      <rPr>
        <sz val="9"/>
        <color rgb="FF000000"/>
        <rFont val="Noto Sans CJK SC"/>
        <family val="2"/>
      </rPr>
      <t xml:space="preserve">濕製程用插入式壓力感測器</t>
    </r>
  </si>
  <si>
    <r>
      <rPr>
        <sz val="9"/>
        <color rgb="FF000000"/>
        <rFont val="Noto Sans CJK SC"/>
        <family val="2"/>
      </rPr>
      <t xml:space="preserve">研發一處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研一部</t>
    </r>
  </si>
  <si>
    <t xml:space="preserve">否</t>
  </si>
  <si>
    <t xml:space="preserve">D250101R1</t>
  </si>
  <si>
    <r>
      <rPr>
        <sz val="9"/>
        <color rgb="FF000000"/>
        <rFont val="Arial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冷卻系統數位通訊溫度偵測器</t>
    </r>
  </si>
  <si>
    <r>
      <rPr>
        <sz val="9"/>
        <color rgb="FF000000"/>
        <rFont val="Noto Sans CJK SC"/>
        <family val="2"/>
      </rPr>
      <t xml:space="preserve">研發一處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研二部</t>
    </r>
  </si>
  <si>
    <t xml:space="preserve">D</t>
  </si>
  <si>
    <t xml:space="preserve">M250201C1</t>
  </si>
  <si>
    <t xml:space="preserve">工業爆炸環境防爆型音叉感測器</t>
  </si>
  <si>
    <t xml:space="preserve">K201002P2</t>
  </si>
  <si>
    <r>
      <rPr>
        <sz val="9"/>
        <color rgb="FF000000"/>
        <rFont val="Arial"/>
        <family val="0"/>
        <charset val="1"/>
      </rPr>
      <t xml:space="preserve">(K201002R2)SP</t>
    </r>
    <r>
      <rPr>
        <sz val="9"/>
        <color rgb="FF000000"/>
        <rFont val="Noto Sans CJK SC"/>
        <family val="2"/>
      </rPr>
      <t xml:space="preserve">數位熱質式開關</t>
    </r>
    <r>
      <rPr>
        <sz val="9"/>
        <color rgb="FF000000"/>
        <rFont val="Arial"/>
        <family val="0"/>
        <charset val="1"/>
      </rPr>
      <t xml:space="preserve">-DC</t>
    </r>
    <r>
      <rPr>
        <sz val="9"/>
        <color rgb="FF000000"/>
        <rFont val="Noto Sans CJK SC"/>
        <family val="2"/>
      </rPr>
      <t xml:space="preserve">一體型</t>
    </r>
    <r>
      <rPr>
        <sz val="9"/>
        <color rgb="FF000000"/>
        <rFont val="Arial"/>
        <family val="0"/>
        <charset val="1"/>
      </rPr>
      <t xml:space="preserve">II</t>
    </r>
  </si>
  <si>
    <r>
      <rPr>
        <sz val="9"/>
        <color rgb="FF000000"/>
        <rFont val="Noto Sans CJK SC"/>
        <family val="2"/>
      </rPr>
      <t xml:space="preserve">研發二處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自動化</t>
    </r>
  </si>
  <si>
    <t xml:space="preserve">M251001R1</t>
  </si>
  <si>
    <r>
      <rPr>
        <sz val="9"/>
        <color rgb="FF000000"/>
        <rFont val="Arial"/>
        <family val="0"/>
        <charset val="1"/>
      </rPr>
      <t xml:space="preserve">SDX</t>
    </r>
    <r>
      <rPr>
        <sz val="9"/>
        <color rgb="FF000000"/>
        <rFont val="Noto Sans CJK SC"/>
        <family val="2"/>
      </rPr>
      <t xml:space="preserve">緊湊型光電開關設計</t>
    </r>
  </si>
  <si>
    <t xml:space="preserve">K250501R2</t>
  </si>
  <si>
    <r>
      <rPr>
        <sz val="9"/>
        <color rgb="FF000000"/>
        <rFont val="Arial"/>
        <family val="0"/>
        <charset val="1"/>
      </rPr>
      <t xml:space="preserve">C</t>
    </r>
    <r>
      <rPr>
        <sz val="9"/>
        <color rgb="FF000000"/>
        <rFont val="Noto Sans CJK SC"/>
        <family val="2"/>
      </rPr>
      <t xml:space="preserve">級奧多曼電子水量計</t>
    </r>
  </si>
  <si>
    <r>
      <rPr>
        <sz val="9"/>
        <color rgb="FF000000"/>
        <rFont val="Noto Sans CJK SC"/>
        <family val="2"/>
      </rPr>
      <t xml:space="preserve">研發二處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產品開發</t>
    </r>
  </si>
  <si>
    <t xml:space="preserve">是</t>
  </si>
  <si>
    <t xml:space="preserve">K251101R1</t>
  </si>
  <si>
    <t xml:space="preserve">精巧型電磁流量計</t>
  </si>
  <si>
    <r>
      <rPr>
        <sz val="9"/>
        <color rgb="FF000000"/>
        <rFont val="Noto Sans CJK SC"/>
        <family val="2"/>
      </rPr>
      <t xml:space="preserve">研發一處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研三部</t>
    </r>
  </si>
  <si>
    <t xml:space="preserve">M250301C1</t>
  </si>
  <si>
    <t xml:space="preserve">一體型電磁流量計北美多重防爆認證</t>
  </si>
  <si>
    <r>
      <rPr>
        <sz val="9"/>
        <color rgb="FF000000"/>
        <rFont val="Noto Sans CJK SC"/>
        <family val="2"/>
      </rPr>
      <t xml:space="preserve">研發一處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研發一處直屬</t>
    </r>
  </si>
  <si>
    <t xml:space="preserve">K251001R1</t>
  </si>
  <si>
    <r>
      <rPr>
        <sz val="9"/>
        <color rgb="FF000000"/>
        <rFont val="Arial"/>
        <family val="0"/>
        <charset val="1"/>
      </rPr>
      <t xml:space="preserve">EPH</t>
    </r>
    <r>
      <rPr>
        <sz val="9"/>
        <color rgb="FF000000"/>
        <rFont val="Noto Sans CJK SC"/>
        <family val="2"/>
      </rPr>
      <t xml:space="preserve">水量計型式認證技術規範</t>
    </r>
    <r>
      <rPr>
        <sz val="9"/>
        <color rgb="FF000000"/>
        <rFont val="Arial"/>
        <family val="0"/>
        <charset val="1"/>
      </rPr>
      <t xml:space="preserve">CNPA49</t>
    </r>
    <r>
      <rPr>
        <sz val="9"/>
        <color rgb="FF000000"/>
        <rFont val="Noto Sans CJK SC"/>
        <family val="2"/>
      </rPr>
      <t xml:space="preserve">第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版結構驗證與</t>
    </r>
  </si>
  <si>
    <t xml:space="preserve">M240101P1</t>
  </si>
  <si>
    <r>
      <rPr>
        <sz val="9"/>
        <color rgb="FF000000"/>
        <rFont val="Noto Sans CJK SC"/>
        <family val="2"/>
      </rPr>
      <t xml:space="preserve">首次生產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液體洩漏偵測器</t>
    </r>
  </si>
  <si>
    <t xml:space="preserve">K231101P1</t>
  </si>
  <si>
    <r>
      <rPr>
        <sz val="9"/>
        <color rgb="FF000000"/>
        <rFont val="Noto Sans CJK SC"/>
        <family val="2"/>
      </rPr>
      <t xml:space="preserve">首次生產</t>
    </r>
    <r>
      <rPr>
        <sz val="9"/>
        <color rgb="FF000000"/>
        <rFont val="Arial"/>
        <family val="0"/>
        <charset val="1"/>
      </rPr>
      <t xml:space="preserve">-AI</t>
    </r>
    <r>
      <rPr>
        <sz val="9"/>
        <color rgb="FF000000"/>
        <rFont val="Noto Sans CJK SC"/>
        <family val="2"/>
      </rPr>
      <t xml:space="preserve">伺服器用熱質流量計</t>
    </r>
  </si>
  <si>
    <t xml:space="preserve">D260402R1</t>
  </si>
  <si>
    <t xml:space="preserve">音叉式開關優化</t>
  </si>
  <si>
    <t xml:space="preserve">D260403R1</t>
  </si>
  <si>
    <t xml:space="preserve">熱質流量開關優化</t>
  </si>
  <si>
    <t xml:space="preserve">D260405R1</t>
  </si>
  <si>
    <r>
      <rPr>
        <sz val="9"/>
        <color rgb="FF000000"/>
        <rFont val="Arial"/>
        <family val="0"/>
        <charset val="1"/>
      </rPr>
      <t xml:space="preserve">EPU2</t>
    </r>
    <r>
      <rPr>
        <sz val="9"/>
        <color rgb="FF000000"/>
        <rFont val="Noto Sans CJK SC"/>
        <family val="2"/>
      </rPr>
      <t xml:space="preserve">超音波流量計優化</t>
    </r>
  </si>
  <si>
    <t xml:space="preserve">K240101P1</t>
  </si>
  <si>
    <r>
      <rPr>
        <sz val="9"/>
        <color rgb="FF000000"/>
        <rFont val="Noto Sans CJK SC"/>
        <family val="2"/>
      </rPr>
      <t xml:space="preserve">首次生產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渦街流量計商品化</t>
    </r>
  </si>
  <si>
    <t xml:space="preserve">D260502R1</t>
  </si>
  <si>
    <t xml:space="preserve">磁性浮子式液面計優化</t>
  </si>
  <si>
    <t xml:space="preserve">D260406R1</t>
  </si>
  <si>
    <t xml:space="preserve">阻旋式開關優化</t>
  </si>
  <si>
    <t xml:space="preserve">M240704P1</t>
  </si>
  <si>
    <r>
      <rPr>
        <sz val="9"/>
        <color rgb="FF000000"/>
        <rFont val="Noto Sans CJK SC"/>
        <family val="2"/>
      </rPr>
      <t xml:space="preserve">首次生產</t>
    </r>
    <r>
      <rPr>
        <sz val="9"/>
        <color rgb="FF000000"/>
        <rFont val="Arial"/>
        <family val="0"/>
        <charset val="1"/>
      </rPr>
      <t xml:space="preserve">-EPU</t>
    </r>
    <r>
      <rPr>
        <sz val="9"/>
        <color rgb="FF000000"/>
        <rFont val="Noto Sans CJK SC"/>
        <family val="2"/>
      </rPr>
      <t xml:space="preserve">一體式夾管超音波流量計</t>
    </r>
  </si>
  <si>
    <t xml:space="preserve">D250701R1</t>
  </si>
  <si>
    <r>
      <rPr>
        <sz val="9"/>
        <color rgb="FF000000"/>
        <rFont val="Arial"/>
        <family val="0"/>
        <charset val="1"/>
      </rPr>
      <t xml:space="preserve">EGX5</t>
    </r>
    <r>
      <rPr>
        <sz val="9"/>
        <color rgb="FF000000"/>
        <rFont val="Noto Sans CJK SC"/>
        <family val="2"/>
      </rPr>
      <t xml:space="preserve">标准型技转</t>
    </r>
  </si>
  <si>
    <r>
      <rPr>
        <sz val="9"/>
        <color rgb="FF000000"/>
        <rFont val="Noto Sans CJK SC"/>
        <family val="2"/>
      </rPr>
      <t xml:space="preserve">海外／上海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研发一部</t>
    </r>
  </si>
  <si>
    <t xml:space="preserve">D250301R1</t>
  </si>
  <si>
    <r>
      <rPr>
        <sz val="9"/>
        <color rgb="FF000000"/>
        <rFont val="Arial"/>
        <family val="0"/>
        <charset val="1"/>
      </rPr>
      <t xml:space="preserve">EPD</t>
    </r>
    <r>
      <rPr>
        <sz val="9"/>
        <color rgb="FF000000"/>
        <rFont val="Noto Sans CJK SC"/>
        <family val="2"/>
      </rPr>
      <t xml:space="preserve">電磁流量計技转</t>
    </r>
  </si>
  <si>
    <t xml:space="preserve">D260103R1</t>
  </si>
  <si>
    <r>
      <rPr>
        <sz val="9"/>
        <color rgb="FF000000"/>
        <rFont val="Arial"/>
        <family val="0"/>
        <charset val="1"/>
      </rPr>
      <t xml:space="preserve">HART dd</t>
    </r>
    <r>
      <rPr>
        <sz val="9"/>
        <color rgb="FF000000"/>
        <rFont val="Noto Sans CJK SC"/>
        <family val="2"/>
      </rPr>
      <t xml:space="preserve">先期研究案</t>
    </r>
  </si>
  <si>
    <r>
      <rPr>
        <sz val="9"/>
        <color rgb="FF000000"/>
        <rFont val="Noto Sans CJK SC"/>
        <family val="2"/>
      </rPr>
      <t xml:space="preserve">研發一處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技術中心</t>
    </r>
  </si>
  <si>
    <t xml:space="preserve">M240703P1</t>
  </si>
  <si>
    <r>
      <rPr>
        <sz val="9"/>
        <color rgb="FF000000"/>
        <rFont val="Noto Sans CJK SC"/>
        <family val="2"/>
      </rPr>
      <t xml:space="preserve">首次生產</t>
    </r>
    <r>
      <rPr>
        <sz val="9"/>
        <color rgb="FF000000"/>
        <rFont val="Arial"/>
        <family val="0"/>
        <charset val="1"/>
      </rPr>
      <t xml:space="preserve">-SDX</t>
    </r>
    <r>
      <rPr>
        <sz val="9"/>
        <color rgb="FF000000"/>
        <rFont val="Noto Sans CJK SC"/>
        <family val="2"/>
      </rPr>
      <t xml:space="preserve">光電系列整併與優化案</t>
    </r>
  </si>
  <si>
    <t xml:space="preserve">D260601R1</t>
  </si>
  <si>
    <r>
      <rPr>
        <sz val="9"/>
        <color rgb="FF000000"/>
        <rFont val="Arial"/>
        <family val="0"/>
        <charset val="1"/>
      </rPr>
      <t xml:space="preserve">FFX</t>
    </r>
    <r>
      <rPr>
        <sz val="9"/>
        <color rgb="FF000000"/>
        <rFont val="Noto Sans CJK SC"/>
        <family val="2"/>
      </rPr>
      <t xml:space="preserve">側裝浮球開關優化</t>
    </r>
  </si>
  <si>
    <t xml:space="preserve">D260801R1</t>
  </si>
  <si>
    <r>
      <rPr>
        <sz val="9"/>
        <color rgb="FF000000"/>
        <rFont val="Arial"/>
        <family val="0"/>
        <charset val="1"/>
      </rPr>
      <t xml:space="preserve">2026</t>
    </r>
    <r>
      <rPr>
        <sz val="9"/>
        <color rgb="FF000000"/>
        <rFont val="Noto Sans CJK SC"/>
        <family val="2"/>
      </rPr>
      <t xml:space="preserve">年下半年專案程式碼審查</t>
    </r>
  </si>
  <si>
    <t xml:space="preserve">D260401R1</t>
  </si>
  <si>
    <r>
      <rPr>
        <sz val="9"/>
        <color rgb="FF000000"/>
        <rFont val="Noto Sans CJK SC"/>
        <family val="2"/>
      </rPr>
      <t xml:space="preserve">倉溫物料雙感測器</t>
    </r>
    <r>
      <rPr>
        <sz val="9"/>
        <color rgb="FF000000"/>
        <rFont val="Arial"/>
        <family val="0"/>
        <charset val="1"/>
      </rPr>
      <t xml:space="preserve">+FineLink</t>
    </r>
    <r>
      <rPr>
        <sz val="9"/>
        <color rgb="FF000000"/>
        <rFont val="Noto Sans CJK SC"/>
        <family val="2"/>
      </rPr>
      <t xml:space="preserve">優化</t>
    </r>
  </si>
  <si>
    <t xml:space="preserve">E260601I1</t>
  </si>
  <si>
    <t xml:space="preserve">粉體流量可靠度測場</t>
  </si>
  <si>
    <r>
      <rPr>
        <b val="true"/>
        <sz val="10"/>
        <color rgb="FF000000"/>
        <rFont val="Noto Sans CJK SC"/>
        <family val="2"/>
      </rPr>
      <t xml:space="preserve">合計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統計</t>
    </r>
  </si>
  <si>
    <r>
      <rPr>
        <b val="true"/>
        <sz val="10"/>
        <color rgb="FF000000"/>
        <rFont val="Noto Sans CJK SC"/>
        <family val="2"/>
      </rPr>
      <t xml:space="preserve">高風險（≥</t>
    </r>
    <r>
      <rPr>
        <b val="true"/>
        <sz val="10"/>
        <color rgb="FF000000"/>
        <rFont val="Arial"/>
        <family val="0"/>
        <charset val="1"/>
      </rPr>
      <t xml:space="preserve">12</t>
    </r>
    <r>
      <rPr>
        <b val="true"/>
        <sz val="10"/>
        <color rgb="FF000000"/>
        <rFont val="Noto Sans CJK SC"/>
        <family val="2"/>
      </rPr>
      <t xml:space="preserve">）累計費用</t>
    </r>
  </si>
  <si>
    <t xml:space="preserve">← 平台第一層⑤下方文字所引用之金額</t>
  </si>
  <si>
    <r>
      <rPr>
        <b val="true"/>
        <sz val="10"/>
        <color rgb="FF000000"/>
        <rFont val="Noto Sans CJK SC"/>
        <family val="2"/>
      </rPr>
      <t xml:space="preserve">驗證：件數應為 </t>
    </r>
    <r>
      <rPr>
        <b val="true"/>
        <sz val="10"/>
        <color rgb="FF000000"/>
        <rFont val="Arial"/>
        <family val="0"/>
        <charset val="1"/>
      </rPr>
      <t xml:space="preserve">26</t>
    </r>
  </si>
  <si>
    <r>
      <rPr>
        <b val="true"/>
        <sz val="15"/>
        <color rgb="FF1F3864"/>
        <rFont val="Noto Sans CJK SC"/>
        <family val="2"/>
      </rPr>
      <t xml:space="preserve">風險矩陣　</t>
    </r>
    <r>
      <rPr>
        <b val="true"/>
        <sz val="15"/>
        <color rgb="FF1F3864"/>
        <rFont val="Arial"/>
        <family val="0"/>
        <charset val="1"/>
      </rPr>
      <t xml:space="preserve">5×5 </t>
    </r>
    <r>
      <rPr>
        <b val="true"/>
        <sz val="15"/>
        <color rgb="FF1F3864"/>
        <rFont val="Noto Sans CJK SC"/>
        <family val="2"/>
      </rPr>
      <t xml:space="preserve">交叉統計</t>
    </r>
  </si>
  <si>
    <r>
      <rPr>
        <sz val="9.5"/>
        <color rgb="FF595959"/>
        <rFont val="Noto Sans CJK SC"/>
        <family val="2"/>
      </rPr>
      <t xml:space="preserve">格內數字＝落在該（</t>
    </r>
    <r>
      <rPr>
        <sz val="9.5"/>
        <color rgb="FF595959"/>
        <rFont val="Arial"/>
        <family val="0"/>
        <charset val="1"/>
      </rPr>
      <t xml:space="preserve">P, I</t>
    </r>
    <r>
      <rPr>
        <sz val="9.5"/>
        <color rgb="FF595959"/>
        <rFont val="Noto Sans CJK SC"/>
        <family val="2"/>
      </rPr>
      <t xml:space="preserve">）組合的在製案件數，由 </t>
    </r>
    <r>
      <rPr>
        <sz val="9.5"/>
        <color rgb="FF595959"/>
        <rFont val="Arial"/>
        <family val="0"/>
        <charset val="1"/>
      </rPr>
      <t xml:space="preserve">11 </t>
    </r>
    <r>
      <rPr>
        <sz val="9.5"/>
        <color rgb="FF595959"/>
        <rFont val="Noto Sans CJK SC"/>
        <family val="2"/>
      </rPr>
      <t xml:space="preserve">表以 </t>
    </r>
    <r>
      <rPr>
        <sz val="9.5"/>
        <color rgb="FF595959"/>
        <rFont val="Arial"/>
        <family val="0"/>
        <charset val="1"/>
      </rPr>
      <t xml:space="preserve">COUNTIFS </t>
    </r>
    <r>
      <rPr>
        <sz val="9.5"/>
        <color rgb="FF595959"/>
        <rFont val="Noto Sans CJK SC"/>
        <family val="2"/>
      </rPr>
      <t xml:space="preserve">統計。右上角為需優先處理區。</t>
    </r>
  </si>
  <si>
    <r>
      <rPr>
        <b val="true"/>
        <sz val="10"/>
        <color rgb="FF1F3864"/>
        <rFont val="Noto Sans CJK SC"/>
        <family val="2"/>
      </rPr>
      <t xml:space="preserve">衝擊程度 </t>
    </r>
    <r>
      <rPr>
        <b val="true"/>
        <sz val="10"/>
        <color rgb="FF1F3864"/>
        <rFont val="Arial"/>
        <family val="0"/>
        <charset val="1"/>
      </rPr>
      <t xml:space="preserve">I →</t>
    </r>
  </si>
  <si>
    <r>
      <rPr>
        <b val="true"/>
        <sz val="10"/>
        <color rgb="FF000000"/>
        <rFont val="Arial"/>
        <family val="0"/>
        <charset val="1"/>
      </rPr>
      <t xml:space="preserve">P </t>
    </r>
    <r>
      <rPr>
        <b val="true"/>
        <sz val="10"/>
        <color rgb="FF000000"/>
        <rFont val="Noto Sans CJK SC"/>
        <family val="2"/>
      </rPr>
      <t xml:space="preserve">＼ </t>
    </r>
    <r>
      <rPr>
        <b val="true"/>
        <sz val="10"/>
        <color rgb="FF000000"/>
        <rFont val="Arial"/>
        <family val="0"/>
        <charset val="1"/>
      </rPr>
      <t xml:space="preserve">I</t>
    </r>
  </si>
  <si>
    <r>
      <rPr>
        <b val="true"/>
        <sz val="10"/>
        <color rgb="FF000000"/>
        <rFont val="Arial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</rPr>
      <t xml:space="preserve">極低</t>
    </r>
  </si>
  <si>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低</t>
    </r>
  </si>
  <si>
    <r>
      <rPr>
        <b val="true"/>
        <sz val="10"/>
        <color rgb="FF000000"/>
        <rFont val="Arial"/>
        <family val="0"/>
        <charset val="1"/>
      </rPr>
      <t xml:space="preserve">3 </t>
    </r>
    <r>
      <rPr>
        <b val="true"/>
        <sz val="10"/>
        <color rgb="FF000000"/>
        <rFont val="Noto Sans CJK SC"/>
        <family val="2"/>
      </rPr>
      <t xml:space="preserve">中</t>
    </r>
  </si>
  <si>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高</t>
    </r>
  </si>
  <si>
    <r>
      <rPr>
        <b val="true"/>
        <sz val="10"/>
        <color rgb="FF000000"/>
        <rFont val="Arial"/>
        <family val="0"/>
        <charset val="1"/>
      </rPr>
      <t xml:space="preserve">5 </t>
    </r>
    <r>
      <rPr>
        <b val="true"/>
        <sz val="10"/>
        <color rgb="FF000000"/>
        <rFont val="Noto Sans CJK SC"/>
        <family val="2"/>
      </rPr>
      <t xml:space="preserve">極高</t>
    </r>
  </si>
  <si>
    <t xml:space="preserve">列小計</t>
  </si>
  <si>
    <t xml:space="preserve">欄小計</t>
  </si>
  <si>
    <t xml:space="preserve">風險分級統計</t>
  </si>
  <si>
    <t xml:space="preserve">件數</t>
  </si>
  <si>
    <t xml:space="preserve">占在製比</t>
  </si>
  <si>
    <r>
      <rPr>
        <sz val="10"/>
        <rFont val="Noto Sans CJK SC"/>
        <family val="2"/>
      </rPr>
      <t xml:space="preserve">極高 ≥</t>
    </r>
    <r>
      <rPr>
        <sz val="10"/>
        <rFont val="Arial"/>
        <family val="0"/>
        <charset val="1"/>
      </rPr>
      <t xml:space="preserve">20</t>
    </r>
  </si>
  <si>
    <r>
      <rPr>
        <sz val="10"/>
        <rFont val="Noto Sans CJK SC"/>
        <family val="2"/>
      </rPr>
      <t xml:space="preserve">高 </t>
    </r>
    <r>
      <rPr>
        <sz val="10"/>
        <rFont val="Arial"/>
        <family val="0"/>
        <charset val="1"/>
      </rPr>
      <t xml:space="preserve">12–19</t>
    </r>
  </si>
  <si>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6–11</t>
    </r>
  </si>
  <si>
    <r>
      <rPr>
        <sz val="10"/>
        <rFont val="Noto Sans CJK SC"/>
        <family val="2"/>
      </rPr>
      <t xml:space="preserve">低 </t>
    </r>
    <r>
      <rPr>
        <sz val="10"/>
        <rFont val="Arial"/>
        <family val="0"/>
        <charset val="1"/>
      </rPr>
      <t xml:space="preserve">&lt;6</t>
    </r>
  </si>
  <si>
    <t xml:space="preserve">合計</t>
  </si>
  <si>
    <t xml:space="preserve">各處級人力負荷　計算規則</t>
  </si>
  <si>
    <r>
      <rPr>
        <sz val="9.5"/>
        <color rgb="FF595959"/>
        <rFont val="Noto Sans CJK SC"/>
        <family val="2"/>
      </rPr>
      <t xml:space="preserve">母體：在職且累計工時 ≥ </t>
    </r>
    <r>
      <rPr>
        <sz val="9.5"/>
        <color rgb="FF595959"/>
        <rFont val="Arial"/>
        <family val="0"/>
        <charset val="1"/>
      </rPr>
      <t xml:space="preserve">100 hr </t>
    </r>
    <r>
      <rPr>
        <sz val="9.5"/>
        <color rgb="FF595959"/>
        <rFont val="Noto Sans CJK SC"/>
        <family val="2"/>
      </rPr>
      <t xml:space="preserve">之研發人員，本期 </t>
    </r>
    <r>
      <rPr>
        <sz val="9.5"/>
        <color rgb="FF595959"/>
        <rFont val="Arial"/>
        <family val="0"/>
        <charset val="1"/>
      </rPr>
      <t xml:space="preserve">30 </t>
    </r>
    <r>
      <rPr>
        <sz val="9.5"/>
        <color rgb="FF595959"/>
        <rFont val="Noto Sans CJK SC"/>
        <family val="2"/>
      </rPr>
      <t xml:space="preserve">人。在職＝</t>
    </r>
    <r>
      <rPr>
        <sz val="9.5"/>
        <color rgb="FF595959"/>
        <rFont val="Arial"/>
        <family val="0"/>
        <charset val="1"/>
      </rPr>
      <t xml:space="preserve">PLM002 </t>
    </r>
    <r>
      <rPr>
        <sz val="9.5"/>
        <color rgb="FF595959"/>
        <rFont val="Noto Sans CJK SC"/>
        <family val="2"/>
      </rPr>
      <t xml:space="preserve">最後一筆回報月份 ≥ </t>
    </r>
    <r>
      <rPr>
        <sz val="9.5"/>
        <color rgb="FF595959"/>
        <rFont val="Arial"/>
        <family val="0"/>
        <charset val="1"/>
      </rPr>
      <t xml:space="preserve">2026-07</t>
    </r>
    <r>
      <rPr>
        <sz val="9.5"/>
        <color rgb="FF595959"/>
        <rFont val="Noto Sans CJK SC"/>
        <family val="2"/>
      </rPr>
      <t xml:space="preserve">。</t>
    </r>
  </si>
  <si>
    <t xml:space="preserve">項目</t>
  </si>
  <si>
    <r>
      <rPr>
        <b val="true"/>
        <sz val="10"/>
        <color rgb="FF000000"/>
        <rFont val="Noto Sans CJK SC"/>
        <family val="2"/>
      </rPr>
      <t xml:space="preserve">定義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公式</t>
    </r>
  </si>
  <si>
    <t xml:space="preserve">門檻與參數</t>
  </si>
  <si>
    <t xml:space="preserve">納入母體</t>
  </si>
  <si>
    <r>
      <rPr>
        <sz val="10"/>
        <rFont val="Noto Sans CJK SC"/>
        <family val="2"/>
      </rPr>
      <t xml:space="preserve">在職 且 累計回報工時 ≥ </t>
    </r>
    <r>
      <rPr>
        <sz val="10"/>
        <rFont val="Arial"/>
        <family val="0"/>
        <charset val="1"/>
      </rPr>
      <t xml:space="preserve">100 hr</t>
    </r>
  </si>
  <si>
    <r>
      <rPr>
        <sz val="9"/>
        <color rgb="FF000000"/>
        <rFont val="Noto Sans CJK SC"/>
        <family val="2"/>
      </rPr>
      <t xml:space="preserve">標準工時 </t>
    </r>
    <r>
      <rPr>
        <sz val="9"/>
        <color rgb="FF000000"/>
        <rFont val="Arial"/>
        <family val="0"/>
        <charset val="1"/>
      </rPr>
      <t xml:space="preserve">176 hr/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</si>
  <si>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PLM002 C </t>
    </r>
    <r>
      <rPr>
        <sz val="9"/>
        <color rgb="FF595959"/>
        <rFont val="Noto Sans CJK SC"/>
        <family val="2"/>
      </rPr>
      <t xml:space="preserve">回報人員、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日期、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時數</t>
    </r>
  </si>
  <si>
    <t xml:space="preserve">近半年工時</t>
  </si>
  <si>
    <r>
      <rPr>
        <sz val="10"/>
        <rFont val="Arial"/>
        <family val="0"/>
        <charset val="1"/>
      </rPr>
      <t xml:space="preserve">2026-03 ~ 2026-08 </t>
    </r>
    <r>
      <rPr>
        <sz val="10"/>
        <rFont val="Noto Sans CJK SC"/>
        <family val="2"/>
      </rPr>
      <t xml:space="preserve">之回報工時加總</t>
    </r>
  </si>
  <si>
    <r>
      <rPr>
        <sz val="9"/>
        <color rgb="FF000000"/>
        <rFont val="Noto Sans CJK SC"/>
        <family val="2"/>
      </rPr>
      <t xml:space="preserve">滾動 </t>
    </r>
    <r>
      <rPr>
        <sz val="9"/>
        <color rgb="FF000000"/>
        <rFont val="Arial"/>
        <family val="0"/>
        <charset val="1"/>
      </rPr>
      <t xml:space="preserve">6 </t>
    </r>
    <r>
      <rPr>
        <sz val="9"/>
        <color rgb="FF000000"/>
        <rFont val="Noto Sans CJK SC"/>
        <family val="2"/>
      </rPr>
      <t xml:space="preserve">個月視窗</t>
    </r>
  </si>
  <si>
    <t xml:space="preserve">PLM002 I / J</t>
  </si>
  <si>
    <t xml:space="preserve">應出勤工時</t>
  </si>
  <si>
    <r>
      <rPr>
        <sz val="10"/>
        <rFont val="Arial"/>
        <family val="0"/>
        <charset val="1"/>
      </rPr>
      <t xml:space="preserve">176 × 6 </t>
    </r>
    <r>
      <rPr>
        <sz val="10"/>
        <rFont val="Noto Sans CJK SC"/>
        <family val="2"/>
      </rPr>
      <t xml:space="preserve">個月；當月未過完者按工作日折算</t>
    </r>
  </si>
  <si>
    <r>
      <rPr>
        <sz val="9"/>
        <color rgb="FF000000"/>
        <rFont val="Arial"/>
        <family val="0"/>
        <charset val="1"/>
      </rPr>
      <t xml:space="preserve">2026-08 </t>
    </r>
    <r>
      <rPr>
        <sz val="9"/>
        <color rgb="FF000000"/>
        <rFont val="Noto Sans CJK SC"/>
        <family val="2"/>
      </rPr>
      <t xml:space="preserve">折算係數 </t>
    </r>
    <r>
      <rPr>
        <sz val="9"/>
        <color rgb="FF000000"/>
        <rFont val="Arial"/>
        <family val="0"/>
        <charset val="1"/>
      </rPr>
      <t xml:space="preserve">12/22</t>
    </r>
  </si>
  <si>
    <t xml:space="preserve">參數（可調）</t>
  </si>
  <si>
    <t xml:space="preserve">負荷率</t>
  </si>
  <si>
    <r>
      <rPr>
        <sz val="10"/>
        <rFont val="Noto Sans CJK SC"/>
        <family val="2"/>
      </rPr>
      <t xml:space="preserve">近半年工時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應出勤工時 </t>
    </r>
    <r>
      <rPr>
        <sz val="10"/>
        <rFont val="Arial"/>
        <family val="0"/>
        <charset val="1"/>
      </rPr>
      <t xml:space="preserve">× 100</t>
    </r>
  </si>
  <si>
    <t xml:space="preserve">計算欄</t>
  </si>
  <si>
    <t xml:space="preserve">負荷分帶</t>
  </si>
  <si>
    <r>
      <rPr>
        <sz val="10"/>
        <rFont val="Noto Sans CJK SC"/>
        <family val="2"/>
      </rPr>
      <t xml:space="preserve">過載 </t>
    </r>
    <r>
      <rPr>
        <sz val="10"/>
        <rFont val="Arial"/>
        <family val="0"/>
        <charset val="1"/>
      </rPr>
      <t xml:space="preserve">&gt;110%</t>
    </r>
    <r>
      <rPr>
        <sz val="10"/>
        <rFont val="Noto Sans CJK SC"/>
        <family val="2"/>
      </rPr>
      <t xml:space="preserve">／飽和 </t>
    </r>
    <r>
      <rPr>
        <sz val="10"/>
        <rFont val="Arial"/>
        <family val="0"/>
        <charset val="1"/>
      </rPr>
      <t xml:space="preserve">85–110%</t>
    </r>
    <r>
      <rPr>
        <sz val="10"/>
        <rFont val="Noto Sans CJK SC"/>
        <family val="2"/>
      </rPr>
      <t xml:space="preserve">／適中 </t>
    </r>
    <r>
      <rPr>
        <sz val="10"/>
        <rFont val="Arial"/>
        <family val="0"/>
        <charset val="1"/>
      </rPr>
      <t xml:space="preserve">60–85%</t>
    </r>
    <r>
      <rPr>
        <sz val="10"/>
        <rFont val="Noto Sans CJK SC"/>
        <family val="2"/>
      </rPr>
      <t xml:space="preserve">／低度 </t>
    </r>
    <r>
      <rPr>
        <sz val="10"/>
        <rFont val="Arial"/>
        <family val="0"/>
        <charset val="1"/>
      </rPr>
      <t xml:space="preserve">&lt;60%</t>
    </r>
  </si>
  <si>
    <r>
      <rPr>
        <sz val="9"/>
        <color rgb="FF000000"/>
        <rFont val="Arial"/>
        <family val="0"/>
        <charset val="1"/>
      </rPr>
      <t xml:space="preserve">85% </t>
    </r>
    <r>
      <rPr>
        <sz val="9"/>
        <color rgb="FF000000"/>
        <rFont val="Noto Sans CJK SC"/>
        <family val="2"/>
      </rPr>
      <t xml:space="preserve">為飽和門檻</t>
    </r>
  </si>
  <si>
    <t xml:space="preserve">淨工時</t>
  </si>
  <si>
    <t xml:space="preserve">全期回報工時扣除「休假」類別</t>
  </si>
  <si>
    <r>
      <rPr>
        <sz val="9"/>
        <color rgb="FF000000"/>
        <rFont val="Noto Sans CJK SC"/>
        <family val="2"/>
      </rPr>
      <t xml:space="preserve">期間 </t>
    </r>
    <r>
      <rPr>
        <sz val="9"/>
        <color rgb="FF000000"/>
        <rFont val="Arial"/>
        <family val="0"/>
        <charset val="1"/>
      </rPr>
      <t xml:space="preserve">2024-06-27 ~ 2026-08-12</t>
    </r>
  </si>
  <si>
    <r>
      <rPr>
        <sz val="9"/>
        <color rgb="FF595959"/>
        <rFont val="Arial"/>
        <family val="0"/>
        <charset val="1"/>
      </rPr>
      <t xml:space="preserve">PLM002 E </t>
    </r>
    <r>
      <rPr>
        <sz val="9"/>
        <color rgb="FF595959"/>
        <rFont val="Noto Sans CJK SC"/>
        <family val="2"/>
      </rPr>
      <t xml:space="preserve">工時類別</t>
    </r>
  </si>
  <si>
    <t xml:space="preserve">專案工時</t>
  </si>
  <si>
    <r>
      <rPr>
        <sz val="10"/>
        <rFont val="Noto Sans CJK SC"/>
        <family val="2"/>
      </rPr>
      <t xml:space="preserve">工時類別＝「一般專案」之工時（該類別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掛專案編號）</t>
    </r>
  </si>
  <si>
    <r>
      <rPr>
        <sz val="9"/>
        <color rgb="FF000000"/>
        <rFont val="Noto Sans CJK SC"/>
        <family val="2"/>
      </rPr>
      <t xml:space="preserve">其餘 </t>
    </r>
    <r>
      <rPr>
        <sz val="9"/>
        <color rgb="FF000000"/>
        <rFont val="Arial"/>
        <family val="0"/>
        <charset val="1"/>
      </rPr>
      <t xml:space="preserve">14 </t>
    </r>
    <r>
      <rPr>
        <sz val="9"/>
        <color rgb="FF000000"/>
        <rFont val="Noto Sans CJK SC"/>
        <family val="2"/>
      </rPr>
      <t xml:space="preserve">類均低於 </t>
    </r>
    <r>
      <rPr>
        <sz val="9"/>
        <color rgb="FF000000"/>
        <rFont val="Arial"/>
        <family val="0"/>
        <charset val="1"/>
      </rPr>
      <t xml:space="preserve">26%</t>
    </r>
  </si>
  <si>
    <t xml:space="preserve">PLM002 E / F</t>
  </si>
  <si>
    <t xml:space="preserve">專案工時率</t>
  </si>
  <si>
    <r>
      <rPr>
        <sz val="10"/>
        <rFont val="Noto Sans CJK SC"/>
        <family val="2"/>
      </rPr>
      <t xml:space="preserve">處內人員專案工時加總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淨工時加總 </t>
    </r>
    <r>
      <rPr>
        <sz val="10"/>
        <rFont val="Arial"/>
        <family val="0"/>
        <charset val="1"/>
      </rPr>
      <t xml:space="preserve">× 100</t>
    </r>
  </si>
  <si>
    <t xml:space="preserve">先加總再相除，非個人比率取平均</t>
  </si>
  <si>
    <r>
      <rPr>
        <sz val="10"/>
        <rFont val="Noto Sans CJK SC"/>
        <family val="2"/>
      </rPr>
      <t xml:space="preserve">九項指標之百分位加權，輸出 </t>
    </r>
    <r>
      <rPr>
        <sz val="10"/>
        <rFont val="Arial"/>
        <family val="0"/>
        <charset val="1"/>
      </rPr>
      <t xml:space="preserve">0–100</t>
    </r>
  </si>
  <si>
    <r>
      <rPr>
        <sz val="9"/>
        <color rgb="FF000000"/>
        <rFont val="Noto Sans CJK SC"/>
        <family val="2"/>
      </rPr>
      <t xml:space="preserve">見說明文件 </t>
    </r>
    <r>
      <rPr>
        <sz val="9"/>
        <color rgb="FF000000"/>
        <rFont val="Arial"/>
        <family val="0"/>
        <charset val="1"/>
      </rPr>
      <t xml:space="preserve">§5</t>
    </r>
  </si>
  <si>
    <t xml:space="preserve">多來源</t>
  </si>
  <si>
    <t xml:space="preserve">四象限</t>
  </si>
  <si>
    <r>
      <rPr>
        <sz val="10"/>
        <rFont val="Noto Sans CJK SC"/>
        <family val="2"/>
      </rPr>
      <t xml:space="preserve">以負荷 </t>
    </r>
    <r>
      <rPr>
        <sz val="10"/>
        <rFont val="Arial"/>
        <family val="0"/>
        <charset val="1"/>
      </rPr>
      <t xml:space="preserve">85% </t>
    </r>
    <r>
      <rPr>
        <sz val="10"/>
        <rFont val="Noto Sans CJK SC"/>
        <family val="2"/>
      </rPr>
      <t xml:space="preserve">與績效第 </t>
    </r>
    <r>
      <rPr>
        <sz val="10"/>
        <rFont val="Arial"/>
        <family val="0"/>
        <charset val="1"/>
      </rPr>
      <t xml:space="preserve">50 </t>
    </r>
    <r>
      <rPr>
        <sz val="10"/>
        <rFont val="Noto Sans CJK SC"/>
        <family val="2"/>
      </rPr>
      <t xml:space="preserve">百分位切分</t>
    </r>
  </si>
  <si>
    <t xml:space="preserve">高效主力／過勞低效／量能未滿／需輔導</t>
  </si>
  <si>
    <r>
      <rPr>
        <b val="true"/>
        <sz val="12"/>
        <color rgb="FF1F3864"/>
        <rFont val="Noto Sans CJK SC"/>
        <family val="2"/>
      </rPr>
      <t xml:space="preserve">參數區（黃色＝可調參數，修改後 </t>
    </r>
    <r>
      <rPr>
        <b val="true"/>
        <sz val="12"/>
        <color rgb="FF1F3864"/>
        <rFont val="Arial"/>
        <family val="0"/>
        <charset val="1"/>
      </rPr>
      <t xml:space="preserve">21 / 22 </t>
    </r>
    <r>
      <rPr>
        <b val="true"/>
        <sz val="12"/>
        <color rgb="FF1F3864"/>
        <rFont val="Noto Sans CJK SC"/>
        <family val="2"/>
      </rPr>
      <t xml:space="preserve">表自動重算；來源見「</t>
    </r>
    <r>
      <rPr>
        <b val="true"/>
        <sz val="12"/>
        <color rgb="FF1F3864"/>
        <rFont val="Arial"/>
        <family val="0"/>
        <charset val="1"/>
      </rPr>
      <t xml:space="preserve">01_</t>
    </r>
    <r>
      <rPr>
        <b val="true"/>
        <sz val="12"/>
        <color rgb="FF1F3864"/>
        <rFont val="Noto Sans CJK SC"/>
        <family val="2"/>
      </rPr>
      <t xml:space="preserve">輸入值來源」）</t>
    </r>
  </si>
  <si>
    <r>
      <rPr>
        <sz val="9"/>
        <color rgb="FF595959"/>
        <rFont val="Arial"/>
        <family val="0"/>
        <charset val="1"/>
      </rPr>
      <t xml:space="preserve">hr/</t>
    </r>
    <r>
      <rPr>
        <sz val="9"/>
        <color rgb="FF595959"/>
        <rFont val="Noto Sans CJK SC"/>
        <family val="2"/>
      </rPr>
      <t xml:space="preserve">月</t>
    </r>
  </si>
  <si>
    <t xml:space="preserve">月</t>
  </si>
  <si>
    <t xml:space="preserve">末月可出勤工作日</t>
  </si>
  <si>
    <r>
      <rPr>
        <sz val="9"/>
        <color rgb="FF595959"/>
        <rFont val="Noto Sans CJK SC"/>
        <family val="2"/>
      </rPr>
      <t xml:space="preserve">日（</t>
    </r>
    <r>
      <rPr>
        <sz val="9"/>
        <color rgb="FF595959"/>
        <rFont val="Arial"/>
        <family val="0"/>
        <charset val="1"/>
      </rPr>
      <t xml:space="preserve">8/1~8/14</t>
    </r>
    <r>
      <rPr>
        <sz val="9"/>
        <color rgb="FF595959"/>
        <rFont val="Noto Sans CJK SC"/>
        <family val="2"/>
      </rPr>
      <t xml:space="preserve">）</t>
    </r>
  </si>
  <si>
    <t xml:space="preserve">末月全月工作日</t>
  </si>
  <si>
    <r>
      <rPr>
        <sz val="9"/>
        <color rgb="FF595959"/>
        <rFont val="Noto Sans CJK SC"/>
        <family val="2"/>
      </rPr>
      <t xml:space="preserve">日（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）</t>
    </r>
  </si>
  <si>
    <t xml:space="preserve">飽和門檻</t>
  </si>
  <si>
    <t xml:space="preserve">%</t>
  </si>
  <si>
    <t xml:space="preserve">過載門檻</t>
  </si>
  <si>
    <t xml:space="preserve">適中門檻</t>
  </si>
  <si>
    <t xml:space="preserve">百分位</t>
  </si>
  <si>
    <t xml:space="preserve">應出勤工時（全期在職者）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</si>
  <si>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176 × 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176 × 10/21</t>
    </r>
  </si>
  <si>
    <t xml:space="preserve">新進人員之應出勤</t>
  </si>
  <si>
    <t xml:space="preserve">逐人折算</t>
  </si>
  <si>
    <r>
      <rPr>
        <sz val="9"/>
        <color rgb="FF595959"/>
        <rFont val="Noto Sans CJK SC"/>
        <family val="2"/>
      </rPr>
      <t xml:space="preserve">到職日在視窗內者，僅計到職日之後的工作日（見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表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欄）</t>
    </r>
  </si>
  <si>
    <r>
      <rPr>
        <b val="true"/>
        <sz val="15"/>
        <color rgb="FF1F3864"/>
        <rFont val="Noto Sans CJK SC"/>
        <family val="2"/>
      </rPr>
      <t xml:space="preserve">各處級人力負荷　逐人明細（</t>
    </r>
    <r>
      <rPr>
        <b val="true"/>
        <sz val="15"/>
        <color rgb="FF1F3864"/>
        <rFont val="Arial"/>
        <family val="0"/>
        <charset val="1"/>
      </rPr>
      <t xml:space="preserve">30 </t>
    </r>
    <r>
      <rPr>
        <b val="true"/>
        <sz val="15"/>
        <color rgb="FF1F3864"/>
        <rFont val="Noto Sans CJK SC"/>
        <family val="2"/>
      </rPr>
      <t xml:space="preserve">人）</t>
    </r>
  </si>
  <si>
    <r>
      <rPr>
        <sz val="9.5"/>
        <color rgb="FF595959"/>
        <rFont val="Noto Sans CJK SC"/>
        <family val="2"/>
      </rPr>
      <t xml:space="preserve">淺黃欄（</t>
    </r>
    <r>
      <rPr>
        <sz val="9.5"/>
        <color rgb="FF595959"/>
        <rFont val="Arial"/>
        <family val="0"/>
        <charset val="1"/>
      </rPr>
      <t xml:space="preserve">F</t>
    </r>
    <r>
      <rPr>
        <sz val="9.5"/>
        <color rgb="FF595959"/>
        <rFont val="Noto Sans CJK SC"/>
        <family val="2"/>
      </rPr>
      <t xml:space="preserve">、</t>
    </r>
    <r>
      <rPr>
        <sz val="9.5"/>
        <color rgb="FF595959"/>
        <rFont val="Arial"/>
        <family val="0"/>
        <charset val="1"/>
      </rPr>
      <t xml:space="preserve">G</t>
    </r>
    <r>
      <rPr>
        <sz val="9.5"/>
        <color rgb="FF595959"/>
        <rFont val="Noto Sans CJK SC"/>
        <family val="2"/>
      </rPr>
      <t xml:space="preserve">、</t>
    </r>
    <r>
      <rPr>
        <sz val="9.5"/>
        <color rgb="FF595959"/>
        <rFont val="Arial"/>
        <family val="0"/>
        <charset val="1"/>
      </rPr>
      <t xml:space="preserve">J</t>
    </r>
    <r>
      <rPr>
        <sz val="9.5"/>
        <color rgb="FF595959"/>
        <rFont val="Noto Sans CJK SC"/>
        <family val="2"/>
      </rPr>
      <t xml:space="preserve">、</t>
    </r>
    <r>
      <rPr>
        <sz val="9.5"/>
        <color rgb="FF595959"/>
        <rFont val="Arial"/>
        <family val="0"/>
        <charset val="1"/>
      </rPr>
      <t xml:space="preserve">K</t>
    </r>
    <r>
      <rPr>
        <sz val="9.5"/>
        <color rgb="FF595959"/>
        <rFont val="Noto Sans CJK SC"/>
        <family val="2"/>
      </rPr>
      <t xml:space="preserve">、</t>
    </r>
    <r>
      <rPr>
        <sz val="9.5"/>
        <color rgb="FF595959"/>
        <rFont val="Arial"/>
        <family val="0"/>
        <charset val="1"/>
      </rPr>
      <t xml:space="preserve">M</t>
    </r>
    <r>
      <rPr>
        <sz val="9.5"/>
        <color rgb="FF595959"/>
        <rFont val="Noto Sans CJK SC"/>
        <family val="2"/>
      </rPr>
      <t xml:space="preserve">）＝原始輸入，來源見「</t>
    </r>
    <r>
      <rPr>
        <sz val="9.5"/>
        <color rgb="FF595959"/>
        <rFont val="Arial"/>
        <family val="0"/>
        <charset val="1"/>
      </rPr>
      <t xml:space="preserve">01_</t>
    </r>
    <r>
      <rPr>
        <sz val="9.5"/>
        <color rgb="FF595959"/>
        <rFont val="Noto Sans CJK SC"/>
        <family val="2"/>
      </rPr>
      <t xml:space="preserve">輸入值來源」或欄標題註解；其餘為公式。本表含具名之個人負荷與績效百分位，屬內部管理用途，請勿轉為全員可見文件。</t>
    </r>
  </si>
  <si>
    <t xml:space="preserve">姓名</t>
  </si>
  <si>
    <t xml:space="preserve">處</t>
  </si>
  <si>
    <t xml:space="preserve">部門</t>
  </si>
  <si>
    <t xml:space="preserve">職稱</t>
  </si>
  <si>
    <r>
      <rPr>
        <b val="true"/>
        <sz val="10"/>
        <color rgb="FF000000"/>
        <rFont val="Noto Sans CJK SC"/>
        <family val="2"/>
      </rPr>
      <t xml:space="preserve">近半年工時</t>
    </r>
    <r>
      <rPr>
        <b val="true"/>
        <sz val="10"/>
        <color rgb="FF000000"/>
        <rFont val="Arial"/>
        <family val="0"/>
        <charset val="1"/>
      </rPr>
      <t xml:space="preserve">(hr)</t>
    </r>
  </si>
  <si>
    <r>
      <rPr>
        <b val="true"/>
        <sz val="10"/>
        <color rgb="FF000000"/>
        <rFont val="Noto Sans CJK SC"/>
        <family val="2"/>
      </rPr>
      <t xml:space="preserve">應出勤</t>
    </r>
    <r>
      <rPr>
        <b val="true"/>
        <sz val="10"/>
        <color rgb="FF000000"/>
        <rFont val="Arial"/>
        <family val="0"/>
        <charset val="1"/>
      </rPr>
      <t xml:space="preserve">(hr)</t>
    </r>
  </si>
  <si>
    <r>
      <rPr>
        <b val="true"/>
        <sz val="10"/>
        <color rgb="FF000000"/>
        <rFont val="Noto Sans CJK SC"/>
        <family val="2"/>
      </rPr>
      <t xml:space="preserve">淨工時</t>
    </r>
    <r>
      <rPr>
        <b val="true"/>
        <sz val="10"/>
        <color rgb="FF000000"/>
        <rFont val="Arial"/>
        <family val="0"/>
        <charset val="1"/>
      </rPr>
      <t xml:space="preserve">(hr)</t>
    </r>
  </si>
  <si>
    <r>
      <rPr>
        <b val="true"/>
        <sz val="10"/>
        <color rgb="FF000000"/>
        <rFont val="Noto Sans CJK SC"/>
        <family val="2"/>
      </rPr>
      <t xml:space="preserve">專案工時</t>
    </r>
    <r>
      <rPr>
        <b val="true"/>
        <sz val="10"/>
        <color rgb="FF000000"/>
        <rFont val="Arial"/>
        <family val="0"/>
        <charset val="1"/>
      </rPr>
      <t xml:space="preserve">(hr)</t>
    </r>
  </si>
  <si>
    <t xml:space="preserve">非專案占比</t>
  </si>
  <si>
    <t xml:space="preserve">負荷≥門檻</t>
  </si>
  <si>
    <t xml:space="preserve">績效≥切點</t>
  </si>
  <si>
    <t xml:space="preserve">在製案</t>
  </si>
  <si>
    <t xml:space="preserve">逾期未結</t>
  </si>
  <si>
    <t xml:space="preserve">李騏敬</t>
  </si>
  <si>
    <t xml:space="preserve">研發一處</t>
  </si>
  <si>
    <t xml:space="preserve">研二部</t>
  </si>
  <si>
    <t xml:space="preserve">副工程師</t>
  </si>
  <si>
    <t xml:space="preserve">張文魁</t>
  </si>
  <si>
    <t xml:space="preserve">技術中心</t>
  </si>
  <si>
    <t xml:space="preserve">高級工程師</t>
  </si>
  <si>
    <t xml:space="preserve">陳威諭</t>
  </si>
  <si>
    <t xml:space="preserve">研發一處直屬</t>
  </si>
  <si>
    <t xml:space="preserve">莊廉琯</t>
  </si>
  <si>
    <t xml:space="preserve">黃胤綸</t>
  </si>
  <si>
    <t xml:space="preserve">主任工程師</t>
  </si>
  <si>
    <t xml:space="preserve">彭志豪</t>
  </si>
  <si>
    <t xml:space="preserve">魏暉恩</t>
  </si>
  <si>
    <t xml:space="preserve">研三部</t>
  </si>
  <si>
    <t xml:space="preserve">工程師</t>
  </si>
  <si>
    <t xml:space="preserve">賴慶樺</t>
  </si>
  <si>
    <t xml:space="preserve">蘇哲弘</t>
  </si>
  <si>
    <t xml:space="preserve">劉子明</t>
  </si>
  <si>
    <t xml:space="preserve">經理</t>
  </si>
  <si>
    <t xml:space="preserve">張良琪</t>
  </si>
  <si>
    <t xml:space="preserve">研一部</t>
  </si>
  <si>
    <t xml:space="preserve">副理</t>
  </si>
  <si>
    <t xml:space="preserve">張政崙</t>
  </si>
  <si>
    <t xml:space="preserve">資深工程師</t>
  </si>
  <si>
    <t xml:space="preserve">李奕澔</t>
  </si>
  <si>
    <t xml:space="preserve">蕭金椿</t>
  </si>
  <si>
    <t xml:space="preserve">王楷權</t>
  </si>
  <si>
    <t xml:space="preserve">助理工程師</t>
  </si>
  <si>
    <t xml:space="preserve">劉益瑋</t>
  </si>
  <si>
    <t xml:space="preserve">洪尚凰</t>
  </si>
  <si>
    <t xml:space="preserve">何昆達</t>
  </si>
  <si>
    <t xml:space="preserve">陳彥名</t>
  </si>
  <si>
    <t xml:space="preserve">鄭珅易</t>
  </si>
  <si>
    <t xml:space="preserve">許慧芝</t>
  </si>
  <si>
    <t xml:space="preserve">葉宏政</t>
  </si>
  <si>
    <t xml:space="preserve">研發二處</t>
  </si>
  <si>
    <t xml:space="preserve">產品開發</t>
  </si>
  <si>
    <t xml:space="preserve">鄭貫中</t>
  </si>
  <si>
    <t xml:space="preserve">羅友彥</t>
  </si>
  <si>
    <t xml:space="preserve">自動化</t>
  </si>
  <si>
    <t xml:space="preserve">郭景成</t>
  </si>
  <si>
    <t xml:space="preserve">副課長</t>
  </si>
  <si>
    <t xml:space="preserve">蘇漢城</t>
  </si>
  <si>
    <t xml:space="preserve">游雅雯</t>
  </si>
  <si>
    <t xml:space="preserve">陳威瑜</t>
  </si>
  <si>
    <t xml:space="preserve">課長</t>
  </si>
  <si>
    <t xml:space="preserve">李育儒</t>
  </si>
  <si>
    <t xml:space="preserve">王瀚霆</t>
  </si>
  <si>
    <r>
      <rPr>
        <b val="true"/>
        <sz val="10"/>
        <color rgb="FF000000"/>
        <rFont val="Noto Sans CJK SC"/>
        <family val="2"/>
      </rPr>
      <t xml:space="preserve">合計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平均</t>
    </r>
  </si>
  <si>
    <t xml:space="preserve">註</t>
  </si>
  <si>
    <r>
      <rPr>
        <sz val="9.5"/>
        <color rgb="FF595959"/>
        <rFont val="Noto Sans CJK SC"/>
        <family val="2"/>
      </rPr>
      <t xml:space="preserve">「近半年工時」為 </t>
    </r>
    <r>
      <rPr>
        <sz val="9.5"/>
        <color rgb="FF595959"/>
        <rFont val="Arial"/>
        <family val="0"/>
        <charset val="1"/>
      </rPr>
      <t xml:space="preserve">PLM002 </t>
    </r>
    <r>
      <rPr>
        <sz val="9.5"/>
        <color rgb="FF595959"/>
        <rFont val="Noto Sans CJK SC"/>
        <family val="2"/>
      </rPr>
      <t xml:space="preserve">於 </t>
    </r>
    <r>
      <rPr>
        <sz val="9.5"/>
        <color rgb="FF595959"/>
        <rFont val="Arial"/>
        <family val="0"/>
        <charset val="1"/>
      </rPr>
      <t xml:space="preserve">2026-03 ~ 2026-08 </t>
    </r>
    <r>
      <rPr>
        <sz val="9.5"/>
        <color rgb="FF595959"/>
        <rFont val="Noto Sans CJK SC"/>
        <family val="2"/>
      </rPr>
      <t xml:space="preserve">之回報工時加總；「淨工時／專案工時」為全期（</t>
    </r>
    <r>
      <rPr>
        <sz val="9.5"/>
        <color rgb="FF595959"/>
        <rFont val="Arial"/>
        <family val="0"/>
        <charset val="1"/>
      </rPr>
      <t xml:space="preserve">2024-06-27 ~ 2026-08-12</t>
    </r>
    <r>
      <rPr>
        <sz val="9.5"/>
        <color rgb="FF595959"/>
        <rFont val="Noto Sans CJK SC"/>
        <family val="2"/>
      </rPr>
      <t xml:space="preserve">）加總，兩者期間不同，勿互相換算。</t>
    </r>
  </si>
  <si>
    <t xml:space="preserve">各處級人力負荷　處級彙總（＝平台⑥表格）</t>
  </si>
  <si>
    <r>
      <rPr>
        <sz val="9.5"/>
        <color rgb="FF595959"/>
        <rFont val="Noto Sans CJK SC"/>
        <family val="2"/>
      </rPr>
      <t xml:space="preserve">本表每一格皆由 </t>
    </r>
    <r>
      <rPr>
        <sz val="9.5"/>
        <color rgb="FF595959"/>
        <rFont val="Arial"/>
        <family val="0"/>
        <charset val="1"/>
      </rPr>
      <t xml:space="preserve">21 </t>
    </r>
    <r>
      <rPr>
        <sz val="9.5"/>
        <color rgb="FF595959"/>
        <rFont val="Noto Sans CJK SC"/>
        <family val="2"/>
      </rPr>
      <t xml:space="preserve">表以 </t>
    </r>
    <r>
      <rPr>
        <sz val="9.5"/>
        <color rgb="FF595959"/>
        <rFont val="Arial"/>
        <family val="0"/>
        <charset val="1"/>
      </rPr>
      <t xml:space="preserve">COUNTIFS / SUMIFS </t>
    </r>
    <r>
      <rPr>
        <sz val="9.5"/>
        <color rgb="FF595959"/>
        <rFont val="Noto Sans CJK SC"/>
        <family val="2"/>
      </rPr>
      <t xml:space="preserve">統計，可逐格核對平台畫面。</t>
    </r>
  </si>
  <si>
    <t xml:space="preserve">處別</t>
  </si>
  <si>
    <t xml:space="preserve">人數</t>
  </si>
  <si>
    <t xml:space="preserve">平均負荷</t>
  </si>
  <si>
    <r>
      <rPr>
        <b val="true"/>
        <sz val="10"/>
        <color rgb="FF000000"/>
        <rFont val="Noto Sans CJK SC"/>
        <family val="2"/>
      </rPr>
      <t xml:space="preserve">過載 </t>
    </r>
    <r>
      <rPr>
        <b val="true"/>
        <sz val="10"/>
        <color rgb="FF000000"/>
        <rFont val="Arial"/>
        <family val="0"/>
        <charset val="1"/>
      </rPr>
      <t xml:space="preserve">&gt;110%</t>
    </r>
  </si>
  <si>
    <r>
      <rPr>
        <b val="true"/>
        <sz val="10"/>
        <color rgb="FF000000"/>
        <rFont val="Noto Sans CJK SC"/>
        <family val="2"/>
      </rPr>
      <t xml:space="preserve">飽和 </t>
    </r>
    <r>
      <rPr>
        <b val="true"/>
        <sz val="10"/>
        <color rgb="FF000000"/>
        <rFont val="Arial"/>
        <family val="0"/>
        <charset val="1"/>
      </rPr>
      <t xml:space="preserve">85–110%</t>
    </r>
  </si>
  <si>
    <r>
      <rPr>
        <b val="true"/>
        <sz val="10"/>
        <color rgb="FF000000"/>
        <rFont val="Noto Sans CJK SC"/>
        <family val="2"/>
      </rPr>
      <t xml:space="preserve">適中 </t>
    </r>
    <r>
      <rPr>
        <b val="true"/>
        <sz val="10"/>
        <color rgb="FF000000"/>
        <rFont val="Arial"/>
        <family val="0"/>
        <charset val="1"/>
      </rPr>
      <t xml:space="preserve">60–85%</t>
    </r>
  </si>
  <si>
    <r>
      <rPr>
        <b val="true"/>
        <sz val="10"/>
        <color rgb="FF000000"/>
        <rFont val="Noto Sans CJK SC"/>
        <family val="2"/>
      </rPr>
      <t xml:space="preserve">低度 </t>
    </r>
    <r>
      <rPr>
        <b val="true"/>
        <sz val="10"/>
        <color rgb="FF000000"/>
        <rFont val="Arial"/>
        <family val="0"/>
        <charset val="1"/>
      </rPr>
      <t xml:space="preserve">&lt;60%</t>
    </r>
  </si>
  <si>
    <t xml:space="preserve">高效主力</t>
  </si>
  <si>
    <t xml:space="preserve">過勞低效</t>
  </si>
  <si>
    <t xml:space="preserve">量能未滿</t>
  </si>
  <si>
    <t xml:space="preserve">需輔導</t>
  </si>
  <si>
    <t xml:space="preserve">研發處合計</t>
  </si>
  <si>
    <t xml:space="preserve">交叉驗證</t>
  </si>
  <si>
    <t xml:space="preserve">檢核項目</t>
  </si>
  <si>
    <t xml:space="preserve">本表計算</t>
  </si>
  <si>
    <t xml:space="preserve">應等於</t>
  </si>
  <si>
    <t xml:space="preserve">結果</t>
  </si>
  <si>
    <r>
      <rPr>
        <sz val="10"/>
        <rFont val="Noto Sans CJK SC"/>
        <family val="2"/>
      </rPr>
      <t xml:space="preserve">人數加總 </t>
    </r>
    <r>
      <rPr>
        <sz val="10"/>
        <rFont val="Arial"/>
        <family val="0"/>
        <charset val="1"/>
      </rPr>
      <t xml:space="preserve">= 30</t>
    </r>
  </si>
  <si>
    <r>
      <rPr>
        <sz val="10"/>
        <rFont val="Noto Sans CJK SC"/>
        <family val="2"/>
      </rPr>
      <t xml:space="preserve">四個負荷分帶加總 </t>
    </r>
    <r>
      <rPr>
        <sz val="10"/>
        <rFont val="Arial"/>
        <family val="0"/>
        <charset val="1"/>
      </rPr>
      <t xml:space="preserve">= 30</t>
    </r>
  </si>
  <si>
    <r>
      <rPr>
        <sz val="10"/>
        <rFont val="Noto Sans CJK SC"/>
        <family val="2"/>
      </rPr>
      <t xml:space="preserve">四象限加總 </t>
    </r>
    <r>
      <rPr>
        <sz val="10"/>
        <rFont val="Arial"/>
        <family val="0"/>
        <charset val="1"/>
      </rPr>
      <t xml:space="preserve">= 30</t>
    </r>
  </si>
  <si>
    <r>
      <rPr>
        <sz val="10"/>
        <rFont val="Noto Sans CJK SC"/>
        <family val="2"/>
      </rPr>
      <t xml:space="preserve">平台顯示：研發一處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/ 90%</t>
    </r>
  </si>
  <si>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/ 90%</t>
    </r>
  </si>
  <si>
    <r>
      <rPr>
        <sz val="10"/>
        <rFont val="Noto Sans CJK SC"/>
        <family val="2"/>
      </rPr>
      <t xml:space="preserve">平台顯示：研發二處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/ 90%</t>
    </r>
  </si>
  <si>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/ 90%</t>
    </r>
  </si>
  <si>
    <r>
      <rPr>
        <sz val="10"/>
        <rFont val="Noto Sans CJK SC"/>
        <family val="2"/>
      </rPr>
      <t xml:space="preserve">平台顯示：合計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/ 90%</t>
    </r>
  </si>
  <si>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人 </t>
    </r>
    <r>
      <rPr>
        <sz val="10"/>
        <rFont val="Arial"/>
        <family val="0"/>
        <charset val="1"/>
      </rPr>
      <t xml:space="preserve">/ 90%</t>
    </r>
  </si>
  <si>
    <r>
      <rPr>
        <sz val="10"/>
        <rFont val="Noto Sans CJK SC"/>
        <family val="2"/>
      </rPr>
      <t xml:space="preserve">平台顯示：專案工時率 </t>
    </r>
    <r>
      <rPr>
        <sz val="10"/>
        <rFont val="Arial"/>
        <family val="0"/>
        <charset val="1"/>
      </rPr>
      <t xml:space="preserve">63% / 53% / 60%</t>
    </r>
  </si>
  <si>
    <t xml:space="preserve">63% / 53% / 60%</t>
  </si>
  <si>
    <r>
      <rPr>
        <b val="true"/>
        <sz val="15"/>
        <color rgb="FF1F3864"/>
        <rFont val="Noto Sans CJK SC"/>
        <family val="2"/>
      </rPr>
      <t xml:space="preserve">未排入專案人員名單（研發一處 </t>
    </r>
    <r>
      <rPr>
        <b val="true"/>
        <sz val="15"/>
        <color rgb="FF1F3864"/>
        <rFont val="Arial"/>
        <family val="0"/>
        <charset val="1"/>
      </rPr>
      <t xml:space="preserve">/ </t>
    </r>
    <r>
      <rPr>
        <b val="true"/>
        <sz val="15"/>
        <color rgb="FF1F3864"/>
        <rFont val="Noto Sans CJK SC"/>
        <family val="2"/>
      </rPr>
      <t xml:space="preserve">研發二處）</t>
    </r>
  </si>
  <si>
    <r>
      <rPr>
        <sz val="9.5"/>
        <color rgb="FF595959"/>
        <rFont val="Noto Sans CJK SC"/>
        <family val="2"/>
      </rPr>
      <t xml:space="preserve">母體＝研發處人員名冊（員工簡易表）</t>
    </r>
    <r>
      <rPr>
        <sz val="9.5"/>
        <color rgb="FF595959"/>
        <rFont val="Arial"/>
        <family val="0"/>
        <charset val="1"/>
      </rPr>
      <t xml:space="preserve">36 </t>
    </r>
    <r>
      <rPr>
        <sz val="9.5"/>
        <color rgb="FF595959"/>
        <rFont val="Noto Sans CJK SC"/>
        <family val="2"/>
      </rPr>
      <t xml:space="preserve">人，已排除工讀生 </t>
    </r>
    <r>
      <rPr>
        <sz val="9.5"/>
        <color rgb="FF595959"/>
        <rFont val="Arial"/>
        <family val="0"/>
        <charset val="1"/>
      </rPr>
      <t xml:space="preserve">1 </t>
    </r>
    <r>
      <rPr>
        <sz val="9.5"/>
        <color rgb="FF595959"/>
        <rFont val="Noto Sans CJK SC"/>
        <family val="2"/>
      </rPr>
      <t xml:space="preserve">人。比對專案進度表逐人設計工時，找出名冊在編但未被排進 </t>
    </r>
    <r>
      <rPr>
        <sz val="9.5"/>
        <color rgb="FF595959"/>
        <rFont val="Arial"/>
        <family val="0"/>
        <charset val="1"/>
      </rPr>
      <t xml:space="preserve">44 </t>
    </r>
    <r>
      <rPr>
        <sz val="9.5"/>
        <color rgb="FF595959"/>
        <rFont val="Noto Sans CJK SC"/>
        <family val="2"/>
      </rPr>
      <t xml:space="preserve">件專案者。</t>
    </r>
  </si>
  <si>
    <t xml:space="preserve">類型</t>
  </si>
  <si>
    <t xml:space="preserve">員工工號</t>
  </si>
  <si>
    <t xml:space="preserve">職位名稱</t>
  </si>
  <si>
    <t xml:space="preserve">到職日</t>
  </si>
  <si>
    <t xml:space="preserve">參與案</t>
  </si>
  <si>
    <r>
      <rPr>
        <b val="true"/>
        <sz val="10"/>
        <color rgb="FF000000"/>
        <rFont val="Noto Sans CJK SC"/>
        <family val="2"/>
      </rPr>
      <t xml:space="preserve">累計工時</t>
    </r>
    <r>
      <rPr>
        <b val="true"/>
        <sz val="10"/>
        <color rgb="FF000000"/>
        <rFont val="Arial"/>
        <family val="0"/>
        <charset val="1"/>
      </rPr>
      <t xml:space="preserve">(hr)</t>
    </r>
  </si>
  <si>
    <t xml:space="preserve">最後回報月</t>
  </si>
  <si>
    <t xml:space="preserve">說明</t>
  </si>
  <si>
    <t xml:space="preserve">完全未排入專案</t>
  </si>
  <si>
    <t xml:space="preserve">1150711</t>
  </si>
  <si>
    <t xml:space="preserve">2026-07-15</t>
  </si>
  <si>
    <t xml:space="preserve">2026-08</t>
  </si>
  <si>
    <r>
      <rPr>
        <sz val="9.5"/>
        <color rgb="FF000000"/>
        <rFont val="Noto Sans CJK SC"/>
        <family val="2"/>
      </rPr>
      <t xml:space="preserve">新進（到職 </t>
    </r>
    <r>
      <rPr>
        <sz val="9.5"/>
        <color rgb="FF000000"/>
        <rFont val="Arial"/>
        <family val="0"/>
        <charset val="1"/>
      </rPr>
      <t xml:space="preserve">2026-07-15</t>
    </r>
    <r>
      <rPr>
        <sz val="9.5"/>
        <color rgb="FF000000"/>
        <rFont val="Noto Sans CJK SC"/>
        <family val="2"/>
      </rPr>
      <t xml:space="preserve">，年資 </t>
    </r>
    <r>
      <rPr>
        <sz val="9.5"/>
        <color rgb="FF000000"/>
        <rFont val="Arial"/>
        <family val="0"/>
        <charset val="1"/>
      </rPr>
      <t xml:space="preserve">30 </t>
    </r>
    <r>
      <rPr>
        <sz val="9.5"/>
        <color rgb="FF000000"/>
        <rFont val="Noto Sans CJK SC"/>
        <family val="2"/>
      </rPr>
      <t xml:space="preserve">天）</t>
    </r>
  </si>
  <si>
    <t xml:space="preserve">1131002</t>
  </si>
  <si>
    <t xml:space="preserve">林光宇</t>
  </si>
  <si>
    <t xml:space="preserve">生技</t>
  </si>
  <si>
    <t xml:space="preserve">2024-10-01</t>
  </si>
  <si>
    <t xml:space="preserve">2025-04</t>
  </si>
  <si>
    <r>
      <rPr>
        <sz val="9.5"/>
        <color rgb="FF000000"/>
        <rFont val="Noto Sans CJK SC"/>
        <family val="2"/>
      </rPr>
      <t xml:space="preserve">最後工時回報 </t>
    </r>
    <r>
      <rPr>
        <sz val="9.5"/>
        <color rgb="FF000000"/>
        <rFont val="Arial"/>
        <family val="0"/>
        <charset val="1"/>
      </rPr>
      <t xml:space="preserve">2025-04</t>
    </r>
    <r>
      <rPr>
        <sz val="9.5"/>
        <color rgb="FF000000"/>
        <rFont val="Noto Sans CJK SC"/>
        <family val="2"/>
      </rPr>
      <t xml:space="preserve">，已停止回報</t>
    </r>
  </si>
  <si>
    <t xml:space="preserve">0870403</t>
  </si>
  <si>
    <t xml:space="preserve">鄭華瑜</t>
  </si>
  <si>
    <t xml:space="preserve">1998-04-07</t>
  </si>
  <si>
    <t xml:space="preserve">無回報</t>
  </si>
  <si>
    <r>
      <rPr>
        <sz val="9.5"/>
        <color rgb="FF000000"/>
        <rFont val="Noto Sans CJK SC"/>
        <family val="2"/>
      </rPr>
      <t xml:space="preserve">名冊在編，但 </t>
    </r>
    <r>
      <rPr>
        <sz val="9.5"/>
        <color rgb="FF000000"/>
        <rFont val="Arial"/>
        <family val="0"/>
        <charset val="1"/>
      </rPr>
      <t xml:space="preserve">PLM002 </t>
    </r>
    <r>
      <rPr>
        <sz val="9.5"/>
        <color rgb="FF000000"/>
        <rFont val="Noto Sans CJK SC"/>
        <family val="2"/>
      </rPr>
      <t xml:space="preserve">無工時回報紀錄</t>
    </r>
  </si>
  <si>
    <t xml:space="preserve">1150807</t>
  </si>
  <si>
    <t xml:space="preserve">胡張善坤</t>
  </si>
  <si>
    <t xml:space="preserve">2026-08-12</t>
  </si>
  <si>
    <r>
      <rPr>
        <sz val="9.5"/>
        <color rgb="FF000000"/>
        <rFont val="Noto Sans CJK SC"/>
        <family val="2"/>
      </rPr>
      <t xml:space="preserve">新進（到職 </t>
    </r>
    <r>
      <rPr>
        <sz val="9.5"/>
        <color rgb="FF000000"/>
        <rFont val="Arial"/>
        <family val="0"/>
        <charset val="1"/>
      </rPr>
      <t xml:space="preserve">2026-08-12</t>
    </r>
    <r>
      <rPr>
        <sz val="9.5"/>
        <color rgb="FF000000"/>
        <rFont val="Noto Sans CJK SC"/>
        <family val="2"/>
      </rPr>
      <t xml:space="preserve">，年資 </t>
    </r>
    <r>
      <rPr>
        <sz val="9.5"/>
        <color rgb="FF000000"/>
        <rFont val="Arial"/>
        <family val="0"/>
        <charset val="1"/>
      </rPr>
      <t xml:space="preserve">2 </t>
    </r>
    <r>
      <rPr>
        <sz val="9.5"/>
        <color rgb="FF000000"/>
        <rFont val="Noto Sans CJK SC"/>
        <family val="2"/>
      </rPr>
      <t xml:space="preserve">天）</t>
    </r>
  </si>
  <si>
    <t xml:space="preserve">1110305</t>
  </si>
  <si>
    <t xml:space="preserve">楊振民</t>
  </si>
  <si>
    <t xml:space="preserve">專員</t>
  </si>
  <si>
    <t xml:space="preserve">2022-03-28</t>
  </si>
  <si>
    <t xml:space="preserve">主管／幕僚職，未直接掛專案</t>
  </si>
  <si>
    <t xml:space="preserve">0870702</t>
  </si>
  <si>
    <t xml:space="preserve">王志文</t>
  </si>
  <si>
    <t xml:space="preserve">處長</t>
  </si>
  <si>
    <t xml:space="preserve">1998-07-16</t>
  </si>
  <si>
    <t xml:space="preserve">僅參與已結案專案</t>
  </si>
  <si>
    <t xml:space="preserve">1050301</t>
  </si>
  <si>
    <t xml:space="preserve">2016-03-01</t>
  </si>
  <si>
    <t xml:space="preserve">待指派</t>
  </si>
  <si>
    <r>
      <rPr>
        <b val="true"/>
        <sz val="10"/>
        <color rgb="FFE36C0A"/>
        <rFont val="Noto Sans CJK SC"/>
        <family val="2"/>
      </rPr>
      <t xml:space="preserve">已排入但實際工時 </t>
    </r>
    <r>
      <rPr>
        <b val="true"/>
        <sz val="10"/>
        <color rgb="FFE36C0A"/>
        <rFont val="Arial"/>
        <family val="0"/>
        <charset val="1"/>
      </rPr>
      <t xml:space="preserve">0</t>
    </r>
  </si>
  <si>
    <t xml:space="preserve">1070611</t>
  </si>
  <si>
    <t xml:space="preserve">王淑瑤</t>
  </si>
  <si>
    <t xml:space="preserve">2018-06-11</t>
  </si>
  <si>
    <t xml:space="preserve">小計</t>
  </si>
  <si>
    <t xml:space="preserve">判定規則</t>
  </si>
  <si>
    <r>
      <rPr>
        <sz val="10"/>
        <color rgb="FF333333"/>
        <rFont val="Noto Sans CJK SC"/>
        <family val="2"/>
      </rPr>
      <t xml:space="preserve">完全未排入專案　：名冊在編，但 </t>
    </r>
    <r>
      <rPr>
        <sz val="10"/>
        <color rgb="FF333333"/>
        <rFont val="Arial"/>
        <family val="0"/>
        <charset val="1"/>
      </rPr>
      <t xml:space="preserve">44 </t>
    </r>
    <r>
      <rPr>
        <sz val="10"/>
        <color rgb="FF333333"/>
        <rFont val="Noto Sans CJK SC"/>
        <family val="2"/>
      </rPr>
      <t xml:space="preserve">件專案的逐人設計工時中，預計與實際皆為 </t>
    </r>
    <r>
      <rPr>
        <sz val="10"/>
        <color rgb="FF333333"/>
        <rFont val="Arial"/>
        <family val="0"/>
        <charset val="1"/>
      </rPr>
      <t xml:space="preserve">0</t>
    </r>
    <r>
      <rPr>
        <sz val="10"/>
        <color rgb="FF333333"/>
        <rFont val="Noto Sans CJK SC"/>
        <family val="2"/>
      </rPr>
      <t xml:space="preserve">（等於從未被排進任何專案）。</t>
    </r>
  </si>
  <si>
    <t xml:space="preserve">僅參與已結案專案：有參與紀錄，但所參與的案子全部已結案或已取消，目前無在製案可做。</t>
  </si>
  <si>
    <r>
      <rPr>
        <sz val="10"/>
        <color rgb="FF333333"/>
        <rFont val="Noto Sans CJK SC"/>
        <family val="2"/>
      </rPr>
      <t xml:space="preserve">已排入但實際工時 </t>
    </r>
    <r>
      <rPr>
        <sz val="10"/>
        <color rgb="FF333333"/>
        <rFont val="Arial"/>
        <family val="0"/>
        <charset val="1"/>
      </rPr>
      <t xml:space="preserve">0</t>
    </r>
    <r>
      <rPr>
        <sz val="10"/>
        <color rgb="FF333333"/>
        <rFont val="Noto Sans CJK SC"/>
        <family val="2"/>
      </rPr>
      <t xml:space="preserve">：已排進在製案且有預計工時，但實際設計工時為 </t>
    </r>
    <r>
      <rPr>
        <sz val="10"/>
        <color rgb="FF333333"/>
        <rFont val="Arial"/>
        <family val="0"/>
        <charset val="1"/>
      </rPr>
      <t xml:space="preserve">0 —— </t>
    </r>
    <r>
      <rPr>
        <sz val="10"/>
        <color rgb="FF333333"/>
        <rFont val="Noto Sans CJK SC"/>
        <family val="2"/>
      </rPr>
      <t xml:space="preserve">可能是尚未開工，也可能是工時未登錄。</t>
    </r>
  </si>
  <si>
    <r>
      <rPr>
        <sz val="10"/>
        <color rgb="FF333333"/>
        <rFont val="Noto Sans CJK SC"/>
        <family val="2"/>
      </rPr>
      <t xml:space="preserve">「說明」欄依到職日、職位名稱與工時回報狀況自動判定：到職 ≤ </t>
    </r>
    <r>
      <rPr>
        <sz val="10"/>
        <color rgb="FF333333"/>
        <rFont val="Arial"/>
        <family val="0"/>
        <charset val="1"/>
      </rPr>
      <t xml:space="preserve">60 </t>
    </r>
    <r>
      <rPr>
        <sz val="10"/>
        <color rgb="FF333333"/>
        <rFont val="Noto Sans CJK SC"/>
        <family val="2"/>
      </rPr>
      <t xml:space="preserve">天→新進；處長／協理／經理／副理／課長／副課長／專員→主管幕僚職；無 </t>
    </r>
    <r>
      <rPr>
        <sz val="10"/>
        <color rgb="FF333333"/>
        <rFont val="Arial"/>
        <family val="0"/>
        <charset val="1"/>
      </rPr>
      <t xml:space="preserve">PLM002 </t>
    </r>
    <r>
      <rPr>
        <sz val="10"/>
        <color rgb="FF333333"/>
        <rFont val="Noto Sans CJK SC"/>
        <family val="2"/>
      </rPr>
      <t xml:space="preserve">回報→名冊在編但無回報；其餘→待指派。</t>
    </r>
  </si>
  <si>
    <r>
      <rPr>
        <sz val="10"/>
        <color rgb="FF333333"/>
        <rFont val="Noto Sans CJK SC"/>
        <family val="2"/>
      </rPr>
      <t xml:space="preserve">注意：本表母體是「人員名冊」，與 </t>
    </r>
    <r>
      <rPr>
        <sz val="10"/>
        <color rgb="FF333333"/>
        <rFont val="Arial"/>
        <family val="0"/>
        <charset val="1"/>
      </rPr>
      <t xml:space="preserve">21</t>
    </r>
    <r>
      <rPr>
        <sz val="10"/>
        <color rgb="FF333333"/>
        <rFont val="Noto Sans CJK SC"/>
        <family val="2"/>
      </rPr>
      <t xml:space="preserve">／</t>
    </r>
    <r>
      <rPr>
        <sz val="10"/>
        <color rgb="FF333333"/>
        <rFont val="Arial"/>
        <family val="0"/>
        <charset val="1"/>
      </rPr>
      <t xml:space="preserve">22 </t>
    </r>
    <r>
      <rPr>
        <sz val="10"/>
        <color rgb="FF333333"/>
        <rFont val="Noto Sans CJK SC"/>
        <family val="2"/>
      </rPr>
      <t xml:space="preserve">表的「有工時回報之 </t>
    </r>
    <r>
      <rPr>
        <sz val="10"/>
        <color rgb="FF333333"/>
        <rFont val="Arial"/>
        <family val="0"/>
        <charset val="1"/>
      </rPr>
      <t xml:space="preserve">30 </t>
    </r>
    <r>
      <rPr>
        <sz val="10"/>
        <color rgb="FF333333"/>
        <rFont val="Noto Sans CJK SC"/>
        <family val="2"/>
      </rPr>
      <t xml:space="preserve">人」母體不同，兩者人數不會相等。</t>
    </r>
  </si>
  <si>
    <t xml:space="preserve">名冊統計</t>
  </si>
  <si>
    <t xml:space="preserve">研發一處（不含工讀生）</t>
  </si>
  <si>
    <t xml:space="preserve">研發二處（不含工讀生）</t>
  </si>
  <si>
    <t xml:space="preserve">兩處合計</t>
  </si>
  <si>
    <t xml:space="preserve">工讀生（已排除）</t>
  </si>
  <si>
    <t xml:space="preserve">名冊中不屬兩處者（研發處直屬等，已排除）</t>
  </si>
  <si>
    <t xml:space="preserve">⑤ 異常專案　判定規則</t>
  </si>
  <si>
    <r>
      <rPr>
        <sz val="9.5"/>
        <color rgb="FF595959"/>
        <rFont val="Noto Sans CJK SC"/>
        <family val="2"/>
      </rPr>
      <t xml:space="preserve">範圍：只分析進行中的專案 —— 狀態＝</t>
    </r>
    <r>
      <rPr>
        <sz val="9.5"/>
        <color rgb="FF595959"/>
        <rFont val="Arial"/>
        <family val="0"/>
        <charset val="1"/>
      </rPr>
      <t xml:space="preserve">Active </t>
    </r>
    <r>
      <rPr>
        <sz val="9.5"/>
        <color rgb="FF595959"/>
        <rFont val="Noto Sans CJK SC"/>
        <family val="2"/>
      </rPr>
      <t xml:space="preserve">且 專案總進度 </t>
    </r>
    <r>
      <rPr>
        <sz val="9.5"/>
        <color rgb="FF595959"/>
        <rFont val="Arial"/>
        <family val="0"/>
        <charset val="1"/>
      </rPr>
      <t xml:space="preserve">&lt; 100%</t>
    </r>
    <r>
      <rPr>
        <sz val="9.5"/>
        <color rgb="FF595959"/>
        <rFont val="Noto Sans CJK SC"/>
        <family val="2"/>
      </rPr>
      <t xml:space="preserve">，本期 </t>
    </r>
    <r>
      <rPr>
        <sz val="9.5"/>
        <color rgb="FF595959"/>
        <rFont val="Arial"/>
        <family val="0"/>
        <charset val="1"/>
      </rPr>
      <t xml:space="preserve">25 </t>
    </r>
    <r>
      <rPr>
        <sz val="9.5"/>
        <color rgb="FF595959"/>
        <rFont val="Noto Sans CJK SC"/>
        <family val="2"/>
      </rPr>
      <t xml:space="preserve">件（在製 </t>
    </r>
    <r>
      <rPr>
        <sz val="9.5"/>
        <color rgb="FF595959"/>
        <rFont val="Arial"/>
        <family val="0"/>
        <charset val="1"/>
      </rPr>
      <t xml:space="preserve">26 </t>
    </r>
    <r>
      <rPr>
        <sz val="9.5"/>
        <color rgb="FF595959"/>
        <rFont val="Noto Sans CJK SC"/>
        <family val="2"/>
      </rPr>
      <t xml:space="preserve">件中扣除 </t>
    </r>
    <r>
      <rPr>
        <sz val="9.5"/>
        <color rgb="FF595959"/>
        <rFont val="Arial"/>
        <family val="0"/>
        <charset val="1"/>
      </rPr>
      <t xml:space="preserve">1 </t>
    </r>
    <r>
      <rPr>
        <sz val="9.5"/>
        <color rgb="FF595959"/>
        <rFont val="Noto Sans CJK SC"/>
        <family val="2"/>
      </rPr>
      <t xml:space="preserve">件進度已達 </t>
    </r>
    <r>
      <rPr>
        <sz val="9.5"/>
        <color rgb="FF595959"/>
        <rFont val="Arial"/>
        <family val="0"/>
        <charset val="1"/>
      </rPr>
      <t xml:space="preserve">100% </t>
    </r>
    <r>
      <rPr>
        <sz val="9.5"/>
        <color rgb="FF595959"/>
        <rFont val="Noto Sans CJK SC"/>
        <family val="2"/>
      </rPr>
      <t xml:space="preserve">者）。已結案／已取消與進度 </t>
    </r>
    <r>
      <rPr>
        <sz val="9.5"/>
        <color rgb="FF595959"/>
        <rFont val="Arial"/>
        <family val="0"/>
        <charset val="1"/>
      </rPr>
      <t xml:space="preserve">100% </t>
    </r>
    <r>
      <rPr>
        <sz val="9.5"/>
        <color rgb="FF595959"/>
        <rFont val="Noto Sans CJK SC"/>
        <family val="2"/>
      </rPr>
      <t xml:space="preserve">者不列入；那類問題屬結案作業與資料品質範疇，改由第三層「資料品質問題」呈現。</t>
    </r>
  </si>
  <si>
    <t xml:space="preserve">優先序</t>
  </si>
  <si>
    <t xml:space="preserve">異常類型</t>
  </si>
  <si>
    <t xml:space="preserve">判定條件</t>
  </si>
  <si>
    <t xml:space="preserve">主類別件數</t>
  </si>
  <si>
    <t xml:space="preserve">命中件數</t>
  </si>
  <si>
    <t xml:space="preserve">1</t>
  </si>
  <si>
    <t xml:space="preserve">結案延宕</t>
  </si>
  <si>
    <r>
      <rPr>
        <sz val="10"/>
        <rFont val="Noto Sans CJK SC"/>
        <family val="2"/>
      </rPr>
      <t xml:space="preserve">狀態</t>
    </r>
    <r>
      <rPr>
        <sz val="10"/>
        <rFont val="Arial"/>
        <family val="0"/>
        <charset val="1"/>
      </rPr>
      <t xml:space="preserve">=Active </t>
    </r>
    <r>
      <rPr>
        <sz val="10"/>
        <rFont val="Noto Sans CJK SC"/>
        <family val="2"/>
      </rPr>
      <t xml:space="preserve">且 進度 ≥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（但 </t>
    </r>
    <r>
      <rPr>
        <sz val="10"/>
        <rFont val="Arial"/>
        <family val="0"/>
        <charset val="1"/>
      </rPr>
      <t xml:space="preserve">&lt;100%</t>
    </r>
    <r>
      <rPr>
        <sz val="10"/>
        <rFont val="Noto Sans CJK SC"/>
        <family val="2"/>
      </rPr>
      <t xml:space="preserve">）且 逾期天數 </t>
    </r>
    <r>
      <rPr>
        <sz val="10"/>
        <rFont val="Arial"/>
        <family val="0"/>
        <charset val="1"/>
      </rPr>
      <t xml:space="preserve">&gt;0</t>
    </r>
  </si>
  <si>
    <t xml:space="preserve">PLM014 G / Q / I</t>
  </si>
  <si>
    <t xml:space="preserve">2</t>
  </si>
  <si>
    <t xml:space="preserve">逾期</t>
  </si>
  <si>
    <r>
      <rPr>
        <sz val="10"/>
        <rFont val="Noto Sans CJK SC"/>
        <family val="2"/>
      </rPr>
      <t xml:space="preserve">狀態</t>
    </r>
    <r>
      <rPr>
        <sz val="10"/>
        <rFont val="Arial"/>
        <family val="0"/>
        <charset val="1"/>
      </rPr>
      <t xml:space="preserve">=Active </t>
    </r>
    <r>
      <rPr>
        <sz val="10"/>
        <rFont val="Noto Sans CJK SC"/>
        <family val="2"/>
      </rPr>
      <t xml:space="preserve">且 進度 </t>
    </r>
    <r>
      <rPr>
        <sz val="10"/>
        <rFont val="Arial"/>
        <family val="0"/>
        <charset val="1"/>
      </rPr>
      <t xml:space="preserve">&lt;99% </t>
    </r>
    <r>
      <rPr>
        <sz val="10"/>
        <rFont val="Noto Sans CJK SC"/>
        <family val="2"/>
      </rPr>
      <t xml:space="preserve">且 逾期天數 </t>
    </r>
    <r>
      <rPr>
        <sz val="10"/>
        <rFont val="Arial"/>
        <family val="0"/>
        <charset val="1"/>
      </rPr>
      <t xml:space="preserve">&gt;0</t>
    </r>
  </si>
  <si>
    <t xml:space="preserve">3</t>
  </si>
  <si>
    <r>
      <rPr>
        <sz val="10"/>
        <rFont val="Noto Sans CJK SC"/>
        <family val="2"/>
      </rPr>
      <t xml:space="preserve">進度表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欄標記「即將異常」，且上兩類皆未命中</t>
    </r>
  </si>
  <si>
    <t xml:space="preserve">4</t>
  </si>
  <si>
    <t xml:space="preserve">進度落後</t>
  </si>
  <si>
    <t xml:space="preserve">SPI &lt; 0.6</t>
  </si>
  <si>
    <t xml:space="preserve">PLM014 Q / J / L</t>
  </si>
  <si>
    <t xml:space="preserve">5</t>
  </si>
  <si>
    <t xml:space="preserve">工時未登錄</t>
  </si>
  <si>
    <r>
      <rPr>
        <sz val="10"/>
        <rFont val="Noto Sans CJK SC"/>
        <family val="2"/>
      </rPr>
      <t xml:space="preserve">預計設計工時 </t>
    </r>
    <r>
      <rPr>
        <sz val="10"/>
        <rFont val="Arial"/>
        <family val="0"/>
        <charset val="1"/>
      </rPr>
      <t xml:space="preserve">&gt;0 </t>
    </r>
    <r>
      <rPr>
        <sz val="10"/>
        <rFont val="Noto Sans CJK SC"/>
        <family val="2"/>
      </rPr>
      <t xml:space="preserve">但實際設計工時 </t>
    </r>
    <r>
      <rPr>
        <sz val="10"/>
        <rFont val="Arial"/>
        <family val="0"/>
        <charset val="1"/>
      </rPr>
      <t xml:space="preserve">=0</t>
    </r>
  </si>
  <si>
    <r>
      <rPr>
        <sz val="9"/>
        <color rgb="FF595959"/>
        <rFont val="Noto Sans CJK SC"/>
        <family val="2"/>
      </rPr>
      <t xml:space="preserve">專案進度表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欄起</t>
    </r>
  </si>
  <si>
    <t xml:space="preserve">預算超支</t>
  </si>
  <si>
    <r>
      <rPr>
        <sz val="10"/>
        <rFont val="Noto Sans CJK SC"/>
        <family val="2"/>
      </rPr>
      <t xml:space="preserve">預算執行率 </t>
    </r>
    <r>
      <rPr>
        <sz val="10"/>
        <rFont val="Arial"/>
        <family val="0"/>
        <charset val="1"/>
      </rPr>
      <t xml:space="preserve">&gt;150%</t>
    </r>
    <r>
      <rPr>
        <sz val="10"/>
        <rFont val="Noto Sans CJK SC"/>
        <family val="2"/>
      </rPr>
      <t xml:space="preserve">（實際累計費用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核定預算）</t>
    </r>
  </si>
  <si>
    <r>
      <rPr>
        <sz val="9"/>
        <color rgb="FF595959"/>
        <rFont val="Noto Sans CJK SC"/>
        <family val="2"/>
      </rPr>
      <t xml:space="preserve">費用檔 </t>
    </r>
    <r>
      <rPr>
        <sz val="9"/>
        <color rgb="FF595959"/>
        <rFont val="Arial"/>
        <family val="0"/>
        <charset val="1"/>
      </rPr>
      <t xml:space="preserve">V ÷ R</t>
    </r>
  </si>
  <si>
    <t xml:space="preserve">兩個件數欄的差別</t>
  </si>
  <si>
    <r>
      <rPr>
        <sz val="10"/>
        <color rgb="FF333333"/>
        <rFont val="Noto Sans CJK SC"/>
        <family val="2"/>
      </rPr>
      <t xml:space="preserve">命中件數：各規則實際觸發的案數。一案可同時命中多類，故合計（</t>
    </r>
    <r>
      <rPr>
        <sz val="10"/>
        <color rgb="FF333333"/>
        <rFont val="Arial"/>
        <family val="0"/>
        <charset val="1"/>
      </rPr>
      <t xml:space="preserve">49</t>
    </r>
    <r>
      <rPr>
        <sz val="10"/>
        <color rgb="FF333333"/>
        <rFont val="Noto Sans CJK SC"/>
        <family val="2"/>
      </rPr>
      <t xml:space="preserve">）大於異常案數（</t>
    </r>
    <r>
      <rPr>
        <sz val="10"/>
        <color rgb="FF333333"/>
        <rFont val="Arial"/>
        <family val="0"/>
        <charset val="1"/>
      </rPr>
      <t xml:space="preserve">23</t>
    </r>
    <r>
      <rPr>
        <sz val="10"/>
        <color rgb="FF333333"/>
        <rFont val="Noto Sans CJK SC"/>
        <family val="2"/>
      </rPr>
      <t xml:space="preserve">）。</t>
    </r>
  </si>
  <si>
    <r>
      <rPr>
        <sz val="10"/>
        <color rgb="FF333333"/>
        <rFont val="Noto Sans CJK SC"/>
        <family val="2"/>
      </rPr>
      <t xml:space="preserve">主類別件數：依上表優先序，每案只取最前面命中的那一類，用來決定卡片主色與籌碼分類，合計等於 </t>
    </r>
    <r>
      <rPr>
        <sz val="10"/>
        <color rgb="FF333333"/>
        <rFont val="Arial"/>
        <family val="0"/>
        <charset val="1"/>
      </rPr>
      <t xml:space="preserve">23</t>
    </r>
    <r>
      <rPr>
        <sz val="10"/>
        <color rgb="FF333333"/>
        <rFont val="Noto Sans CJK SC"/>
        <family val="2"/>
      </rPr>
      <t xml:space="preserve">。</t>
    </r>
  </si>
  <si>
    <r>
      <rPr>
        <sz val="10"/>
        <color rgb="FF333333"/>
        <rFont val="Noto Sans CJK SC"/>
        <family val="2"/>
      </rPr>
      <t xml:space="preserve">例：</t>
    </r>
    <r>
      <rPr>
        <sz val="10"/>
        <color rgb="FF333333"/>
        <rFont val="Arial"/>
        <family val="0"/>
        <charset val="1"/>
      </rPr>
      <t xml:space="preserve">M251001R1 </t>
    </r>
    <r>
      <rPr>
        <sz val="10"/>
        <color rgb="FF333333"/>
        <rFont val="Noto Sans CJK SC"/>
        <family val="2"/>
      </rPr>
      <t xml:space="preserve">同時命中「逾期」「進度落後」「預算超支」三類，主類別歸為優先序較前的「逾期」。</t>
    </r>
  </si>
  <si>
    <t xml:space="preserve">為什麼不直接用進度表的「異常」欄</t>
  </si>
  <si>
    <r>
      <rPr>
        <sz val="10"/>
        <color rgb="FF333333"/>
        <rFont val="Noto Sans CJK SC"/>
        <family val="2"/>
      </rPr>
      <t xml:space="preserve">該欄有漏標：</t>
    </r>
    <r>
      <rPr>
        <sz val="10"/>
        <color rgb="FF333333"/>
        <rFont val="Arial"/>
        <family val="0"/>
        <charset val="1"/>
      </rPr>
      <t xml:space="preserve">K240801R2 </t>
    </r>
    <r>
      <rPr>
        <sz val="10"/>
        <color rgb="FF333333"/>
        <rFont val="Noto Sans CJK SC"/>
        <family val="2"/>
      </rPr>
      <t xml:space="preserve">進度 </t>
    </r>
    <r>
      <rPr>
        <sz val="10"/>
        <color rgb="FF333333"/>
        <rFont val="Arial"/>
        <family val="0"/>
        <charset val="1"/>
      </rPr>
      <t xml:space="preserve">100%</t>
    </r>
    <r>
      <rPr>
        <sz val="10"/>
        <color rgb="FF333333"/>
        <rFont val="Noto Sans CJK SC"/>
        <family val="2"/>
      </rPr>
      <t xml:space="preserve">、已逾預計完成日 </t>
    </r>
    <r>
      <rPr>
        <sz val="10"/>
        <color rgb="FF333333"/>
        <rFont val="Arial"/>
        <family val="0"/>
        <charset val="1"/>
      </rPr>
      <t xml:space="preserve">441 </t>
    </r>
    <r>
      <rPr>
        <sz val="10"/>
        <color rgb="FF333333"/>
        <rFont val="Noto Sans CJK SC"/>
        <family val="2"/>
      </rPr>
      <t xml:space="preserve">天，但「專案是否異常」欄為空白。</t>
    </r>
  </si>
  <si>
    <r>
      <rPr>
        <sz val="10"/>
        <color rgb="FF333333"/>
        <rFont val="Noto Sans CJK SC"/>
        <family val="2"/>
      </rPr>
      <t xml:space="preserve">因此改由 </t>
    </r>
    <r>
      <rPr>
        <sz val="10"/>
        <color rgb="FF333333"/>
        <rFont val="Arial"/>
        <family val="0"/>
        <charset val="1"/>
      </rPr>
      <t xml:space="preserve">PLM014 </t>
    </r>
    <r>
      <rPr>
        <sz val="10"/>
        <color rgb="FF333333"/>
        <rFont val="Noto Sans CJK SC"/>
        <family val="2"/>
      </rPr>
      <t xml:space="preserve">的狀態、進度、日期自動推導，人工標記只作為「即將異常」這一條的補充輸入。</t>
    </r>
  </si>
  <si>
    <r>
      <rPr>
        <sz val="10"/>
        <color rgb="FF333333"/>
        <rFont val="Noto Sans CJK SC"/>
        <family val="2"/>
      </rPr>
      <t xml:space="preserve">本期範圍外 </t>
    </r>
    <r>
      <rPr>
        <sz val="10"/>
        <color rgb="FF333333"/>
        <rFont val="Arial"/>
        <family val="0"/>
        <charset val="1"/>
      </rPr>
      <t xml:space="preserve">19 </t>
    </r>
    <r>
      <rPr>
        <sz val="10"/>
        <color rgb="FF333333"/>
        <rFont val="Noto Sans CJK SC"/>
        <family val="2"/>
      </rPr>
      <t xml:space="preserve">件（已結案 </t>
    </r>
    <r>
      <rPr>
        <sz val="10"/>
        <color rgb="FF333333"/>
        <rFont val="Arial"/>
        <family val="0"/>
        <charset val="1"/>
      </rPr>
      <t xml:space="preserve">16</t>
    </r>
    <r>
      <rPr>
        <sz val="10"/>
        <color rgb="FF333333"/>
        <rFont val="Noto Sans CJK SC"/>
        <family val="2"/>
      </rPr>
      <t xml:space="preserve">、已取消 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、在製但進度 </t>
    </r>
    <r>
      <rPr>
        <sz val="10"/>
        <color rgb="FF333333"/>
        <rFont val="Arial"/>
        <family val="0"/>
        <charset val="1"/>
      </rPr>
      <t xml:space="preserve">100% </t>
    </r>
    <r>
      <rPr>
        <sz val="10"/>
        <color rgb="FF333333"/>
        <rFont val="Noto Sans CJK SC"/>
        <family val="2"/>
      </rPr>
      <t xml:space="preserve">者 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）中，仍有 </t>
    </r>
    <r>
      <rPr>
        <sz val="10"/>
        <color rgb="FF333333"/>
        <rFont val="Arial"/>
        <family val="0"/>
        <charset val="1"/>
      </rPr>
      <t xml:space="preserve">5 </t>
    </r>
    <r>
      <rPr>
        <sz val="10"/>
        <color rgb="FF333333"/>
        <rFont val="Noto Sans CJK SC"/>
        <family val="2"/>
      </rPr>
      <t xml:space="preserve">件結案日早於任務完成日、</t>
    </r>
    <r>
      <rPr>
        <sz val="10"/>
        <color rgb="FF333333"/>
        <rFont val="Arial"/>
        <family val="0"/>
        <charset val="1"/>
      </rPr>
      <t xml:space="preserve">1 </t>
    </r>
    <r>
      <rPr>
        <sz val="10"/>
        <color rgb="FF333333"/>
        <rFont val="Noto Sans CJK SC"/>
        <family val="2"/>
      </rPr>
      <t xml:space="preserve">件進度 </t>
    </r>
    <r>
      <rPr>
        <sz val="10"/>
        <color rgb="FF333333"/>
        <rFont val="Arial"/>
        <family val="0"/>
        <charset val="1"/>
      </rPr>
      <t xml:space="preserve">100% </t>
    </r>
    <r>
      <rPr>
        <sz val="10"/>
        <color rgb="FF333333"/>
        <rFont val="Noto Sans CJK SC"/>
        <family val="2"/>
      </rPr>
      <t xml:space="preserve">未結案 —— 這些列在第三層資料品質，不在⑤。</t>
    </r>
  </si>
  <si>
    <r>
      <rPr>
        <b val="true"/>
        <sz val="15"/>
        <color rgb="FF1F3864"/>
        <rFont val="Noto Sans CJK SC"/>
        <family val="2"/>
      </rPr>
      <t xml:space="preserve">⑤ 異常專案　逐案判定（全 </t>
    </r>
    <r>
      <rPr>
        <b val="true"/>
        <sz val="15"/>
        <color rgb="FF1F3864"/>
        <rFont val="Arial"/>
        <family val="0"/>
        <charset val="1"/>
      </rPr>
      <t xml:space="preserve">44 </t>
    </r>
    <r>
      <rPr>
        <b val="true"/>
        <sz val="15"/>
        <color rgb="FF1F3864"/>
        <rFont val="Noto Sans CJK SC"/>
        <family val="2"/>
      </rPr>
      <t xml:space="preserve">件）</t>
    </r>
  </si>
  <si>
    <r>
      <rPr>
        <sz val="9.5"/>
        <color rgb="FF595959"/>
        <rFont val="Noto Sans CJK SC"/>
        <family val="2"/>
      </rPr>
      <t xml:space="preserve">淺黃欄＝原始輸入；</t>
    </r>
    <r>
      <rPr>
        <sz val="9.5"/>
        <color rgb="FF595959"/>
        <rFont val="Arial"/>
        <family val="0"/>
        <charset val="1"/>
      </rPr>
      <t xml:space="preserve">K </t>
    </r>
    <r>
      <rPr>
        <sz val="9.5"/>
        <color rgb="FF595959"/>
        <rFont val="Noto Sans CJK SC"/>
        <family val="2"/>
      </rPr>
      <t xml:space="preserve">欄起為公式。列出全部 </t>
    </r>
    <r>
      <rPr>
        <sz val="9.5"/>
        <color rgb="FF595959"/>
        <rFont val="Arial"/>
        <family val="0"/>
        <charset val="1"/>
      </rPr>
      <t xml:space="preserve">44 </t>
    </r>
    <r>
      <rPr>
        <sz val="9.5"/>
        <color rgb="FF595959"/>
        <rFont val="Noto Sans CJK SC"/>
        <family val="2"/>
      </rPr>
      <t xml:space="preserve">件並以 </t>
    </r>
    <r>
      <rPr>
        <sz val="9.5"/>
        <color rgb="FF595959"/>
        <rFont val="Arial"/>
        <family val="0"/>
        <charset val="1"/>
      </rPr>
      <t xml:space="preserve">K </t>
    </r>
    <r>
      <rPr>
        <sz val="9.5"/>
        <color rgb="FF595959"/>
        <rFont val="Noto Sans CJK SC"/>
        <family val="2"/>
      </rPr>
      <t xml:space="preserve">欄標示是否納入範圍，方便核對「為什麼某案沒出現在⑤」。</t>
    </r>
  </si>
  <si>
    <t xml:space="preserve">名稱</t>
  </si>
  <si>
    <t xml:space="preserve">負責人</t>
  </si>
  <si>
    <r>
      <rPr>
        <b val="true"/>
        <sz val="10"/>
        <color rgb="FF000000"/>
        <rFont val="Noto Sans CJK SC"/>
        <family val="2"/>
      </rPr>
      <t xml:space="preserve">進度</t>
    </r>
    <r>
      <rPr>
        <b val="true"/>
        <sz val="10"/>
        <color rgb="FF000000"/>
        <rFont val="Arial"/>
        <family val="0"/>
        <charset val="1"/>
      </rPr>
      <t xml:space="preserve">%</t>
    </r>
  </si>
  <si>
    <t xml:space="preserve">預計工時</t>
  </si>
  <si>
    <t xml:space="preserve">實際工時</t>
  </si>
  <si>
    <r>
      <rPr>
        <b val="true"/>
        <sz val="10"/>
        <color rgb="FF000000"/>
        <rFont val="Noto Sans CJK SC"/>
        <family val="2"/>
      </rPr>
      <t xml:space="preserve">預算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元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</si>
  <si>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實際費用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元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</si>
  <si>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納入範圍</t>
  </si>
  <si>
    <t xml:space="preserve">命中數</t>
  </si>
  <si>
    <t xml:space="preserve">主類別</t>
  </si>
  <si>
    <t xml:space="preserve">Active</t>
  </si>
  <si>
    <t xml:space="preserve">汪佳凯</t>
  </si>
  <si>
    <r>
      <rPr>
        <sz val="9"/>
        <color rgb="FF000000"/>
        <rFont val="Arial"/>
        <family val="0"/>
        <charset val="1"/>
      </rPr>
      <t xml:space="preserve">(K201002R2)SP</t>
    </r>
    <r>
      <rPr>
        <sz val="9"/>
        <color rgb="FF000000"/>
        <rFont val="Noto Sans CJK SC"/>
        <family val="2"/>
      </rPr>
      <t xml:space="preserve">數位熱質式開關</t>
    </r>
    <r>
      <rPr>
        <sz val="9"/>
        <color rgb="FF000000"/>
        <rFont val="Arial"/>
        <family val="0"/>
        <charset val="1"/>
      </rPr>
      <t xml:space="preserve">-DC</t>
    </r>
    <r>
      <rPr>
        <sz val="9"/>
        <color rgb="FF000000"/>
        <rFont val="Noto Sans CJK SC"/>
        <family val="2"/>
      </rPr>
      <t xml:space="preserve">一</t>
    </r>
  </si>
  <si>
    <r>
      <rPr>
        <sz val="9"/>
        <color rgb="FF000000"/>
        <rFont val="Arial"/>
        <family val="0"/>
        <charset val="1"/>
      </rPr>
      <t xml:space="preserve">EPH</t>
    </r>
    <r>
      <rPr>
        <sz val="9"/>
        <color rgb="FF000000"/>
        <rFont val="Noto Sans CJK SC"/>
        <family val="2"/>
      </rPr>
      <t xml:space="preserve">水量計型式認證技術規範</t>
    </r>
    <r>
      <rPr>
        <sz val="9"/>
        <color rgb="FF000000"/>
        <rFont val="Arial"/>
        <family val="0"/>
        <charset val="1"/>
      </rPr>
      <t xml:space="preserve">CNPA49</t>
    </r>
    <r>
      <rPr>
        <sz val="9"/>
        <color rgb="FF000000"/>
        <rFont val="Noto Sans CJK SC"/>
        <family val="2"/>
      </rPr>
      <t xml:space="preserve">第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版結</t>
    </r>
  </si>
  <si>
    <t xml:space="preserve">D240902R1</t>
  </si>
  <si>
    <r>
      <rPr>
        <sz val="9"/>
        <color rgb="FF000000"/>
        <rFont val="Arial"/>
        <family val="0"/>
        <charset val="1"/>
      </rPr>
      <t xml:space="preserve">EPH</t>
    </r>
    <r>
      <rPr>
        <sz val="9"/>
        <color rgb="FF000000"/>
        <rFont val="Noto Sans CJK SC"/>
        <family val="2"/>
      </rPr>
      <t xml:space="preserve">結構改善與提升生產良率</t>
    </r>
  </si>
  <si>
    <t xml:space="preserve">Closed</t>
  </si>
  <si>
    <t xml:space="preserve">M240804R1</t>
  </si>
  <si>
    <r>
      <rPr>
        <sz val="9"/>
        <color rgb="FF000000"/>
        <rFont val="Arial"/>
        <family val="0"/>
        <charset val="1"/>
      </rPr>
      <t xml:space="preserve">PVD</t>
    </r>
    <r>
      <rPr>
        <sz val="9"/>
        <color rgb="FF000000"/>
        <rFont val="Noto Sans CJK SC"/>
        <family val="2"/>
      </rPr>
      <t xml:space="preserve">二口二位閥展型</t>
    </r>
    <r>
      <rPr>
        <sz val="9"/>
        <color rgb="FF000000"/>
        <rFont val="Arial"/>
        <family val="0"/>
        <charset val="1"/>
      </rPr>
      <t xml:space="preserve">(DN15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Arial"/>
        <family val="0"/>
        <charset val="1"/>
      </rPr>
      <t xml:space="preserve">DN20)</t>
    </r>
  </si>
  <si>
    <t xml:space="preserve">Cancelled</t>
  </si>
  <si>
    <t xml:space="preserve">M240704R1</t>
  </si>
  <si>
    <r>
      <rPr>
        <sz val="9"/>
        <color rgb="FF000000"/>
        <rFont val="Noto Sans CJK SC"/>
        <family val="2"/>
      </rPr>
      <t xml:space="preserve">一體式夾管超音波流量計</t>
    </r>
    <r>
      <rPr>
        <sz val="9"/>
        <color rgb="FF000000"/>
        <rFont val="Arial"/>
        <family val="0"/>
        <charset val="1"/>
      </rPr>
      <t xml:space="preserve">(DN25)[RD4]</t>
    </r>
  </si>
  <si>
    <t xml:space="preserve">陳俊儒</t>
  </si>
  <si>
    <t xml:space="preserve">M250301R1</t>
  </si>
  <si>
    <t xml:space="preserve">軌道型顯示器夾管式超音波流量計</t>
  </si>
  <si>
    <t xml:space="preserve">K250501R1</t>
  </si>
  <si>
    <r>
      <rPr>
        <sz val="9"/>
        <color rgb="FF000000"/>
        <rFont val="Arial"/>
        <family val="0"/>
        <charset val="1"/>
      </rPr>
      <t xml:space="preserve">C</t>
    </r>
    <r>
      <rPr>
        <sz val="9"/>
        <color rgb="FF000000"/>
        <rFont val="Noto Sans CJK SC"/>
        <family val="2"/>
      </rPr>
      <t xml:space="preserve">級奧多曼電子水表先期研究</t>
    </r>
  </si>
  <si>
    <t xml:space="preserve">D250801R1</t>
  </si>
  <si>
    <r>
      <rPr>
        <sz val="9"/>
        <color rgb="FF000000"/>
        <rFont val="Arial"/>
        <family val="0"/>
        <charset val="1"/>
      </rPr>
      <t xml:space="preserve">SCX6</t>
    </r>
    <r>
      <rPr>
        <sz val="9"/>
        <color rgb="FF000000"/>
        <rFont val="Noto Sans CJK SC"/>
        <family val="2"/>
      </rPr>
      <t xml:space="preserve">标准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加长型技转</t>
    </r>
  </si>
  <si>
    <t xml:space="preserve">郑仁春</t>
  </si>
  <si>
    <t xml:space="preserve">M240803P1</t>
  </si>
  <si>
    <r>
      <rPr>
        <sz val="9"/>
        <color rgb="FF000000"/>
        <rFont val="Arial"/>
        <family val="0"/>
        <charset val="1"/>
      </rPr>
      <t xml:space="preserve">EGX5</t>
    </r>
    <r>
      <rPr>
        <sz val="9"/>
        <color rgb="FF000000"/>
        <rFont val="Noto Sans CJK SC"/>
        <family val="2"/>
      </rPr>
      <t xml:space="preserve">防腐型技转</t>
    </r>
  </si>
  <si>
    <t xml:space="preserve">E250101I1</t>
  </si>
  <si>
    <r>
      <rPr>
        <sz val="9"/>
        <color rgb="FF000000"/>
        <rFont val="Arial"/>
        <family val="0"/>
        <charset val="1"/>
      </rPr>
      <t xml:space="preserve">SQ</t>
    </r>
    <r>
      <rPr>
        <sz val="9"/>
        <color rgb="FF000000"/>
        <rFont val="Noto Sans CJK SC"/>
        <family val="2"/>
      </rPr>
      <t xml:space="preserve">壓力開關調校設備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單顆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步進馬達</t>
    </r>
    <r>
      <rPr>
        <sz val="9"/>
        <color rgb="FF000000"/>
        <rFont val="Arial"/>
        <family val="0"/>
        <charset val="1"/>
      </rPr>
      <t xml:space="preserve">)</t>
    </r>
  </si>
  <si>
    <t xml:space="preserve">D250702R1</t>
  </si>
  <si>
    <r>
      <rPr>
        <sz val="9"/>
        <color rgb="FF000000"/>
        <rFont val="Arial"/>
        <family val="0"/>
        <charset val="1"/>
      </rPr>
      <t xml:space="preserve">2025</t>
    </r>
    <r>
      <rPr>
        <sz val="9"/>
        <color rgb="FF000000"/>
        <rFont val="Noto Sans CJK SC"/>
        <family val="2"/>
      </rPr>
      <t xml:space="preserve">年度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硬體模組化專案</t>
    </r>
  </si>
  <si>
    <t xml:space="preserve">E251001I1</t>
  </si>
  <si>
    <r>
      <rPr>
        <sz val="9"/>
        <color rgb="FF000000"/>
        <rFont val="Arial"/>
        <family val="0"/>
        <charset val="1"/>
      </rPr>
      <t xml:space="preserve">GPX8</t>
    </r>
    <r>
      <rPr>
        <sz val="9"/>
        <color rgb="FF000000"/>
        <rFont val="Noto Sans CJK SC"/>
        <family val="2"/>
      </rPr>
      <t xml:space="preserve">溫度校正設備</t>
    </r>
  </si>
  <si>
    <t xml:space="preserve">D250803R1</t>
  </si>
  <si>
    <t xml:space="preserve">台大超音波探頭貼合技術技轉案</t>
  </si>
  <si>
    <t xml:space="preserve">E251003I1</t>
  </si>
  <si>
    <r>
      <rPr>
        <sz val="9"/>
        <color rgb="FF000000"/>
        <rFont val="Noto Sans CJK SC"/>
        <family val="2"/>
      </rPr>
      <t xml:space="preserve">小口徑</t>
    </r>
    <r>
      <rPr>
        <sz val="9"/>
        <color rgb="FF000000"/>
        <rFont val="Arial"/>
        <family val="0"/>
        <charset val="1"/>
      </rPr>
      <t xml:space="preserve">EPH</t>
    </r>
    <r>
      <rPr>
        <sz val="9"/>
        <color rgb="FF000000"/>
        <rFont val="Noto Sans CJK SC"/>
        <family val="2"/>
      </rPr>
      <t xml:space="preserve">測試台</t>
    </r>
  </si>
  <si>
    <t xml:space="preserve">D260102R1</t>
  </si>
  <si>
    <r>
      <rPr>
        <sz val="9"/>
        <color rgb="FF000000"/>
        <rFont val="Arial"/>
        <family val="0"/>
        <charset val="1"/>
      </rPr>
      <t xml:space="preserve">2026</t>
    </r>
    <r>
      <rPr>
        <sz val="9"/>
        <color rgb="FF000000"/>
        <rFont val="Noto Sans CJK SC"/>
        <family val="2"/>
      </rPr>
      <t xml:space="preserve">年程式碼審查</t>
    </r>
    <r>
      <rPr>
        <sz val="9"/>
        <color rgb="FF000000"/>
        <rFont val="Arial"/>
        <family val="0"/>
        <charset val="1"/>
      </rPr>
      <t xml:space="preserve">1st</t>
    </r>
  </si>
  <si>
    <t xml:space="preserve">M260401C1</t>
  </si>
  <si>
    <r>
      <rPr>
        <sz val="9"/>
        <color rgb="FF000000"/>
        <rFont val="Arial"/>
        <family val="0"/>
        <charset val="1"/>
      </rPr>
      <t xml:space="preserve">EPD </t>
    </r>
    <r>
      <rPr>
        <sz val="9"/>
        <color rgb="FF000000"/>
        <rFont val="Noto Sans CJK SC"/>
        <family val="2"/>
      </rPr>
      <t xml:space="preserve">衛生型防爆認證更新化計畫</t>
    </r>
  </si>
  <si>
    <t xml:space="preserve">D250802R1</t>
  </si>
  <si>
    <t xml:space="preserve">申請量桶量槽製作資格</t>
  </si>
  <si>
    <t xml:space="preserve">M251201C1</t>
  </si>
  <si>
    <r>
      <rPr>
        <sz val="9"/>
        <color rgb="FF000000"/>
        <rFont val="Arial"/>
        <family val="0"/>
        <charset val="1"/>
      </rPr>
      <t xml:space="preserve">GPX </t>
    </r>
    <r>
      <rPr>
        <sz val="9"/>
        <color rgb="FF000000"/>
        <rFont val="Noto Sans CJK SC"/>
        <family val="2"/>
      </rPr>
      <t xml:space="preserve">申請</t>
    </r>
    <r>
      <rPr>
        <sz val="9"/>
        <color rgb="FF000000"/>
        <rFont val="Arial"/>
        <family val="0"/>
        <charset val="1"/>
      </rPr>
      <t xml:space="preserve">UL-61010</t>
    </r>
    <r>
      <rPr>
        <sz val="9"/>
        <color rgb="FF000000"/>
        <rFont val="Noto Sans CJK SC"/>
        <family val="2"/>
      </rPr>
      <t xml:space="preserve">認證</t>
    </r>
  </si>
  <si>
    <t xml:space="preserve">D250703R1</t>
  </si>
  <si>
    <r>
      <rPr>
        <sz val="9"/>
        <color rgb="FF000000"/>
        <rFont val="Arial"/>
        <family val="0"/>
        <charset val="1"/>
      </rPr>
      <t xml:space="preserve">EPH</t>
    </r>
    <r>
      <rPr>
        <sz val="9"/>
        <color rgb="FF000000"/>
        <rFont val="Noto Sans CJK SC"/>
        <family val="2"/>
      </rPr>
      <t xml:space="preserve">連板電測治具</t>
    </r>
  </si>
  <si>
    <t xml:space="preserve">G260401I1</t>
  </si>
  <si>
    <r>
      <rPr>
        <sz val="9"/>
        <color rgb="FF000000"/>
        <rFont val="Arial"/>
        <family val="0"/>
        <charset val="1"/>
      </rPr>
      <t xml:space="preserve">SE</t>
    </r>
    <r>
      <rPr>
        <sz val="9"/>
        <color rgb="FF000000"/>
        <rFont val="Noto Sans CJK SC"/>
        <family val="2"/>
      </rPr>
      <t xml:space="preserve">電源座保護殼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電源板壓合治具</t>
    </r>
  </si>
  <si>
    <t xml:space="preserve">專案總數</t>
  </si>
  <si>
    <r>
      <rPr>
        <sz val="10"/>
        <rFont val="Noto Sans CJK SC"/>
        <family val="2"/>
      </rPr>
      <t xml:space="preserve">納入範圍（</t>
    </r>
    <r>
      <rPr>
        <sz val="10"/>
        <rFont val="Arial"/>
        <family val="0"/>
        <charset val="1"/>
      </rPr>
      <t xml:space="preserve">Active </t>
    </r>
    <r>
      <rPr>
        <sz val="10"/>
        <rFont val="Noto Sans CJK SC"/>
        <family val="2"/>
      </rPr>
      <t xml:space="preserve">且進度 </t>
    </r>
    <r>
      <rPr>
        <sz val="10"/>
        <rFont val="Arial"/>
        <family val="0"/>
        <charset val="1"/>
      </rPr>
      <t xml:space="preserve">&lt;100%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</si>
  <si>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範圍外（已結案／已取消／進度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</si>
  <si>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異常件數（主類別 ≠ —）</t>
  </si>
  <si>
    <t xml:space="preserve">主類別：逾期</t>
  </si>
  <si>
    <t xml:space="preserve">主類別：即將異常</t>
  </si>
  <si>
    <t xml:space="preserve">主類別：進度落後</t>
  </si>
  <si>
    <t xml:space="preserve">命中總次數（一案可多類）</t>
  </si>
  <si>
    <r>
      <rPr>
        <b val="true"/>
        <sz val="15"/>
        <color rgb="FF1F3864"/>
        <rFont val="Noto Sans CJK SC"/>
        <family val="2"/>
      </rPr>
      <t xml:space="preserve">欄位溯源與 </t>
    </r>
    <r>
      <rPr>
        <b val="true"/>
        <sz val="15"/>
        <color rgb="FF1F3864"/>
        <rFont val="Arial"/>
        <family val="0"/>
        <charset val="1"/>
      </rPr>
      <t xml:space="preserve">FineBI </t>
    </r>
    <r>
      <rPr>
        <b val="true"/>
        <sz val="15"/>
        <color rgb="FF1F3864"/>
        <rFont val="Noto Sans CJK SC"/>
        <family val="2"/>
      </rPr>
      <t xml:space="preserve">建置對應</t>
    </r>
  </si>
  <si>
    <r>
      <rPr>
        <sz val="9.5"/>
        <color rgb="FF595959"/>
        <rFont val="Noto Sans CJK SC"/>
        <family val="2"/>
      </rPr>
      <t xml:space="preserve">兩張圖用到的每一個輸入欄位，以及在 </t>
    </r>
    <r>
      <rPr>
        <sz val="9.5"/>
        <color rgb="FF595959"/>
        <rFont val="Arial"/>
        <family val="0"/>
        <charset val="1"/>
      </rPr>
      <t xml:space="preserve">FineBI </t>
    </r>
    <r>
      <rPr>
        <sz val="9.5"/>
        <color rgb="FF595959"/>
        <rFont val="Noto Sans CJK SC"/>
        <family val="2"/>
      </rPr>
      <t xml:space="preserve">的建置方式。</t>
    </r>
  </si>
  <si>
    <t xml:space="preserve">圖表</t>
  </si>
  <si>
    <r>
      <rPr>
        <b val="true"/>
        <sz val="10"/>
        <color rgb="FF000000"/>
        <rFont val="Noto Sans CJK SC"/>
        <family val="2"/>
      </rPr>
      <t xml:space="preserve">欄位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指標</t>
    </r>
  </si>
  <si>
    <r>
      <rPr>
        <b val="true"/>
        <sz val="10"/>
        <color rgb="FF000000"/>
        <rFont val="Noto Sans CJK SC"/>
        <family val="2"/>
      </rPr>
      <t xml:space="preserve">工作表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欄</t>
    </r>
  </si>
  <si>
    <t xml:space="preserve">清洗或計算</t>
  </si>
  <si>
    <r>
      <rPr>
        <b val="true"/>
        <sz val="10"/>
        <color rgb="FF000000"/>
        <rFont val="Arial"/>
        <family val="0"/>
        <charset val="1"/>
      </rPr>
      <t xml:space="preserve">FineBI </t>
    </r>
    <r>
      <rPr>
        <b val="true"/>
        <sz val="10"/>
        <color rgb="FF000000"/>
        <rFont val="Noto Sans CJK SC"/>
        <family val="2"/>
      </rPr>
      <t xml:space="preserve">建置</t>
    </r>
  </si>
  <si>
    <t xml:space="preserve">④ 風險矩陣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</si>
  <si>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B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</si>
  <si>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Arial"/>
        <family val="0"/>
        <charset val="1"/>
      </rPr>
      <t xml:space="preserve">TRIM</t>
    </r>
    <r>
      <rPr>
        <sz val="9.5"/>
        <color rgb="FF000000"/>
        <rFont val="Noto Sans CJK SC"/>
        <family val="2"/>
      </rPr>
      <t xml:space="preserve">；僅取狀態＝</t>
    </r>
    <r>
      <rPr>
        <sz val="9.5"/>
        <color rgb="FF000000"/>
        <rFont val="Arial"/>
        <family val="0"/>
        <charset val="1"/>
      </rPr>
      <t xml:space="preserve">Active </t>
    </r>
    <r>
      <rPr>
        <sz val="9.5"/>
        <color rgb="FF000000"/>
        <rFont val="Noto Sans CJK SC"/>
        <family val="2"/>
      </rPr>
      <t xml:space="preserve">之 </t>
    </r>
    <r>
      <rPr>
        <sz val="9.5"/>
        <color rgb="FF000000"/>
        <rFont val="Arial"/>
        <family val="0"/>
        <charset val="1"/>
      </rPr>
      <t xml:space="preserve">26 </t>
    </r>
    <r>
      <rPr>
        <sz val="9.5"/>
        <color rgb="FF000000"/>
        <rFont val="Noto Sans CJK SC"/>
        <family val="2"/>
      </rPr>
      <t xml:space="preserve">件</t>
    </r>
  </si>
  <si>
    <r>
      <rPr>
        <sz val="9.5"/>
        <color rgb="FF000000"/>
        <rFont val="Arial"/>
        <family val="0"/>
        <charset val="1"/>
      </rPr>
      <t xml:space="preserve">DWD </t>
    </r>
    <r>
      <rPr>
        <sz val="9.5"/>
        <color rgb="FF000000"/>
        <rFont val="Noto Sans CJK SC"/>
        <family val="2"/>
      </rPr>
      <t xml:space="preserve">專案明細表主鍵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</si>
  <si>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A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</si>
  <si>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取首字元 </t>
    </r>
    <r>
      <rPr>
        <sz val="9.5"/>
        <color rgb="FF000000"/>
        <rFont val="Arial"/>
        <family val="0"/>
        <charset val="1"/>
      </rPr>
      <t xml:space="preserve">K/D/M/E/G</t>
    </r>
  </si>
  <si>
    <t xml:space="preserve">新增公式列：類別分</t>
  </si>
  <si>
    <t xml:space="preserve">專案狀態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</si>
  <si>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G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</si>
  <si>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過濾 </t>
    </r>
    <r>
      <rPr>
        <sz val="9.5"/>
        <color rgb="FF000000"/>
        <rFont val="Arial"/>
        <family val="0"/>
        <charset val="1"/>
      </rPr>
      <t xml:space="preserve">Active</t>
    </r>
  </si>
  <si>
    <t xml:space="preserve">儀表板過濾器或資料集條件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</si>
  <si>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I </t>
    </r>
    <r>
      <rPr>
        <sz val="9.5"/>
        <color rgb="FF000000"/>
        <rFont val="Noto Sans CJK SC"/>
        <family val="2"/>
      </rPr>
      <t xml:space="preserve">預計完成日</t>
    </r>
  </si>
  <si>
    <r>
      <rPr>
        <sz val="9.5"/>
        <color rgb="FF000000"/>
        <rFont val="Noto Sans CJK SC"/>
        <family val="2"/>
      </rPr>
      <t xml:space="preserve">參考日 − </t>
    </r>
    <r>
      <rPr>
        <sz val="9.5"/>
        <color rgb="FF000000"/>
        <rFont val="Arial"/>
        <family val="0"/>
        <charset val="1"/>
      </rPr>
      <t xml:space="preserve">I </t>
    </r>
    <r>
      <rPr>
        <sz val="9.5"/>
        <color rgb="FF000000"/>
        <rFont val="Noto Sans CJK SC"/>
        <family val="2"/>
      </rPr>
      <t xml:space="preserve">欄；下限 </t>
    </r>
    <r>
      <rPr>
        <sz val="9.5"/>
        <color rgb="FF000000"/>
        <rFont val="Arial"/>
        <family val="0"/>
        <charset val="1"/>
      </rPr>
      <t xml:space="preserve">0</t>
    </r>
  </si>
  <si>
    <r>
      <rPr>
        <sz val="9.5"/>
        <color rgb="FF000000"/>
        <rFont val="Arial"/>
        <family val="0"/>
        <charset val="1"/>
      </rPr>
      <t xml:space="preserve">DATEDIF(I, </t>
    </r>
    <r>
      <rPr>
        <sz val="9.5"/>
        <color rgb="FF000000"/>
        <rFont val="Noto Sans CJK SC"/>
        <family val="2"/>
      </rPr>
      <t xml:space="preserve">參考日</t>
    </r>
    <r>
      <rPr>
        <sz val="9.5"/>
        <color rgb="FF000000"/>
        <rFont val="Arial"/>
        <family val="0"/>
        <charset val="1"/>
      </rPr>
      <t xml:space="preserve">,"D")</t>
    </r>
    <r>
      <rPr>
        <sz val="9.5"/>
        <color rgb="FF000000"/>
        <rFont val="Noto Sans CJK SC"/>
        <family val="2"/>
      </rPr>
      <t xml:space="preserve">；參考日設為參數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</si>
  <si>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Q / J / L</t>
    </r>
  </si>
  <si>
    <r>
      <rPr>
        <sz val="9.5"/>
        <color rgb="FF000000"/>
        <rFont val="Arial"/>
        <family val="0"/>
        <charset val="1"/>
      </rPr>
      <t xml:space="preserve">Q ÷ (</t>
    </r>
    <r>
      <rPr>
        <sz val="9.5"/>
        <color rgb="FF000000"/>
        <rFont val="Noto Sans CJK SC"/>
        <family val="2"/>
      </rPr>
      <t xml:space="preserve">已耗工作日 </t>
    </r>
    <r>
      <rPr>
        <sz val="9.5"/>
        <color rgb="FF000000"/>
        <rFont val="Arial"/>
        <family val="0"/>
        <charset val="1"/>
      </rPr>
      <t xml:space="preserve">÷ J)</t>
    </r>
    <r>
      <rPr>
        <sz val="9.5"/>
        <color rgb="FF000000"/>
        <rFont val="Noto Sans CJK SC"/>
        <family val="2"/>
      </rPr>
      <t xml:space="preserve">；已耗工作日由 </t>
    </r>
    <r>
      <rPr>
        <sz val="9.5"/>
        <color rgb="FF000000"/>
        <rFont val="Arial"/>
        <family val="0"/>
        <charset val="1"/>
      </rPr>
      <t xml:space="preserve">L </t>
    </r>
    <r>
      <rPr>
        <sz val="9.5"/>
        <color rgb="FF000000"/>
        <rFont val="Noto Sans CJK SC"/>
        <family val="2"/>
      </rPr>
      <t xml:space="preserve">起算至參考日</t>
    </r>
  </si>
  <si>
    <r>
      <rPr>
        <sz val="9.5"/>
        <color rgb="FF000000"/>
        <rFont val="Noto Sans CJK SC"/>
        <family val="2"/>
      </rPr>
      <t xml:space="preserve">需工作日曆維度表 </t>
    </r>
    <r>
      <rPr>
        <sz val="9.5"/>
        <color rgb="FF000000"/>
        <rFont val="Arial"/>
        <family val="0"/>
        <charset val="1"/>
      </rPr>
      <t xml:space="preserve">join </t>
    </r>
    <r>
      <rPr>
        <sz val="9.5"/>
        <color rgb="FF000000"/>
        <rFont val="Noto Sans CJK SC"/>
        <family val="2"/>
      </rPr>
      <t xml:space="preserve">計數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</si>
  <si>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S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</si>
  <si>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左合併帶入；新增公式列轉 </t>
    </r>
    <r>
      <rPr>
        <sz val="9.5"/>
        <color rgb="FF000000"/>
        <rFont val="Arial"/>
        <family val="0"/>
        <charset val="1"/>
      </rPr>
      <t xml:space="preserve">0/2</t>
    </r>
  </si>
  <si>
    <r>
      <rPr>
        <sz val="9.5"/>
        <color rgb="FF000000"/>
        <rFont val="Noto Sans CJK SC"/>
        <family val="2"/>
      </rPr>
      <t xml:space="preserve">費用統計</t>
    </r>
    <r>
      <rPr>
        <sz val="9.5"/>
        <color rgb="FF000000"/>
        <rFont val="Arial"/>
        <family val="0"/>
        <charset val="1"/>
      </rPr>
      <t xml:space="preserve">.xlsx</t>
    </r>
  </si>
  <si>
    <r>
      <rPr>
        <sz val="9.5"/>
        <color rgb="FF000000"/>
        <rFont val="Arial"/>
        <family val="0"/>
        <charset val="1"/>
      </rPr>
      <t xml:space="preserve">2026</t>
    </r>
    <r>
      <rPr>
        <sz val="9.5"/>
        <color rgb="FF000000"/>
        <rFont val="Noto Sans CJK SC"/>
        <family val="2"/>
      </rPr>
      <t xml:space="preserve">年</t>
    </r>
    <r>
      <rPr>
        <sz val="9.5"/>
        <color rgb="FF000000"/>
        <rFont val="Arial"/>
        <family val="0"/>
        <charset val="1"/>
      </rPr>
      <t xml:space="preserve">-</t>
    </r>
    <r>
      <rPr>
        <sz val="9.5"/>
        <color rgb="FF000000"/>
        <rFont val="Noto Sans CJK SC"/>
        <family val="2"/>
      </rPr>
      <t xml:space="preserve">專案費用統計</t>
    </r>
    <r>
      <rPr>
        <sz val="9.5"/>
        <color rgb="FF000000"/>
        <rFont val="Arial"/>
        <family val="0"/>
        <charset val="1"/>
      </rPr>
      <t xml:space="preserve">(</t>
    </r>
    <r>
      <rPr>
        <sz val="9.5"/>
        <color rgb="FF000000"/>
        <rFont val="Noto Sans CJK SC"/>
        <family val="2"/>
      </rPr>
      <t xml:space="preserve">範圍</t>
    </r>
    <r>
      <rPr>
        <sz val="9.5"/>
        <color rgb="FF000000"/>
        <rFont val="Arial"/>
        <family val="0"/>
        <charset val="1"/>
      </rPr>
      <t xml:space="preserve">)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V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</si>
  <si>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Arial"/>
        <family val="0"/>
        <charset val="1"/>
      </rPr>
      <t xml:space="preserve">A </t>
    </r>
    <r>
      <rPr>
        <sz val="9.5"/>
        <color rgb="FF000000"/>
        <rFont val="Noto Sans CJK SC"/>
        <family val="2"/>
      </rPr>
      <t xml:space="preserve">欄部門為合併儲存格需向下填滿</t>
    </r>
  </si>
  <si>
    <t xml:space="preserve">左合併至專案明細表</t>
  </si>
  <si>
    <r>
      <rPr>
        <sz val="9.5"/>
        <color rgb="FF000000"/>
        <rFont val="Noto Sans CJK SC"/>
        <family val="2"/>
      </rPr>
      <t xml:space="preserve">預計或實際工時 </t>
    </r>
    <r>
      <rPr>
        <sz val="9.5"/>
        <color rgb="FF000000"/>
        <rFont val="Arial"/>
        <family val="0"/>
        <charset val="1"/>
      </rPr>
      <t xml:space="preserve">&gt;0 </t>
    </r>
    <r>
      <rPr>
        <sz val="9.5"/>
        <color rgb="FF000000"/>
        <rFont val="Noto Sans CJK SC"/>
        <family val="2"/>
      </rPr>
      <t xml:space="preserve">之人數；需先由寬轉長</t>
    </r>
  </si>
  <si>
    <r>
      <rPr>
        <sz val="9.5"/>
        <color rgb="FF000000"/>
        <rFont val="Arial"/>
        <family val="0"/>
        <charset val="1"/>
      </rPr>
      <t xml:space="preserve">FineBI</t>
    </r>
    <r>
      <rPr>
        <sz val="9.5"/>
        <color rgb="FF000000"/>
        <rFont val="Noto Sans CJK SC"/>
        <family val="2"/>
      </rPr>
      <t xml:space="preserve">「行列轉換」後 </t>
    </r>
    <r>
      <rPr>
        <sz val="9.5"/>
        <color rgb="FF000000"/>
        <rFont val="Arial"/>
        <family val="0"/>
        <charset val="1"/>
      </rPr>
      <t xml:space="preserve">COUNT_AGG</t>
    </r>
  </si>
  <si>
    <t xml:space="preserve">⑤ 異常專案</t>
  </si>
  <si>
    <r>
      <rPr>
        <sz val="9.5"/>
        <color rgb="FF000000"/>
        <rFont val="Noto Sans CJK SC"/>
        <family val="2"/>
      </rPr>
      <t xml:space="preserve">狀態 </t>
    </r>
    <r>
      <rPr>
        <sz val="9.5"/>
        <color rgb="FF000000"/>
        <rFont val="Arial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進度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</si>
  <si>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G / Q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</si>
  <si>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範圍＝狀態 </t>
    </r>
    <r>
      <rPr>
        <sz val="9.5"/>
        <color rgb="FF000000"/>
        <rFont val="Arial"/>
        <family val="0"/>
        <charset val="1"/>
      </rPr>
      <t xml:space="preserve">Active </t>
    </r>
    <r>
      <rPr>
        <sz val="9.5"/>
        <color rgb="FF000000"/>
        <rFont val="Noto Sans CJK SC"/>
        <family val="2"/>
      </rPr>
      <t xml:space="preserve">且 進度 </t>
    </r>
    <r>
      <rPr>
        <sz val="9.5"/>
        <color rgb="FF000000"/>
        <rFont val="Arial"/>
        <family val="0"/>
        <charset val="1"/>
      </rPr>
      <t xml:space="preserve">&lt;100%</t>
    </r>
    <r>
      <rPr>
        <sz val="9.5"/>
        <color rgb="FF000000"/>
        <rFont val="Noto Sans CJK SC"/>
        <family val="2"/>
      </rPr>
      <t xml:space="preserve">；其餘不判定</t>
    </r>
  </si>
  <si>
    <r>
      <rPr>
        <sz val="9.5"/>
        <color rgb="FF000000"/>
        <rFont val="Arial"/>
        <family val="0"/>
        <charset val="1"/>
      </rPr>
      <t xml:space="preserve">DWM </t>
    </r>
    <r>
      <rPr>
        <sz val="9.5"/>
        <color rgb="FF000000"/>
        <rFont val="Noto Sans CJK SC"/>
        <family val="2"/>
      </rPr>
      <t xml:space="preserve">專案寬表新增公式列「納入範圍」</t>
    </r>
  </si>
  <si>
    <t xml:space="preserve">六條判定</t>
  </si>
  <si>
    <r>
      <rPr>
        <sz val="9.5"/>
        <color rgb="FF000000"/>
        <rFont val="Arial"/>
        <family val="0"/>
        <charset val="1"/>
      </rPr>
      <t xml:space="preserve">PLM014 / </t>
    </r>
    <r>
      <rPr>
        <sz val="9.5"/>
        <color rgb="FF000000"/>
        <rFont val="Noto Sans CJK SC"/>
        <family val="2"/>
      </rPr>
      <t xml:space="preserve">專案進度表 </t>
    </r>
    <r>
      <rPr>
        <sz val="9.5"/>
        <color rgb="FF000000"/>
        <rFont val="Arial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費用檔</t>
    </r>
  </si>
  <si>
    <r>
      <rPr>
        <sz val="9.5"/>
        <color rgb="FF000000"/>
        <rFont val="Noto Sans CJK SC"/>
        <family val="2"/>
      </rPr>
      <t xml:space="preserve">見 </t>
    </r>
    <r>
      <rPr>
        <sz val="9.5"/>
        <color rgb="FF000000"/>
        <rFont val="Arial"/>
        <family val="0"/>
        <charset val="1"/>
      </rPr>
      <t xml:space="preserve">30</t>
    </r>
    <r>
      <rPr>
        <sz val="9.5"/>
        <color rgb="FF000000"/>
        <rFont val="Noto Sans CJK SC"/>
        <family val="2"/>
      </rPr>
      <t xml:space="preserve">、</t>
    </r>
    <r>
      <rPr>
        <sz val="9.5"/>
        <color rgb="FF000000"/>
        <rFont val="Arial"/>
        <family val="0"/>
        <charset val="1"/>
      </rPr>
      <t xml:space="preserve">31 </t>
    </r>
    <r>
      <rPr>
        <sz val="9.5"/>
        <color rgb="FF000000"/>
        <rFont val="Noto Sans CJK SC"/>
        <family val="2"/>
      </rPr>
      <t xml:space="preserve">表</t>
    </r>
  </si>
  <si>
    <r>
      <rPr>
        <sz val="9.5"/>
        <color rgb="FF000000"/>
        <rFont val="Noto Sans CJK SC"/>
        <family val="2"/>
      </rPr>
      <t xml:space="preserve">每條各建一個 </t>
    </r>
    <r>
      <rPr>
        <sz val="9.5"/>
        <color rgb="FF000000"/>
        <rFont val="Arial"/>
        <family val="0"/>
        <charset val="1"/>
      </rPr>
      <t xml:space="preserve">0/1 </t>
    </r>
    <r>
      <rPr>
        <sz val="9.5"/>
        <color rgb="FF000000"/>
        <rFont val="Noto Sans CJK SC"/>
        <family val="2"/>
      </rPr>
      <t xml:space="preserve">公式列，再以優先序取主類別</t>
    </r>
  </si>
  <si>
    <t xml:space="preserve">六個公式列＋一個主類別列，勿在元件內判斷</t>
  </si>
  <si>
    <t xml:space="preserve">⑥ 人力負荷</t>
  </si>
  <si>
    <r>
      <rPr>
        <sz val="9.5"/>
        <color rgb="FF000000"/>
        <rFont val="Noto Sans CJK SC"/>
        <family val="2"/>
      </rPr>
      <t xml:space="preserve">回報人員 </t>
    </r>
    <r>
      <rPr>
        <sz val="9.5"/>
        <color rgb="FF000000"/>
        <rFont val="Arial"/>
        <family val="0"/>
        <charset val="1"/>
      </rPr>
      <t xml:space="preserve">/ </t>
    </r>
    <r>
      <rPr>
        <sz val="9.5"/>
        <color rgb="FF000000"/>
        <rFont val="Noto Sans CJK SC"/>
        <family val="2"/>
      </rPr>
      <t xml:space="preserve">部門</t>
    </r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</si>
  <si>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C / A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</si>
  <si>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Arial"/>
        <family val="0"/>
        <charset val="1"/>
      </rPr>
      <t xml:space="preserve">TRIM</t>
    </r>
    <r>
      <rPr>
        <sz val="9.5"/>
        <color rgb="FF000000"/>
        <rFont val="Noto Sans CJK SC"/>
        <family val="2"/>
      </rPr>
      <t xml:space="preserve">；以姓名 </t>
    </r>
    <r>
      <rPr>
        <sz val="9.5"/>
        <color rgb="FF000000"/>
        <rFont val="Arial"/>
        <family val="0"/>
        <charset val="1"/>
      </rPr>
      <t xml:space="preserve">join</t>
    </r>
    <r>
      <rPr>
        <sz val="9.5"/>
        <color rgb="FF000000"/>
        <rFont val="Noto Sans CJK SC"/>
        <family val="2"/>
      </rPr>
      <t xml:space="preserve">（建議日後改工號）</t>
    </r>
  </si>
  <si>
    <t xml:space="preserve">人員維度表</t>
  </si>
  <si>
    <t xml:space="preserve">工時類別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</si>
  <si>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E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</si>
  <si>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對照 </t>
    </r>
    <r>
      <rPr>
        <sz val="9.5"/>
        <color rgb="FF000000"/>
        <rFont val="Arial"/>
        <family val="0"/>
        <charset val="1"/>
      </rPr>
      <t xml:space="preserve">15 </t>
    </r>
    <r>
      <rPr>
        <sz val="9.5"/>
        <color rgb="FF000000"/>
        <rFont val="Noto Sans CJK SC"/>
        <family val="2"/>
      </rPr>
      <t xml:space="preserve">類 → </t>
    </r>
    <r>
      <rPr>
        <sz val="9.5"/>
        <color rgb="FF000000"/>
        <rFont val="Arial"/>
        <family val="0"/>
        <charset val="1"/>
      </rPr>
      <t xml:space="preserve">7 </t>
    </r>
    <r>
      <rPr>
        <sz val="9.5"/>
        <color rgb="FF000000"/>
        <rFont val="Noto Sans CJK SC"/>
        <family val="2"/>
      </rPr>
      <t xml:space="preserve">個歸屬桶；休假排除</t>
    </r>
  </si>
  <si>
    <r>
      <rPr>
        <sz val="9.5"/>
        <color rgb="FF000000"/>
        <rFont val="Arial"/>
        <family val="0"/>
        <charset val="1"/>
      </rPr>
      <t xml:space="preserve">DWD </t>
    </r>
    <r>
      <rPr>
        <sz val="9.5"/>
        <color rgb="FF000000"/>
        <rFont val="Noto Sans CJK SC"/>
        <family val="2"/>
      </rPr>
      <t xml:space="preserve">新增公式列：歸屬桶</t>
    </r>
  </si>
  <si>
    <t xml:space="preserve">工作日期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</si>
  <si>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I </t>
    </r>
    <r>
      <rPr>
        <sz val="9.5"/>
        <color rgb="FF000000"/>
        <rFont val="Noto Sans CJK SC"/>
        <family val="2"/>
      </rPr>
      <t xml:space="preserve">欄</t>
    </r>
  </si>
  <si>
    <r>
      <rPr>
        <sz val="9.5"/>
        <color rgb="FF000000"/>
        <rFont val="Noto Sans CJK SC"/>
        <family val="2"/>
      </rPr>
      <t xml:space="preserve">切近 </t>
    </r>
    <r>
      <rPr>
        <sz val="9.5"/>
        <color rgb="FF000000"/>
        <rFont val="Arial"/>
        <family val="0"/>
        <charset val="1"/>
      </rPr>
      <t xml:space="preserve">6 </t>
    </r>
    <r>
      <rPr>
        <sz val="9.5"/>
        <color rgb="FF000000"/>
        <rFont val="Noto Sans CJK SC"/>
        <family val="2"/>
      </rPr>
      <t xml:space="preserve">個月視窗（</t>
    </r>
    <r>
      <rPr>
        <sz val="9.5"/>
        <color rgb="FF000000"/>
        <rFont val="Arial"/>
        <family val="0"/>
        <charset val="1"/>
      </rPr>
      <t xml:space="preserve">2026-03 ~ 2026-08</t>
    </r>
    <r>
      <rPr>
        <sz val="9.5"/>
        <color rgb="FF000000"/>
        <rFont val="Noto Sans CJK SC"/>
        <family val="2"/>
      </rPr>
      <t xml:space="preserve">）</t>
    </r>
  </si>
  <si>
    <t xml:space="preserve">日期維度＋相對時間過濾</t>
  </si>
  <si>
    <t xml:space="preserve">工作時數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</si>
  <si>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J </t>
    </r>
    <r>
      <rPr>
        <sz val="9.5"/>
        <color rgb="FF000000"/>
        <rFont val="Noto Sans CJK SC"/>
        <family val="2"/>
      </rPr>
      <t xml:space="preserve">欄</t>
    </r>
  </si>
  <si>
    <t xml:space="preserve">加總</t>
  </si>
  <si>
    <t xml:space="preserve">SUM_AGG</t>
  </si>
  <si>
    <t xml:space="preserve">參數</t>
  </si>
  <si>
    <r>
      <rPr>
        <sz val="9.5"/>
        <color rgb="FF000000"/>
        <rFont val="Arial"/>
        <family val="0"/>
        <charset val="1"/>
      </rPr>
      <t xml:space="preserve">176 × (5 + 12/22)</t>
    </r>
    <r>
      <rPr>
        <sz val="9.5"/>
        <color rgb="FF000000"/>
        <rFont val="Noto Sans CJK SC"/>
        <family val="2"/>
      </rPr>
      <t xml:space="preserve">；當月按工作日折算</t>
    </r>
  </si>
  <si>
    <t xml:space="preserve">設為儀表板參數，勿寫死</t>
  </si>
  <si>
    <r>
      <rPr>
        <sz val="9.5"/>
        <color rgb="FF000000"/>
        <rFont val="Noto Sans CJK SC"/>
        <family val="2"/>
      </rPr>
      <t xml:space="preserve">九項指標百分位加權（說明文件 </t>
    </r>
    <r>
      <rPr>
        <sz val="9.5"/>
        <color rgb="FF000000"/>
        <rFont val="Arial"/>
        <family val="0"/>
        <charset val="1"/>
      </rPr>
      <t xml:space="preserve">§5</t>
    </r>
    <r>
      <rPr>
        <sz val="9.5"/>
        <color rgb="FF000000"/>
        <rFont val="Noto Sans CJK SC"/>
        <family val="2"/>
      </rPr>
      <t xml:space="preserve">）</t>
    </r>
  </si>
  <si>
    <r>
      <rPr>
        <sz val="9.5"/>
        <color rgb="FF000000"/>
        <rFont val="Arial"/>
        <family val="0"/>
        <charset val="1"/>
      </rPr>
      <t xml:space="preserve">DWM </t>
    </r>
    <r>
      <rPr>
        <sz val="9.5"/>
        <color rgb="FF000000"/>
        <rFont val="Noto Sans CJK SC"/>
        <family val="2"/>
      </rPr>
      <t xml:space="preserve">人員寬表預先算好</t>
    </r>
  </si>
  <si>
    <t xml:space="preserve">⑥ 未排入名單</t>
  </si>
  <si>
    <t xml:space="preserve">員工工號／姓名／職位名稱</t>
  </si>
  <si>
    <r>
      <rPr>
        <sz val="9.5"/>
        <color rgb="FF000000"/>
        <rFont val="Noto Sans CJK SC"/>
        <family val="2"/>
      </rPr>
      <t xml:space="preserve">工作表</t>
    </r>
    <r>
      <rPr>
        <sz val="9.5"/>
        <color rgb="FF000000"/>
        <rFont val="Arial"/>
        <family val="0"/>
        <charset val="1"/>
      </rPr>
      <t xml:space="preserve">1</t>
    </r>
    <r>
      <rPr>
        <sz val="9.5"/>
        <color rgb="FF000000"/>
        <rFont val="Noto Sans CJK SC"/>
        <family val="2"/>
      </rPr>
      <t xml:space="preserve">　</t>
    </r>
    <r>
      <rPr>
        <sz val="9.5"/>
        <color rgb="FF000000"/>
        <rFont val="Arial"/>
        <family val="0"/>
        <charset val="1"/>
      </rPr>
      <t xml:space="preserve">A~G </t>
    </r>
    <r>
      <rPr>
        <sz val="9.5"/>
        <color rgb="FF000000"/>
        <rFont val="Noto Sans CJK SC"/>
        <family val="2"/>
      </rPr>
      <t xml:space="preserve">欄（第 </t>
    </r>
    <r>
      <rPr>
        <sz val="9.5"/>
        <color rgb="FF000000"/>
        <rFont val="Arial"/>
        <family val="0"/>
        <charset val="1"/>
      </rPr>
      <t xml:space="preserve">6 </t>
    </r>
    <r>
      <rPr>
        <sz val="9.5"/>
        <color rgb="FF000000"/>
        <rFont val="Noto Sans CJK SC"/>
        <family val="2"/>
      </rPr>
      <t xml:space="preserve">列起）</t>
    </r>
  </si>
  <si>
    <t xml:space="preserve">部門代號→處別；排除職位名稱含「工讀」者</t>
  </si>
  <si>
    <r>
      <rPr>
        <sz val="9.5"/>
        <color rgb="FF000000"/>
        <rFont val="Noto Sans CJK SC"/>
        <family val="2"/>
      </rPr>
      <t xml:space="preserve">人員維度表主檔，與 </t>
    </r>
    <r>
      <rPr>
        <sz val="9.5"/>
        <color rgb="FF000000"/>
        <rFont val="Arial"/>
        <family val="0"/>
        <charset val="1"/>
      </rPr>
      <t xml:space="preserve">PLM002 </t>
    </r>
    <r>
      <rPr>
        <sz val="9.5"/>
        <color rgb="FF000000"/>
        <rFont val="Noto Sans CJK SC"/>
        <family val="2"/>
      </rPr>
      <t xml:space="preserve">以姓名 </t>
    </r>
    <r>
      <rPr>
        <sz val="9.5"/>
        <color rgb="FF000000"/>
        <rFont val="Arial"/>
        <family val="0"/>
        <charset val="1"/>
      </rPr>
      <t xml:space="preserve">join</t>
    </r>
  </si>
  <si>
    <t xml:space="preserve">建置提醒</t>
  </si>
  <si>
    <r>
      <rPr>
        <sz val="10"/>
        <color rgb="FF333333"/>
        <rFont val="Arial"/>
        <family val="0"/>
        <charset val="1"/>
      </rPr>
      <t xml:space="preserve">1. </t>
    </r>
    <r>
      <rPr>
        <sz val="10"/>
        <color rgb="FF333333"/>
        <rFont val="Noto Sans CJK SC"/>
        <family val="2"/>
      </rPr>
      <t xml:space="preserve">風險矩陣的 </t>
    </r>
    <r>
      <rPr>
        <sz val="10"/>
        <color rgb="FF333333"/>
        <rFont val="Arial"/>
        <family val="0"/>
        <charset val="1"/>
      </rPr>
      <t xml:space="preserve">P</t>
    </r>
    <r>
      <rPr>
        <sz val="10"/>
        <color rgb="FF333333"/>
        <rFont val="Noto Sans CJK SC"/>
        <family val="2"/>
      </rPr>
      <t xml:space="preserve">、</t>
    </r>
    <r>
      <rPr>
        <sz val="10"/>
        <color rgb="FF333333"/>
        <rFont val="Arial"/>
        <family val="0"/>
        <charset val="1"/>
      </rPr>
      <t xml:space="preserve">I </t>
    </r>
    <r>
      <rPr>
        <sz val="10"/>
        <color rgb="FF333333"/>
        <rFont val="Noto Sans CJK SC"/>
        <family val="2"/>
      </rPr>
      <t xml:space="preserve">兩個分數建議建成 </t>
    </r>
    <r>
      <rPr>
        <sz val="10"/>
        <color rgb="FF333333"/>
        <rFont val="Arial"/>
        <family val="0"/>
        <charset val="1"/>
      </rPr>
      <t xml:space="preserve">DWM </t>
    </r>
    <r>
      <rPr>
        <sz val="10"/>
        <color rgb="FF333333"/>
        <rFont val="Noto Sans CJK SC"/>
        <family val="2"/>
      </rPr>
      <t xml:space="preserve">專案寬表的欄位，不要在儀表板元件內用條件格式硬算 —— 否則第二層的處級矩陣會與第一層不一致。</t>
    </r>
  </si>
  <si>
    <r>
      <rPr>
        <sz val="10"/>
        <color rgb="FF333333"/>
        <rFont val="Arial"/>
        <family val="0"/>
        <charset val="1"/>
      </rPr>
      <t xml:space="preserve">2. </t>
    </r>
    <r>
      <rPr>
        <sz val="10"/>
        <color rgb="FF333333"/>
        <rFont val="Noto Sans CJK SC"/>
        <family val="2"/>
      </rPr>
      <t xml:space="preserve">「投入人力」需先把專案進度表由「每人 </t>
    </r>
    <r>
      <rPr>
        <sz val="10"/>
        <color rgb="FF333333"/>
        <rFont val="Arial"/>
        <family val="0"/>
        <charset val="1"/>
      </rPr>
      <t xml:space="preserve">2 </t>
    </r>
    <r>
      <rPr>
        <sz val="10"/>
        <color rgb="FF333333"/>
        <rFont val="Noto Sans CJK SC"/>
        <family val="2"/>
      </rPr>
      <t xml:space="preserve">欄」的寬表轉為長表（專案編號／人員／預計／實際），</t>
    </r>
    <r>
      <rPr>
        <sz val="10"/>
        <color rgb="FF333333"/>
        <rFont val="Arial"/>
        <family val="0"/>
        <charset val="1"/>
      </rPr>
      <t xml:space="preserve">FineBI </t>
    </r>
    <r>
      <rPr>
        <sz val="10"/>
        <color rgb="FF333333"/>
        <rFont val="Noto Sans CJK SC"/>
        <family val="2"/>
      </rPr>
      <t xml:space="preserve">用「行列轉換」處理，這是本次資料整併最花工的一步。</t>
    </r>
  </si>
  <si>
    <r>
      <rPr>
        <sz val="10"/>
        <color rgb="FF333333"/>
        <rFont val="Arial"/>
        <family val="0"/>
        <charset val="1"/>
      </rPr>
      <t xml:space="preserve">3. </t>
    </r>
    <r>
      <rPr>
        <sz val="10"/>
        <color rgb="FF333333"/>
        <rFont val="Noto Sans CJK SC"/>
        <family val="2"/>
      </rPr>
      <t xml:space="preserve">負荷率的分母是參數不是資料，換月份時只要改參數；把它寫死在公式裡是最常見的維護債。</t>
    </r>
  </si>
  <si>
    <r>
      <rPr>
        <sz val="10"/>
        <color rgb="FF333333"/>
        <rFont val="Arial"/>
        <family val="0"/>
        <charset val="1"/>
      </rPr>
      <t xml:space="preserve">4. 21 </t>
    </r>
    <r>
      <rPr>
        <sz val="10"/>
        <color rgb="FF333333"/>
        <rFont val="Noto Sans CJK SC"/>
        <family val="2"/>
      </rPr>
      <t xml:space="preserve">表的姓名已遮蔽。若 </t>
    </r>
    <r>
      <rPr>
        <sz val="10"/>
        <color rgb="FF333333"/>
        <rFont val="Arial"/>
        <family val="0"/>
        <charset val="1"/>
      </rPr>
      <t xml:space="preserve">FineBI </t>
    </r>
    <r>
      <rPr>
        <sz val="10"/>
        <color rgb="FF333333"/>
        <rFont val="Noto Sans CJK SC"/>
        <family val="2"/>
      </rPr>
      <t xml:space="preserve">要保留姓名欄位，請設欄位權限，僅主管角色可見。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</si>
</sst>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"/>
    <numFmt numFmtId="167" formatCode="0.0"/>
    <numFmt numFmtId="168" formatCode="General"/>
    <numFmt numFmtId="169" formatCode="0.0%"/>
    <numFmt numFmtId="170" formatCode="0"/>
    <numFmt numFmtId="171" formatCode="#,##0.0"/>
    <numFmt numFmtId="172" formatCode="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Noto Sans CJK SC"/>
      <family val="2"/>
    </font>
    <font>
      <b val="true"/>
      <sz val="13"/>
      <color rgb="FF1F3864"/>
      <name val="Noto Sans CJK SC"/>
      <family val="2"/>
    </font>
    <font>
      <b val="true"/>
      <sz val="13"/>
      <color rgb="FF1F3864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1F3864"/>
      <name val="Noto Sans CJK SC"/>
      <family val="2"/>
    </font>
    <font>
      <sz val="10"/>
      <color rgb="FF333333"/>
      <name val="Arial"/>
      <family val="0"/>
      <charset val="1"/>
    </font>
    <font>
      <sz val="10"/>
      <color rgb="FF333333"/>
      <name val="Noto Sans CJK SC"/>
      <family val="2"/>
    </font>
    <font>
      <b val="true"/>
      <sz val="15"/>
      <color rgb="FF1F3864"/>
      <name val="Noto Sans CJK SC"/>
      <family val="2"/>
    </font>
    <font>
      <sz val="9.5"/>
      <color rgb="FF595959"/>
      <name val="Noto Sans CJK SC"/>
      <family val="2"/>
    </font>
    <font>
      <b val="true"/>
      <sz val="10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sz val="9.5"/>
      <color rgb="FF000000"/>
      <name val="Noto Sans CJK SC"/>
      <family val="2"/>
    </font>
    <font>
      <b val="true"/>
      <sz val="9.5"/>
      <color rgb="FF000000"/>
      <name val="Arial"/>
      <family val="0"/>
      <charset val="1"/>
    </font>
    <font>
      <sz val="9.5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sz val="10"/>
      <color rgb="FF00000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E36C0A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BF8F00"/>
      <name val="Noto Sans CJK SC"/>
      <family val="2"/>
    </font>
    <font>
      <b val="true"/>
      <sz val="10"/>
      <color rgb="FFE36C0A"/>
      <name val="Noto Sans CJK SC"/>
      <family val="2"/>
    </font>
    <font>
      <b val="true"/>
      <sz val="9.5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E36C0A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4"/>
    <col collapsed="false" customWidth="true" hidden="false" outlineLevel="0" max="4" min="4" style="0" width="20"/>
    <col collapsed="false" customWidth="true" hidden="false" outlineLevel="0" max="6" min="5" style="0" width="16"/>
  </cols>
  <sheetData>
    <row r="2" customFormat="false" ht="22.05" hidden="false" customHeight="false" outlineLevel="0" collapsed="false">
      <c r="B2" s="1" t="s">
        <v>0</v>
      </c>
    </row>
    <row r="3" customFormat="false" ht="20.1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5" t="s">
        <v>5</v>
      </c>
    </row>
    <row r="7" customFormat="false" ht="15" hidden="false" customHeight="false" outlineLevel="0" collapsed="false">
      <c r="B7" s="3" t="s">
        <v>6</v>
      </c>
      <c r="C7" s="5" t="s">
        <v>7</v>
      </c>
    </row>
    <row r="9" customFormat="false" ht="15" hidden="false" customHeight="false" outlineLevel="0" collapsed="false">
      <c r="B9" s="6" t="s">
        <v>8</v>
      </c>
      <c r="C9" s="6" t="s">
        <v>9</v>
      </c>
      <c r="D9" s="7" t="s">
        <v>10</v>
      </c>
    </row>
    <row r="10" customFormat="false" ht="25.5" hidden="false" customHeight="true" outlineLevel="0" collapsed="false">
      <c r="B10" s="8" t="s">
        <v>11</v>
      </c>
      <c r="C10" s="9" t="s">
        <v>12</v>
      </c>
      <c r="D10" s="10" t="s">
        <v>13</v>
      </c>
    </row>
    <row r="11" customFormat="false" ht="25.5" hidden="false" customHeight="true" outlineLevel="0" collapsed="false">
      <c r="B11" s="8" t="s">
        <v>14</v>
      </c>
      <c r="C11" s="11" t="s">
        <v>15</v>
      </c>
      <c r="D11" s="10" t="s">
        <v>16</v>
      </c>
    </row>
    <row r="12" customFormat="false" ht="25.5" hidden="false" customHeight="true" outlineLevel="0" collapsed="false">
      <c r="B12" s="8" t="s">
        <v>17</v>
      </c>
      <c r="C12" s="9" t="s">
        <v>18</v>
      </c>
      <c r="D12" s="10" t="s">
        <v>19</v>
      </c>
    </row>
    <row r="13" customFormat="false" ht="25.5" hidden="false" customHeight="true" outlineLevel="0" collapsed="false">
      <c r="B13" s="8" t="s">
        <v>20</v>
      </c>
      <c r="C13" s="11" t="s">
        <v>21</v>
      </c>
      <c r="D13" s="10" t="s">
        <v>22</v>
      </c>
    </row>
    <row r="14" customFormat="false" ht="25.5" hidden="false" customHeight="true" outlineLevel="0" collapsed="false">
      <c r="B14" s="8" t="s">
        <v>23</v>
      </c>
      <c r="C14" s="9" t="s">
        <v>24</v>
      </c>
      <c r="D14" s="10" t="s">
        <v>16</v>
      </c>
    </row>
    <row r="15" customFormat="false" ht="25.5" hidden="false" customHeight="true" outlineLevel="0" collapsed="false">
      <c r="B15" s="8" t="s">
        <v>25</v>
      </c>
      <c r="C15" s="9" t="s">
        <v>26</v>
      </c>
      <c r="D15" s="10" t="s">
        <v>27</v>
      </c>
    </row>
    <row r="16" customFormat="false" ht="25.5" hidden="false" customHeight="true" outlineLevel="0" collapsed="false">
      <c r="B16" s="8" t="s">
        <v>28</v>
      </c>
      <c r="C16" s="9" t="s">
        <v>29</v>
      </c>
      <c r="D16" s="10" t="s">
        <v>30</v>
      </c>
    </row>
    <row r="17" customFormat="false" ht="25.5" hidden="false" customHeight="true" outlineLevel="0" collapsed="false">
      <c r="B17" s="8" t="s">
        <v>31</v>
      </c>
      <c r="C17" s="9" t="s">
        <v>32</v>
      </c>
      <c r="D17" s="10" t="s">
        <v>33</v>
      </c>
    </row>
    <row r="18" customFormat="false" ht="25.5" hidden="false" customHeight="true" outlineLevel="0" collapsed="false">
      <c r="B18" s="8" t="s">
        <v>34</v>
      </c>
      <c r="C18" s="9" t="s">
        <v>35</v>
      </c>
      <c r="D18" s="10" t="s">
        <v>16</v>
      </c>
    </row>
    <row r="19" customFormat="false" ht="25.5" hidden="false" customHeight="true" outlineLevel="0" collapsed="false">
      <c r="B19" s="8" t="s">
        <v>36</v>
      </c>
      <c r="C19" s="9" t="s">
        <v>37</v>
      </c>
      <c r="D19" s="10" t="s">
        <v>38</v>
      </c>
    </row>
    <row r="20" customFormat="false" ht="25.5" hidden="false" customHeight="true" outlineLevel="0" collapsed="false">
      <c r="B20" s="8" t="s">
        <v>39</v>
      </c>
      <c r="C20" s="9" t="s">
        <v>40</v>
      </c>
      <c r="D20" s="10" t="s">
        <v>16</v>
      </c>
    </row>
    <row r="22" customFormat="false" ht="15" hidden="false" customHeight="false" outlineLevel="0" collapsed="false">
      <c r="B22" s="12" t="s">
        <v>41</v>
      </c>
    </row>
    <row r="23" customFormat="false" ht="15" hidden="false" customHeight="false" outlineLevel="0" collapsed="false">
      <c r="B23" s="13" t="s">
        <v>42</v>
      </c>
      <c r="C23" s="13"/>
      <c r="D23" s="13"/>
      <c r="E23" s="13"/>
      <c r="F23" s="13"/>
    </row>
    <row r="24" customFormat="false" ht="15" hidden="false" customHeight="false" outlineLevel="0" collapsed="false">
      <c r="B24" s="13" t="s">
        <v>43</v>
      </c>
      <c r="C24" s="13"/>
      <c r="D24" s="13"/>
      <c r="E24" s="13"/>
      <c r="F24" s="13"/>
    </row>
    <row r="25" customFormat="false" ht="15" hidden="false" customHeight="false" outlineLevel="0" collapsed="false">
      <c r="B25" s="13" t="s">
        <v>44</v>
      </c>
      <c r="C25" s="13"/>
      <c r="D25" s="13"/>
      <c r="E25" s="13"/>
      <c r="F25" s="13"/>
    </row>
    <row r="26" customFormat="false" ht="15" hidden="false" customHeight="false" outlineLevel="0" collapsed="false">
      <c r="B26" s="13" t="s">
        <v>45</v>
      </c>
      <c r="C26" s="13"/>
      <c r="D26" s="13"/>
      <c r="E26" s="13"/>
      <c r="F26" s="13"/>
    </row>
    <row r="27" customFormat="false" ht="15" hidden="false" customHeight="false" outlineLevel="0" collapsed="false">
      <c r="B27" s="13" t="s">
        <v>46</v>
      </c>
      <c r="C27" s="13"/>
      <c r="D27" s="13"/>
      <c r="E27" s="13"/>
      <c r="F27" s="13"/>
    </row>
    <row r="28" customFormat="false" ht="15" hidden="false" customHeight="false" outlineLevel="0" collapsed="false">
      <c r="B28" s="13" t="s">
        <v>47</v>
      </c>
      <c r="C28" s="13"/>
      <c r="D28" s="13"/>
      <c r="E28" s="13"/>
      <c r="F28" s="13"/>
    </row>
    <row r="29" customFormat="false" ht="15" hidden="false" customHeight="false" outlineLevel="0" collapsed="false">
      <c r="B29" s="13" t="s">
        <v>48</v>
      </c>
      <c r="C29" s="13"/>
      <c r="D29" s="13"/>
      <c r="E29" s="13"/>
      <c r="F29" s="13"/>
    </row>
  </sheetData>
  <mergeCells count="7"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0"/>
  </cols>
  <sheetData>
    <row r="1" customFormat="false" ht="18.55" hidden="false" customHeight="false" outlineLevel="0" collapsed="false">
      <c r="A1" s="14" t="s">
        <v>49</v>
      </c>
    </row>
    <row r="2" customFormat="false" ht="15" hidden="false" customHeight="false" outlineLevel="0" collapsed="false">
      <c r="A2" s="15" t="s">
        <v>50</v>
      </c>
    </row>
    <row r="4" customFormat="false" ht="30" hidden="false" customHeight="true" outlineLevel="0" collapsed="false">
      <c r="A4" s="16" t="s">
        <v>51</v>
      </c>
      <c r="B4" s="16" t="s">
        <v>52</v>
      </c>
      <c r="C4" s="16" t="s">
        <v>53</v>
      </c>
      <c r="D4" s="16" t="s">
        <v>54</v>
      </c>
      <c r="E4" s="16" t="s">
        <v>55</v>
      </c>
      <c r="F4" s="16" t="s">
        <v>56</v>
      </c>
      <c r="G4" s="16" t="s">
        <v>57</v>
      </c>
    </row>
    <row r="5" customFormat="false" ht="30" hidden="false" customHeight="true" outlineLevel="0" collapsed="false">
      <c r="A5" s="17" t="s">
        <v>58</v>
      </c>
      <c r="B5" s="18" t="s">
        <v>59</v>
      </c>
      <c r="C5" s="19" t="s">
        <v>60</v>
      </c>
      <c r="D5" s="17" t="s">
        <v>61</v>
      </c>
      <c r="E5" s="19" t="s">
        <v>62</v>
      </c>
      <c r="F5" s="19" t="s">
        <v>63</v>
      </c>
      <c r="G5" s="17" t="s">
        <v>64</v>
      </c>
    </row>
    <row r="6" customFormat="false" ht="30" hidden="false" customHeight="true" outlineLevel="0" collapsed="false">
      <c r="A6" s="17" t="s">
        <v>58</v>
      </c>
      <c r="B6" s="18" t="s">
        <v>65</v>
      </c>
      <c r="C6" s="19" t="s">
        <v>66</v>
      </c>
      <c r="D6" s="17" t="s">
        <v>61</v>
      </c>
      <c r="E6" s="19" t="s">
        <v>67</v>
      </c>
      <c r="F6" s="19" t="s">
        <v>68</v>
      </c>
      <c r="G6" s="17" t="s">
        <v>69</v>
      </c>
    </row>
    <row r="7" customFormat="false" ht="30" hidden="false" customHeight="true" outlineLevel="0" collapsed="false">
      <c r="A7" s="17" t="s">
        <v>58</v>
      </c>
      <c r="B7" s="18" t="s">
        <v>70</v>
      </c>
      <c r="C7" s="17" t="s">
        <v>71</v>
      </c>
      <c r="D7" s="17" t="s">
        <v>61</v>
      </c>
      <c r="E7" s="19" t="s">
        <v>72</v>
      </c>
      <c r="F7" s="17" t="s">
        <v>73</v>
      </c>
      <c r="G7" s="17" t="s">
        <v>74</v>
      </c>
    </row>
    <row r="8" customFormat="false" ht="30" hidden="false" customHeight="true" outlineLevel="0" collapsed="false">
      <c r="A8" s="17" t="s">
        <v>58</v>
      </c>
      <c r="B8" s="18" t="s">
        <v>75</v>
      </c>
      <c r="C8" s="19" t="s">
        <v>76</v>
      </c>
      <c r="D8" s="19" t="s">
        <v>77</v>
      </c>
      <c r="E8" s="19" t="s">
        <v>78</v>
      </c>
      <c r="F8" s="19" t="s">
        <v>79</v>
      </c>
      <c r="G8" s="17" t="s">
        <v>80</v>
      </c>
    </row>
    <row r="9" customFormat="false" ht="30" hidden="false" customHeight="true" outlineLevel="0" collapsed="false">
      <c r="A9" s="17" t="s">
        <v>58</v>
      </c>
      <c r="B9" s="18" t="s">
        <v>81</v>
      </c>
      <c r="C9" s="19" t="s">
        <v>82</v>
      </c>
      <c r="D9" s="17" t="s">
        <v>83</v>
      </c>
      <c r="E9" s="17" t="s">
        <v>84</v>
      </c>
      <c r="F9" s="19" t="s">
        <v>85</v>
      </c>
      <c r="G9" s="17" t="s">
        <v>86</v>
      </c>
    </row>
    <row r="10" customFormat="false" ht="30" hidden="false" customHeight="true" outlineLevel="0" collapsed="false">
      <c r="A10" s="17" t="s">
        <v>58</v>
      </c>
      <c r="B10" s="18" t="s">
        <v>87</v>
      </c>
      <c r="C10" s="19" t="s">
        <v>88</v>
      </c>
      <c r="D10" s="19" t="s">
        <v>77</v>
      </c>
      <c r="E10" s="19" t="s">
        <v>89</v>
      </c>
      <c r="F10" s="19" t="s">
        <v>90</v>
      </c>
      <c r="G10" s="17" t="s">
        <v>91</v>
      </c>
    </row>
    <row r="11" customFormat="false" ht="30" hidden="false" customHeight="true" outlineLevel="0" collapsed="false">
      <c r="A11" s="17" t="s">
        <v>92</v>
      </c>
      <c r="B11" s="18" t="s">
        <v>65</v>
      </c>
      <c r="C11" s="19" t="s">
        <v>93</v>
      </c>
      <c r="D11" s="17" t="s">
        <v>61</v>
      </c>
      <c r="E11" s="19" t="s">
        <v>94</v>
      </c>
      <c r="F11" s="17" t="s">
        <v>95</v>
      </c>
      <c r="G11" s="17" t="s">
        <v>96</v>
      </c>
    </row>
    <row r="12" customFormat="false" ht="30" hidden="false" customHeight="true" outlineLevel="0" collapsed="false">
      <c r="A12" s="17" t="s">
        <v>92</v>
      </c>
      <c r="B12" s="18" t="s">
        <v>70</v>
      </c>
      <c r="C12" s="19" t="s">
        <v>97</v>
      </c>
      <c r="D12" s="17" t="s">
        <v>61</v>
      </c>
      <c r="E12" s="19" t="s">
        <v>98</v>
      </c>
      <c r="F12" s="19" t="s">
        <v>99</v>
      </c>
      <c r="G12" s="17" t="s">
        <v>100</v>
      </c>
    </row>
    <row r="13" customFormat="false" ht="30" hidden="false" customHeight="true" outlineLevel="0" collapsed="false">
      <c r="A13" s="17" t="s">
        <v>92</v>
      </c>
      <c r="B13" s="18" t="s">
        <v>75</v>
      </c>
      <c r="C13" s="19" t="s">
        <v>66</v>
      </c>
      <c r="D13" s="17" t="s">
        <v>61</v>
      </c>
      <c r="E13" s="19" t="s">
        <v>67</v>
      </c>
      <c r="F13" s="17" t="s">
        <v>101</v>
      </c>
      <c r="G13" s="17" t="s">
        <v>102</v>
      </c>
    </row>
    <row r="14" customFormat="false" ht="30" hidden="false" customHeight="true" outlineLevel="0" collapsed="false">
      <c r="A14" s="17" t="s">
        <v>92</v>
      </c>
      <c r="B14" s="18" t="s">
        <v>81</v>
      </c>
      <c r="C14" s="17" t="s">
        <v>71</v>
      </c>
      <c r="D14" s="17" t="s">
        <v>61</v>
      </c>
      <c r="E14" s="19" t="s">
        <v>72</v>
      </c>
      <c r="F14" s="19" t="s">
        <v>103</v>
      </c>
      <c r="G14" s="17" t="s">
        <v>74</v>
      </c>
    </row>
    <row r="15" customFormat="false" ht="30" hidden="false" customHeight="true" outlineLevel="0" collapsed="false">
      <c r="A15" s="17" t="s">
        <v>92</v>
      </c>
      <c r="B15" s="18" t="s">
        <v>87</v>
      </c>
      <c r="C15" s="19" t="s">
        <v>76</v>
      </c>
      <c r="D15" s="19" t="s">
        <v>77</v>
      </c>
      <c r="E15" s="19" t="s">
        <v>78</v>
      </c>
      <c r="F15" s="19" t="s">
        <v>104</v>
      </c>
      <c r="G15" s="17" t="s">
        <v>80</v>
      </c>
    </row>
    <row r="16" customFormat="false" ht="30" hidden="false" customHeight="true" outlineLevel="0" collapsed="false">
      <c r="A16" s="17" t="s">
        <v>92</v>
      </c>
      <c r="B16" s="18" t="s">
        <v>105</v>
      </c>
      <c r="C16" s="19" t="s">
        <v>106</v>
      </c>
      <c r="D16" s="19" t="s">
        <v>77</v>
      </c>
      <c r="E16" s="19" t="s">
        <v>107</v>
      </c>
      <c r="F16" s="19" t="s">
        <v>108</v>
      </c>
      <c r="G16" s="17" t="s">
        <v>109</v>
      </c>
    </row>
    <row r="17" customFormat="false" ht="30" hidden="false" customHeight="true" outlineLevel="0" collapsed="false">
      <c r="A17" s="17" t="s">
        <v>92</v>
      </c>
      <c r="B17" s="18" t="s">
        <v>110</v>
      </c>
      <c r="C17" s="19" t="s">
        <v>111</v>
      </c>
      <c r="D17" s="17" t="s">
        <v>83</v>
      </c>
      <c r="E17" s="17" t="s">
        <v>112</v>
      </c>
      <c r="F17" s="19" t="s">
        <v>113</v>
      </c>
      <c r="G17" s="17" t="s">
        <v>114</v>
      </c>
    </row>
    <row r="18" customFormat="false" ht="30" hidden="false" customHeight="true" outlineLevel="0" collapsed="false">
      <c r="A18" s="17" t="s">
        <v>115</v>
      </c>
      <c r="B18" s="18" t="s">
        <v>116</v>
      </c>
      <c r="C18" s="19" t="s">
        <v>117</v>
      </c>
      <c r="D18" s="19" t="s">
        <v>118</v>
      </c>
      <c r="E18" s="17" t="s">
        <v>16</v>
      </c>
      <c r="F18" s="17" t="s">
        <v>119</v>
      </c>
      <c r="G18" s="17" t="s">
        <v>120</v>
      </c>
    </row>
    <row r="19" customFormat="false" ht="30" hidden="false" customHeight="true" outlineLevel="0" collapsed="false">
      <c r="A19" s="17" t="s">
        <v>115</v>
      </c>
      <c r="B19" s="18" t="s">
        <v>116</v>
      </c>
      <c r="C19" s="19" t="s">
        <v>121</v>
      </c>
      <c r="D19" s="19" t="s">
        <v>118</v>
      </c>
      <c r="E19" s="17" t="s">
        <v>16</v>
      </c>
      <c r="F19" s="19" t="s">
        <v>122</v>
      </c>
      <c r="G19" s="17" t="s">
        <v>123</v>
      </c>
    </row>
    <row r="20" customFormat="false" ht="30" hidden="false" customHeight="true" outlineLevel="0" collapsed="false">
      <c r="A20" s="17" t="s">
        <v>115</v>
      </c>
      <c r="B20" s="18" t="s">
        <v>116</v>
      </c>
      <c r="C20" s="19" t="s">
        <v>124</v>
      </c>
      <c r="D20" s="19" t="s">
        <v>125</v>
      </c>
      <c r="E20" s="17" t="s">
        <v>16</v>
      </c>
      <c r="F20" s="17" t="s">
        <v>126</v>
      </c>
      <c r="G20" s="17" t="s">
        <v>127</v>
      </c>
    </row>
    <row r="21" customFormat="false" ht="30" hidden="false" customHeight="true" outlineLevel="0" collapsed="false">
      <c r="A21" s="17" t="s">
        <v>115</v>
      </c>
      <c r="B21" s="18" t="s">
        <v>116</v>
      </c>
      <c r="C21" s="19" t="s">
        <v>128</v>
      </c>
      <c r="D21" s="19" t="s">
        <v>129</v>
      </c>
      <c r="E21" s="17" t="s">
        <v>16</v>
      </c>
      <c r="F21" s="17" t="s">
        <v>130</v>
      </c>
      <c r="G21" s="17" t="s">
        <v>131</v>
      </c>
    </row>
    <row r="22" customFormat="false" ht="30" hidden="false" customHeight="true" outlineLevel="0" collapsed="false">
      <c r="A22" s="17" t="s">
        <v>115</v>
      </c>
      <c r="B22" s="18" t="s">
        <v>116</v>
      </c>
      <c r="C22" s="19" t="s">
        <v>132</v>
      </c>
      <c r="D22" s="19" t="s">
        <v>129</v>
      </c>
      <c r="E22" s="17" t="s">
        <v>16</v>
      </c>
      <c r="F22" s="19" t="s">
        <v>133</v>
      </c>
      <c r="G22" s="17" t="s">
        <v>134</v>
      </c>
    </row>
    <row r="23" customFormat="false" ht="30" hidden="false" customHeight="true" outlineLevel="0" collapsed="false">
      <c r="A23" s="17" t="s">
        <v>135</v>
      </c>
      <c r="B23" s="18" t="s">
        <v>65</v>
      </c>
      <c r="C23" s="19" t="s">
        <v>136</v>
      </c>
      <c r="D23" s="17" t="s">
        <v>137</v>
      </c>
      <c r="E23" s="19" t="s">
        <v>138</v>
      </c>
      <c r="F23" s="19" t="s">
        <v>139</v>
      </c>
      <c r="G23" s="19" t="s">
        <v>140</v>
      </c>
    </row>
    <row r="24" customFormat="false" ht="30" hidden="false" customHeight="true" outlineLevel="0" collapsed="false">
      <c r="A24" s="17" t="s">
        <v>135</v>
      </c>
      <c r="B24" s="18" t="s">
        <v>70</v>
      </c>
      <c r="C24" s="19" t="s">
        <v>141</v>
      </c>
      <c r="D24" s="19" t="s">
        <v>142</v>
      </c>
      <c r="E24" s="19" t="s">
        <v>143</v>
      </c>
      <c r="F24" s="17" t="s">
        <v>144</v>
      </c>
      <c r="G24" s="19" t="s">
        <v>145</v>
      </c>
    </row>
    <row r="25" customFormat="false" ht="30" hidden="false" customHeight="true" outlineLevel="0" collapsed="false">
      <c r="A25" s="17" t="s">
        <v>135</v>
      </c>
      <c r="B25" s="18" t="s">
        <v>87</v>
      </c>
      <c r="C25" s="19" t="s">
        <v>146</v>
      </c>
      <c r="D25" s="17" t="s">
        <v>137</v>
      </c>
      <c r="E25" s="19" t="s">
        <v>147</v>
      </c>
      <c r="F25" s="19" t="s">
        <v>148</v>
      </c>
      <c r="G25" s="19" t="s">
        <v>149</v>
      </c>
    </row>
    <row r="26" customFormat="false" ht="30" hidden="false" customHeight="true" outlineLevel="0" collapsed="false">
      <c r="A26" s="17" t="s">
        <v>135</v>
      </c>
      <c r="B26" s="18" t="s">
        <v>150</v>
      </c>
      <c r="C26" s="19" t="s">
        <v>151</v>
      </c>
      <c r="D26" s="17" t="s">
        <v>137</v>
      </c>
      <c r="E26" s="19" t="s">
        <v>147</v>
      </c>
      <c r="F26" s="19" t="s">
        <v>152</v>
      </c>
      <c r="G26" s="19" t="s">
        <v>153</v>
      </c>
    </row>
    <row r="27" customFormat="false" ht="30" hidden="false" customHeight="true" outlineLevel="0" collapsed="false">
      <c r="A27" s="17" t="s">
        <v>135</v>
      </c>
      <c r="B27" s="18" t="s">
        <v>154</v>
      </c>
      <c r="C27" s="19" t="s">
        <v>155</v>
      </c>
      <c r="D27" s="19" t="s">
        <v>156</v>
      </c>
      <c r="E27" s="17" t="s">
        <v>16</v>
      </c>
      <c r="F27" s="19" t="s">
        <v>157</v>
      </c>
      <c r="G27" s="19" t="s">
        <v>158</v>
      </c>
    </row>
    <row r="28" customFormat="false" ht="30" hidden="false" customHeight="true" outlineLevel="0" collapsed="false">
      <c r="A28" s="17" t="s">
        <v>135</v>
      </c>
      <c r="B28" s="18" t="s">
        <v>159</v>
      </c>
      <c r="C28" s="19" t="s">
        <v>160</v>
      </c>
      <c r="D28" s="19" t="s">
        <v>161</v>
      </c>
      <c r="E28" s="19" t="s">
        <v>162</v>
      </c>
      <c r="F28" s="19" t="s">
        <v>163</v>
      </c>
      <c r="G28" s="19" t="s">
        <v>164</v>
      </c>
    </row>
    <row r="29" customFormat="false" ht="30" hidden="false" customHeight="true" outlineLevel="0" collapsed="false">
      <c r="A29" s="17" t="s">
        <v>135</v>
      </c>
      <c r="B29" s="18" t="s">
        <v>165</v>
      </c>
      <c r="C29" s="19" t="s">
        <v>166</v>
      </c>
      <c r="D29" s="19" t="s">
        <v>167</v>
      </c>
      <c r="E29" s="19" t="s">
        <v>168</v>
      </c>
      <c r="F29" s="19" t="s">
        <v>169</v>
      </c>
      <c r="G29" s="19" t="s">
        <v>170</v>
      </c>
    </row>
    <row r="30" customFormat="false" ht="30" hidden="false" customHeight="true" outlineLevel="0" collapsed="false">
      <c r="A30" s="17" t="s">
        <v>171</v>
      </c>
      <c r="B30" s="18" t="s">
        <v>172</v>
      </c>
      <c r="C30" s="19" t="s">
        <v>173</v>
      </c>
      <c r="D30" s="19" t="s">
        <v>174</v>
      </c>
      <c r="E30" s="19" t="s">
        <v>175</v>
      </c>
      <c r="F30" s="19" t="s">
        <v>176</v>
      </c>
      <c r="G30" s="19" t="s">
        <v>177</v>
      </c>
    </row>
    <row r="31" customFormat="false" ht="30" hidden="false" customHeight="true" outlineLevel="0" collapsed="false">
      <c r="A31" s="17" t="s">
        <v>171</v>
      </c>
      <c r="B31" s="18" t="s">
        <v>178</v>
      </c>
      <c r="C31" s="19" t="s">
        <v>179</v>
      </c>
      <c r="D31" s="19" t="s">
        <v>174</v>
      </c>
      <c r="E31" s="19" t="s">
        <v>180</v>
      </c>
      <c r="F31" s="19" t="s">
        <v>181</v>
      </c>
      <c r="G31" s="17" t="s">
        <v>182</v>
      </c>
    </row>
    <row r="32" customFormat="false" ht="30" hidden="false" customHeight="true" outlineLevel="0" collapsed="false">
      <c r="A32" s="17" t="s">
        <v>171</v>
      </c>
      <c r="B32" s="18" t="s">
        <v>183</v>
      </c>
      <c r="C32" s="19" t="s">
        <v>184</v>
      </c>
      <c r="D32" s="17" t="s">
        <v>137</v>
      </c>
      <c r="E32" s="19" t="s">
        <v>138</v>
      </c>
      <c r="F32" s="19" t="s">
        <v>185</v>
      </c>
      <c r="G32" s="19" t="s">
        <v>186</v>
      </c>
    </row>
    <row r="34" customFormat="false" ht="15" hidden="false" customHeight="false" outlineLevel="0" collapsed="false">
      <c r="A34" s="12" t="s">
        <v>187</v>
      </c>
    </row>
    <row r="35" customFormat="false" ht="15" hidden="false" customHeight="false" outlineLevel="0" collapsed="false">
      <c r="A35" s="13" t="s">
        <v>188</v>
      </c>
      <c r="B35" s="13"/>
      <c r="C35" s="13"/>
      <c r="D35" s="13"/>
      <c r="E35" s="13"/>
      <c r="F35" s="13"/>
      <c r="G35" s="13"/>
    </row>
    <row r="36" customFormat="false" ht="15" hidden="false" customHeight="false" outlineLevel="0" collapsed="false">
      <c r="A36" s="13" t="s">
        <v>189</v>
      </c>
      <c r="B36" s="13"/>
      <c r="C36" s="13"/>
      <c r="D36" s="13"/>
      <c r="E36" s="13"/>
      <c r="F36" s="13"/>
      <c r="G36" s="13"/>
    </row>
    <row r="37" customFormat="false" ht="15" hidden="false" customHeight="false" outlineLevel="0" collapsed="false">
      <c r="A37" s="13" t="s">
        <v>190</v>
      </c>
      <c r="B37" s="13"/>
      <c r="C37" s="13"/>
      <c r="D37" s="13"/>
      <c r="E37" s="13"/>
      <c r="F37" s="13"/>
      <c r="G37" s="13"/>
    </row>
    <row r="38" customFormat="false" ht="15" hidden="false" customHeight="false" outlineLevel="0" collapsed="false">
      <c r="A38" s="13" t="s">
        <v>191</v>
      </c>
      <c r="B38" s="13"/>
      <c r="C38" s="13"/>
      <c r="D38" s="13"/>
      <c r="E38" s="13"/>
      <c r="F38" s="13"/>
      <c r="G38" s="13"/>
    </row>
  </sheetData>
  <mergeCells count="4">
    <mergeCell ref="A35:G35"/>
    <mergeCell ref="A36:G36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8.55" hidden="false" customHeight="false" outlineLevel="0" collapsed="false">
      <c r="A1" s="14" t="s">
        <v>192</v>
      </c>
    </row>
    <row r="2" customFormat="false" ht="15" hidden="false" customHeight="false" outlineLevel="0" collapsed="false">
      <c r="A2" s="15" t="s">
        <v>193</v>
      </c>
    </row>
    <row r="4" customFormat="false" ht="30" hidden="false" customHeight="true" outlineLevel="0" collapsed="false">
      <c r="A4" s="16" t="s">
        <v>194</v>
      </c>
      <c r="B4" s="16" t="s">
        <v>195</v>
      </c>
      <c r="C4" s="16" t="s">
        <v>196</v>
      </c>
      <c r="D4" s="16" t="s">
        <v>197</v>
      </c>
    </row>
    <row r="5" customFormat="false" ht="15" hidden="false" customHeight="false" outlineLevel="0" collapsed="false">
      <c r="A5" s="20" t="s">
        <v>66</v>
      </c>
      <c r="B5" s="8" t="s">
        <v>198</v>
      </c>
      <c r="C5" s="10" t="n">
        <v>5</v>
      </c>
      <c r="D5" s="21" t="s">
        <v>199</v>
      </c>
    </row>
    <row r="6" customFormat="false" ht="15" hidden="false" customHeight="false" outlineLevel="0" collapsed="false">
      <c r="A6" s="22"/>
      <c r="B6" s="8" t="s">
        <v>200</v>
      </c>
      <c r="C6" s="10" t="n">
        <v>4</v>
      </c>
      <c r="D6" s="21"/>
    </row>
    <row r="7" customFormat="false" ht="15" hidden="false" customHeight="false" outlineLevel="0" collapsed="false">
      <c r="A7" s="22"/>
      <c r="B7" s="8" t="s">
        <v>201</v>
      </c>
      <c r="C7" s="10" t="n">
        <v>3</v>
      </c>
      <c r="D7" s="21"/>
    </row>
    <row r="8" customFormat="false" ht="15" hidden="false" customHeight="false" outlineLevel="0" collapsed="false">
      <c r="A8" s="22"/>
      <c r="B8" s="8" t="s">
        <v>202</v>
      </c>
      <c r="C8" s="10" t="n">
        <v>2</v>
      </c>
      <c r="D8" s="21"/>
    </row>
    <row r="9" customFormat="false" ht="15" hidden="false" customHeight="false" outlineLevel="0" collapsed="false">
      <c r="A9" s="22"/>
      <c r="B9" s="23" t="s">
        <v>203</v>
      </c>
      <c r="C9" s="10" t="n">
        <v>1</v>
      </c>
      <c r="D9" s="21"/>
    </row>
    <row r="10" customFormat="false" ht="15" hidden="false" customHeight="false" outlineLevel="0" collapsed="false">
      <c r="A10" s="24" t="s">
        <v>204</v>
      </c>
      <c r="B10" s="8" t="s">
        <v>205</v>
      </c>
      <c r="C10" s="10" t="n">
        <v>5</v>
      </c>
      <c r="D10" s="21" t="s">
        <v>206</v>
      </c>
    </row>
    <row r="11" customFormat="false" ht="15" hidden="false" customHeight="false" outlineLevel="0" collapsed="false">
      <c r="A11" s="22"/>
      <c r="B11" s="8" t="s">
        <v>207</v>
      </c>
      <c r="C11" s="10" t="n">
        <v>4</v>
      </c>
      <c r="D11" s="21"/>
    </row>
    <row r="12" customFormat="false" ht="15" hidden="false" customHeight="false" outlineLevel="0" collapsed="false">
      <c r="A12" s="22"/>
      <c r="B12" s="8" t="s">
        <v>208</v>
      </c>
      <c r="C12" s="10" t="n">
        <v>3</v>
      </c>
      <c r="D12" s="21"/>
    </row>
    <row r="13" customFormat="false" ht="15" hidden="false" customHeight="false" outlineLevel="0" collapsed="false">
      <c r="A13" s="22"/>
      <c r="B13" s="8" t="s">
        <v>209</v>
      </c>
      <c r="C13" s="10" t="n">
        <v>2</v>
      </c>
      <c r="D13" s="21"/>
    </row>
    <row r="14" customFormat="false" ht="15" hidden="false" customHeight="false" outlineLevel="0" collapsed="false">
      <c r="A14" s="22"/>
      <c r="B14" s="8" t="s">
        <v>210</v>
      </c>
      <c r="C14" s="10" t="n">
        <v>1</v>
      </c>
      <c r="D14" s="21"/>
    </row>
    <row r="15" customFormat="false" ht="15" hidden="false" customHeight="false" outlineLevel="0" collapsed="false">
      <c r="A15" s="20" t="s">
        <v>211</v>
      </c>
      <c r="B15" s="23" t="s">
        <v>212</v>
      </c>
      <c r="C15" s="10" t="n">
        <v>2</v>
      </c>
      <c r="D15" s="25" t="s">
        <v>213</v>
      </c>
    </row>
    <row r="16" customFormat="false" ht="15" hidden="false" customHeight="false" outlineLevel="0" collapsed="false">
      <c r="A16" s="22"/>
      <c r="B16" s="23" t="s">
        <v>214</v>
      </c>
      <c r="C16" s="10" t="n">
        <v>0</v>
      </c>
      <c r="D16" s="21"/>
    </row>
    <row r="17" customFormat="false" ht="15" hidden="false" customHeight="false" outlineLevel="0" collapsed="false">
      <c r="A17" s="26" t="s">
        <v>215</v>
      </c>
      <c r="B17" s="27" t="s">
        <v>216</v>
      </c>
      <c r="C17" s="27"/>
      <c r="D17" s="27"/>
    </row>
    <row r="19" customFormat="false" ht="30" hidden="false" customHeight="true" outlineLevel="0" collapsed="false">
      <c r="A19" s="16" t="s">
        <v>217</v>
      </c>
      <c r="B19" s="16" t="s">
        <v>195</v>
      </c>
      <c r="C19" s="16" t="s">
        <v>196</v>
      </c>
      <c r="D19" s="16" t="s">
        <v>218</v>
      </c>
    </row>
    <row r="20" customFormat="false" ht="15" hidden="false" customHeight="false" outlineLevel="0" collapsed="false">
      <c r="A20" s="20" t="s">
        <v>219</v>
      </c>
      <c r="B20" s="8" t="s">
        <v>220</v>
      </c>
      <c r="C20" s="10" t="n">
        <v>5</v>
      </c>
      <c r="D20" s="25" t="s">
        <v>221</v>
      </c>
    </row>
    <row r="21" customFormat="false" ht="15" hidden="false" customHeight="false" outlineLevel="0" collapsed="false">
      <c r="A21" s="22"/>
      <c r="B21" s="8" t="s">
        <v>222</v>
      </c>
      <c r="C21" s="10" t="n">
        <v>4</v>
      </c>
      <c r="D21" s="21"/>
    </row>
    <row r="22" customFormat="false" ht="15" hidden="false" customHeight="false" outlineLevel="0" collapsed="false">
      <c r="A22" s="22"/>
      <c r="B22" s="8" t="s">
        <v>223</v>
      </c>
      <c r="C22" s="10" t="n">
        <v>3</v>
      </c>
      <c r="D22" s="21"/>
    </row>
    <row r="23" customFormat="false" ht="15" hidden="false" customHeight="false" outlineLevel="0" collapsed="false">
      <c r="A23" s="22"/>
      <c r="B23" s="8" t="s">
        <v>224</v>
      </c>
      <c r="C23" s="10" t="n">
        <v>2</v>
      </c>
      <c r="D23" s="21"/>
    </row>
    <row r="24" customFormat="false" ht="15" hidden="false" customHeight="false" outlineLevel="0" collapsed="false">
      <c r="A24" s="22"/>
      <c r="B24" s="8" t="s">
        <v>225</v>
      </c>
      <c r="C24" s="10" t="n">
        <v>1</v>
      </c>
      <c r="D24" s="21"/>
    </row>
    <row r="25" customFormat="false" ht="15" hidden="false" customHeight="false" outlineLevel="0" collapsed="false">
      <c r="A25" s="20" t="s">
        <v>226</v>
      </c>
      <c r="B25" s="8" t="s">
        <v>227</v>
      </c>
      <c r="C25" s="10" t="n">
        <v>5</v>
      </c>
      <c r="D25" s="25" t="s">
        <v>228</v>
      </c>
    </row>
    <row r="26" customFormat="false" ht="15" hidden="false" customHeight="false" outlineLevel="0" collapsed="false">
      <c r="A26" s="22"/>
      <c r="B26" s="8" t="s">
        <v>229</v>
      </c>
      <c r="C26" s="10" t="n">
        <v>4</v>
      </c>
      <c r="D26" s="21"/>
    </row>
    <row r="27" customFormat="false" ht="15" hidden="false" customHeight="false" outlineLevel="0" collapsed="false">
      <c r="A27" s="22"/>
      <c r="B27" s="8" t="s">
        <v>230</v>
      </c>
      <c r="C27" s="10" t="n">
        <v>3</v>
      </c>
      <c r="D27" s="21"/>
    </row>
    <row r="28" customFormat="false" ht="15" hidden="false" customHeight="false" outlineLevel="0" collapsed="false">
      <c r="A28" s="22"/>
      <c r="B28" s="8" t="s">
        <v>231</v>
      </c>
      <c r="C28" s="10" t="n">
        <v>2</v>
      </c>
      <c r="D28" s="21"/>
    </row>
    <row r="29" customFormat="false" ht="15" hidden="false" customHeight="false" outlineLevel="0" collapsed="false">
      <c r="A29" s="22"/>
      <c r="B29" s="8" t="s">
        <v>232</v>
      </c>
      <c r="C29" s="10" t="n">
        <v>1</v>
      </c>
      <c r="D29" s="21"/>
    </row>
    <row r="30" customFormat="false" ht="15" hidden="false" customHeight="false" outlineLevel="0" collapsed="false">
      <c r="A30" s="20" t="s">
        <v>88</v>
      </c>
      <c r="B30" s="8" t="s">
        <v>233</v>
      </c>
      <c r="C30" s="10" t="n">
        <v>5</v>
      </c>
      <c r="D30" s="25" t="s">
        <v>234</v>
      </c>
    </row>
    <row r="31" customFormat="false" ht="15" hidden="false" customHeight="false" outlineLevel="0" collapsed="false">
      <c r="A31" s="22"/>
      <c r="B31" s="8" t="s">
        <v>235</v>
      </c>
      <c r="C31" s="10" t="n">
        <v>4</v>
      </c>
      <c r="D31" s="21"/>
    </row>
    <row r="32" customFormat="false" ht="15" hidden="false" customHeight="false" outlineLevel="0" collapsed="false">
      <c r="A32" s="22"/>
      <c r="B32" s="8" t="s">
        <v>236</v>
      </c>
      <c r="C32" s="10" t="n">
        <v>3</v>
      </c>
      <c r="D32" s="21"/>
    </row>
    <row r="33" customFormat="false" ht="15" hidden="false" customHeight="false" outlineLevel="0" collapsed="false">
      <c r="A33" s="22"/>
      <c r="B33" s="8" t="s">
        <v>237</v>
      </c>
      <c r="C33" s="10" t="n">
        <v>2</v>
      </c>
      <c r="D33" s="21"/>
    </row>
    <row r="34" customFormat="false" ht="15" hidden="false" customHeight="false" outlineLevel="0" collapsed="false">
      <c r="A34" s="22"/>
      <c r="B34" s="8" t="s">
        <v>238</v>
      </c>
      <c r="C34" s="10" t="n">
        <v>1</v>
      </c>
      <c r="D34" s="21"/>
    </row>
    <row r="35" customFormat="false" ht="15" hidden="false" customHeight="false" outlineLevel="0" collapsed="false">
      <c r="A35" s="26" t="s">
        <v>239</v>
      </c>
      <c r="B35" s="27" t="s">
        <v>240</v>
      </c>
      <c r="C35" s="27"/>
      <c r="D35" s="27"/>
    </row>
    <row r="37" customFormat="false" ht="30" hidden="false" customHeight="true" outlineLevel="0" collapsed="false">
      <c r="A37" s="16" t="s">
        <v>241</v>
      </c>
      <c r="B37" s="16" t="s">
        <v>242</v>
      </c>
      <c r="C37" s="16" t="s">
        <v>243</v>
      </c>
      <c r="D37" s="16" t="s">
        <v>244</v>
      </c>
    </row>
    <row r="38" customFormat="false" ht="15" hidden="false" customHeight="false" outlineLevel="0" collapsed="false">
      <c r="A38" s="28" t="s">
        <v>245</v>
      </c>
      <c r="B38" s="10" t="s">
        <v>246</v>
      </c>
      <c r="D38" s="29" t="s">
        <v>247</v>
      </c>
    </row>
    <row r="39" customFormat="false" ht="15" hidden="false" customHeight="false" outlineLevel="0" collapsed="false">
      <c r="A39" s="28" t="s">
        <v>248</v>
      </c>
      <c r="B39" s="10" t="s">
        <v>249</v>
      </c>
      <c r="D39" s="29" t="s">
        <v>250</v>
      </c>
    </row>
    <row r="40" customFormat="false" ht="15" hidden="false" customHeight="false" outlineLevel="0" collapsed="false">
      <c r="A40" s="28" t="s">
        <v>251</v>
      </c>
      <c r="B40" s="10" t="s">
        <v>252</v>
      </c>
      <c r="D40" s="29" t="s">
        <v>253</v>
      </c>
    </row>
    <row r="41" customFormat="false" ht="15" hidden="false" customHeight="false" outlineLevel="0" collapsed="false">
      <c r="A41" s="28" t="s">
        <v>254</v>
      </c>
      <c r="B41" s="10" t="s">
        <v>255</v>
      </c>
      <c r="D41" s="29" t="s">
        <v>256</v>
      </c>
    </row>
  </sheetData>
  <mergeCells count="2">
    <mergeCell ref="B17:D17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2" min="11" style="0" width="7"/>
    <col collapsed="false" customWidth="true" hidden="false" outlineLevel="0" max="13" min="13" style="0" width="8"/>
    <col collapsed="false" customWidth="true" hidden="false" outlineLevel="0" max="14" min="14" style="0" width="5"/>
    <col collapsed="false" customWidth="true" hidden="false" outlineLevel="0" max="17" min="15" style="0" width="7"/>
    <col collapsed="false" customWidth="true" hidden="false" outlineLevel="0" max="18" min="18" style="0" width="5"/>
    <col collapsed="false" customWidth="true" hidden="false" outlineLevel="0" max="19" min="19" style="0" width="8"/>
    <col collapsed="false" customWidth="true" hidden="false" outlineLevel="0" max="20" min="20" style="0" width="7"/>
  </cols>
  <sheetData>
    <row r="1" customFormat="false" ht="23.1" hidden="false" customHeight="false" outlineLevel="0" collapsed="false">
      <c r="A1" s="14" t="s">
        <v>257</v>
      </c>
    </row>
    <row r="2" customFormat="false" ht="15" hidden="false" customHeight="false" outlineLevel="0" collapsed="false">
      <c r="A2" s="15" t="s">
        <v>258</v>
      </c>
    </row>
    <row r="4" customFormat="false" ht="30" hidden="false" customHeight="true" outlineLevel="0" collapsed="false">
      <c r="A4" s="30" t="s">
        <v>259</v>
      </c>
      <c r="B4" s="16" t="s">
        <v>260</v>
      </c>
      <c r="C4" s="16" t="s">
        <v>261</v>
      </c>
      <c r="D4" s="16" t="s">
        <v>262</v>
      </c>
      <c r="E4" s="16" t="s">
        <v>60</v>
      </c>
      <c r="F4" s="16" t="s">
        <v>66</v>
      </c>
      <c r="G4" s="30" t="s">
        <v>71</v>
      </c>
      <c r="H4" s="16" t="s">
        <v>76</v>
      </c>
      <c r="I4" s="16" t="s">
        <v>263</v>
      </c>
      <c r="J4" s="16" t="s">
        <v>88</v>
      </c>
      <c r="K4" s="16" t="s">
        <v>264</v>
      </c>
      <c r="L4" s="30" t="s">
        <v>265</v>
      </c>
      <c r="M4" s="16" t="s">
        <v>266</v>
      </c>
      <c r="N4" s="30" t="s">
        <v>267</v>
      </c>
      <c r="O4" s="16" t="s">
        <v>268</v>
      </c>
      <c r="P4" s="16" t="s">
        <v>269</v>
      </c>
      <c r="Q4" s="16" t="s">
        <v>270</v>
      </c>
      <c r="R4" s="30" t="s">
        <v>81</v>
      </c>
      <c r="S4" s="16" t="s">
        <v>271</v>
      </c>
      <c r="T4" s="16" t="s">
        <v>272</v>
      </c>
    </row>
    <row r="5" customFormat="false" ht="15" hidden="false" customHeight="false" outlineLevel="0" collapsed="false">
      <c r="A5" s="10" t="n">
        <v>1</v>
      </c>
      <c r="B5" s="24" t="s">
        <v>273</v>
      </c>
      <c r="C5" s="31" t="s">
        <v>274</v>
      </c>
      <c r="D5" s="32" t="s">
        <v>275</v>
      </c>
      <c r="E5" s="33" t="s">
        <v>150</v>
      </c>
      <c r="F5" s="33" t="n">
        <v>441</v>
      </c>
      <c r="G5" s="34" t="n">
        <v>0.21</v>
      </c>
      <c r="H5" s="35" t="s">
        <v>276</v>
      </c>
      <c r="I5" s="36" t="n">
        <v>5095861</v>
      </c>
      <c r="J5" s="33" t="n">
        <v>18</v>
      </c>
      <c r="K5" s="10" t="n">
        <f aca="false">IF(F5&gt;180,5,IF(F5&gt;90,4,IF(F5&gt;30,3,IF(F5&gt;0,2,1))))</f>
        <v>5</v>
      </c>
      <c r="L5" s="10" t="n">
        <f aca="false">IF(G5="",1,IF(G5&lt;0.4,5,IF(G5&lt;0.6,4,IF(G5&lt;0.8,3,IF(G5&lt;0.95,2,1)))))</f>
        <v>5</v>
      </c>
      <c r="M5" s="10" t="n">
        <f aca="false">IF(H5="是",2,0)</f>
        <v>0</v>
      </c>
      <c r="N5" s="28" t="n">
        <f aca="false">MAX(1,MIN(5,ROUND((K5+L5+M5)/2,0)))</f>
        <v>5</v>
      </c>
      <c r="O5" s="10" t="n">
        <f aca="false">IF(E5="K",5,IF(E5="D",4,IF(E5="M",3,IF(E5="E",2,1))))</f>
        <v>5</v>
      </c>
      <c r="P5" s="10" t="n">
        <f aca="false">IF(I5&gt;5000000,5,IF(I5&gt;2000000,4,IF(I5&gt;800000,3,IF(I5&gt;200000,2,1))))</f>
        <v>5</v>
      </c>
      <c r="Q5" s="10" t="n">
        <f aca="false">IF(J5&gt;=8,5,IF(J5&gt;=6,4,IF(J5&gt;=4,3,IF(J5&gt;=2,2,1))))</f>
        <v>5</v>
      </c>
      <c r="R5" s="28" t="n">
        <f aca="false">MAX(1,MIN(5,ROUND(O5*0.4+P5*0.4+Q5*0.2,0)))</f>
        <v>5</v>
      </c>
      <c r="S5" s="28" t="n">
        <f aca="false">N5*R5</f>
        <v>25</v>
      </c>
      <c r="T5" s="10" t="str">
        <f aca="false">IF(S5&gt;=20,"極高",IF(S5&gt;=12,"高",IF(S5&gt;=6,"中","低")))</f>
        <v>極高</v>
      </c>
    </row>
    <row r="6" customFormat="false" ht="15" hidden="false" customHeight="false" outlineLevel="0" collapsed="false">
      <c r="A6" s="10" t="n">
        <v>2</v>
      </c>
      <c r="B6" s="24" t="s">
        <v>277</v>
      </c>
      <c r="C6" s="31" t="s">
        <v>278</v>
      </c>
      <c r="D6" s="32" t="s">
        <v>279</v>
      </c>
      <c r="E6" s="33" t="s">
        <v>280</v>
      </c>
      <c r="F6" s="33" t="n">
        <v>472</v>
      </c>
      <c r="G6" s="34" t="n">
        <v>0.16</v>
      </c>
      <c r="H6" s="35" t="s">
        <v>276</v>
      </c>
      <c r="I6" s="36" t="n">
        <v>2549601</v>
      </c>
      <c r="J6" s="33" t="n">
        <v>9</v>
      </c>
      <c r="K6" s="10" t="n">
        <f aca="false">IF(F6&gt;180,5,IF(F6&gt;90,4,IF(F6&gt;30,3,IF(F6&gt;0,2,1))))</f>
        <v>5</v>
      </c>
      <c r="L6" s="10" t="n">
        <f aca="false">IF(G6="",1,IF(G6&lt;0.4,5,IF(G6&lt;0.6,4,IF(G6&lt;0.8,3,IF(G6&lt;0.95,2,1)))))</f>
        <v>5</v>
      </c>
      <c r="M6" s="10" t="n">
        <f aca="false">IF(H6="是",2,0)</f>
        <v>0</v>
      </c>
      <c r="N6" s="28" t="n">
        <f aca="false">MAX(1,MIN(5,ROUND((K6+L6+M6)/2,0)))</f>
        <v>5</v>
      </c>
      <c r="O6" s="10" t="n">
        <f aca="false">IF(E6="K",5,IF(E6="D",4,IF(E6="M",3,IF(E6="E",2,1))))</f>
        <v>4</v>
      </c>
      <c r="P6" s="10" t="n">
        <f aca="false">IF(I6&gt;5000000,5,IF(I6&gt;2000000,4,IF(I6&gt;800000,3,IF(I6&gt;200000,2,1))))</f>
        <v>4</v>
      </c>
      <c r="Q6" s="10" t="n">
        <f aca="false">IF(J6&gt;=8,5,IF(J6&gt;=6,4,IF(J6&gt;=4,3,IF(J6&gt;=2,2,1))))</f>
        <v>5</v>
      </c>
      <c r="R6" s="28" t="n">
        <f aca="false">MAX(1,MIN(5,ROUND(O6*0.4+P6*0.4+Q6*0.2,0)))</f>
        <v>4</v>
      </c>
      <c r="S6" s="28" t="n">
        <f aca="false">N6*R6</f>
        <v>20</v>
      </c>
      <c r="T6" s="10" t="str">
        <f aca="false">IF(S6&gt;=20,"極高",IF(S6&gt;=12,"高",IF(S6&gt;=6,"中","低")))</f>
        <v>極高</v>
      </c>
    </row>
    <row r="7" customFormat="false" ht="15" hidden="false" customHeight="false" outlineLevel="0" collapsed="false">
      <c r="A7" s="10" t="n">
        <v>3</v>
      </c>
      <c r="B7" s="24" t="s">
        <v>281</v>
      </c>
      <c r="C7" s="32" t="s">
        <v>282</v>
      </c>
      <c r="D7" s="32" t="s">
        <v>279</v>
      </c>
      <c r="E7" s="33" t="s">
        <v>154</v>
      </c>
      <c r="F7" s="33" t="n">
        <v>326</v>
      </c>
      <c r="G7" s="34" t="n">
        <v>0.19</v>
      </c>
      <c r="H7" s="35" t="s">
        <v>276</v>
      </c>
      <c r="I7" s="36" t="n">
        <v>2443934</v>
      </c>
      <c r="J7" s="33" t="n">
        <v>8</v>
      </c>
      <c r="K7" s="10" t="n">
        <f aca="false">IF(F7&gt;180,5,IF(F7&gt;90,4,IF(F7&gt;30,3,IF(F7&gt;0,2,1))))</f>
        <v>5</v>
      </c>
      <c r="L7" s="10" t="n">
        <f aca="false">IF(G7="",1,IF(G7&lt;0.4,5,IF(G7&lt;0.6,4,IF(G7&lt;0.8,3,IF(G7&lt;0.95,2,1)))))</f>
        <v>5</v>
      </c>
      <c r="M7" s="10" t="n">
        <f aca="false">IF(H7="是",2,0)</f>
        <v>0</v>
      </c>
      <c r="N7" s="28" t="n">
        <f aca="false">MAX(1,MIN(5,ROUND((K7+L7+M7)/2,0)))</f>
        <v>5</v>
      </c>
      <c r="O7" s="10" t="n">
        <f aca="false">IF(E7="K",5,IF(E7="D",4,IF(E7="M",3,IF(E7="E",2,1))))</f>
        <v>3</v>
      </c>
      <c r="P7" s="10" t="n">
        <f aca="false">IF(I7&gt;5000000,5,IF(I7&gt;2000000,4,IF(I7&gt;800000,3,IF(I7&gt;200000,2,1))))</f>
        <v>4</v>
      </c>
      <c r="Q7" s="10" t="n">
        <f aca="false">IF(J7&gt;=8,5,IF(J7&gt;=6,4,IF(J7&gt;=4,3,IF(J7&gt;=2,2,1))))</f>
        <v>5</v>
      </c>
      <c r="R7" s="28" t="n">
        <f aca="false">MAX(1,MIN(5,ROUND(O7*0.4+P7*0.4+Q7*0.2,0)))</f>
        <v>4</v>
      </c>
      <c r="S7" s="28" t="n">
        <f aca="false">N7*R7</f>
        <v>20</v>
      </c>
      <c r="T7" s="10" t="str">
        <f aca="false">IF(S7&gt;=20,"極高",IF(S7&gt;=12,"高",IF(S7&gt;=6,"中","低")))</f>
        <v>極高</v>
      </c>
    </row>
    <row r="8" customFormat="false" ht="15" hidden="false" customHeight="false" outlineLevel="0" collapsed="false">
      <c r="A8" s="10" t="n">
        <v>4</v>
      </c>
      <c r="B8" s="24" t="s">
        <v>283</v>
      </c>
      <c r="C8" s="31" t="s">
        <v>284</v>
      </c>
      <c r="D8" s="32" t="s">
        <v>285</v>
      </c>
      <c r="E8" s="33" t="s">
        <v>280</v>
      </c>
      <c r="F8" s="33" t="n">
        <v>136</v>
      </c>
      <c r="G8" s="34" t="n">
        <v>0.28</v>
      </c>
      <c r="H8" s="35" t="s">
        <v>276</v>
      </c>
      <c r="I8" s="36" t="n">
        <v>866748</v>
      </c>
      <c r="J8" s="33" t="n">
        <v>6</v>
      </c>
      <c r="K8" s="10" t="n">
        <f aca="false">IF(F8&gt;180,5,IF(F8&gt;90,4,IF(F8&gt;30,3,IF(F8&gt;0,2,1))))</f>
        <v>4</v>
      </c>
      <c r="L8" s="10" t="n">
        <f aca="false">IF(G8="",1,IF(G8&lt;0.4,5,IF(G8&lt;0.6,4,IF(G8&lt;0.8,3,IF(G8&lt;0.95,2,1)))))</f>
        <v>5</v>
      </c>
      <c r="M8" s="10" t="n">
        <f aca="false">IF(H8="是",2,0)</f>
        <v>0</v>
      </c>
      <c r="N8" s="28" t="n">
        <f aca="false">MAX(1,MIN(5,ROUND((K8+L8+M8)/2,0)))</f>
        <v>5</v>
      </c>
      <c r="O8" s="10" t="n">
        <f aca="false">IF(E8="K",5,IF(E8="D",4,IF(E8="M",3,IF(E8="E",2,1))))</f>
        <v>4</v>
      </c>
      <c r="P8" s="10" t="n">
        <f aca="false">IF(I8&gt;5000000,5,IF(I8&gt;2000000,4,IF(I8&gt;800000,3,IF(I8&gt;200000,2,1))))</f>
        <v>3</v>
      </c>
      <c r="Q8" s="10" t="n">
        <f aca="false">IF(J8&gt;=8,5,IF(J8&gt;=6,4,IF(J8&gt;=4,3,IF(J8&gt;=2,2,1))))</f>
        <v>4</v>
      </c>
      <c r="R8" s="28" t="n">
        <f aca="false">MAX(1,MIN(5,ROUND(O8*0.4+P8*0.4+Q8*0.2,0)))</f>
        <v>4</v>
      </c>
      <c r="S8" s="28" t="n">
        <f aca="false">N8*R8</f>
        <v>20</v>
      </c>
      <c r="T8" s="10" t="str">
        <f aca="false">IF(S8&gt;=20,"極高",IF(S8&gt;=12,"高",IF(S8&gt;=6,"中","低")))</f>
        <v>極高</v>
      </c>
    </row>
    <row r="9" customFormat="false" ht="15" hidden="false" customHeight="false" outlineLevel="0" collapsed="false">
      <c r="A9" s="10" t="n">
        <v>5</v>
      </c>
      <c r="B9" s="24" t="s">
        <v>286</v>
      </c>
      <c r="C9" s="31" t="s">
        <v>287</v>
      </c>
      <c r="D9" s="32" t="s">
        <v>279</v>
      </c>
      <c r="E9" s="33" t="s">
        <v>154</v>
      </c>
      <c r="F9" s="33" t="n">
        <v>120</v>
      </c>
      <c r="G9" s="34" t="n">
        <v>0.35</v>
      </c>
      <c r="H9" s="35" t="s">
        <v>276</v>
      </c>
      <c r="I9" s="36" t="n">
        <v>4962281</v>
      </c>
      <c r="J9" s="33" t="n">
        <v>13</v>
      </c>
      <c r="K9" s="10" t="n">
        <f aca="false">IF(F9&gt;180,5,IF(F9&gt;90,4,IF(F9&gt;30,3,IF(F9&gt;0,2,1))))</f>
        <v>4</v>
      </c>
      <c r="L9" s="10" t="n">
        <f aca="false">IF(G9="",1,IF(G9&lt;0.4,5,IF(G9&lt;0.6,4,IF(G9&lt;0.8,3,IF(G9&lt;0.95,2,1)))))</f>
        <v>5</v>
      </c>
      <c r="M9" s="10" t="n">
        <f aca="false">IF(H9="是",2,0)</f>
        <v>0</v>
      </c>
      <c r="N9" s="28" t="n">
        <f aca="false">MAX(1,MIN(5,ROUND((K9+L9+M9)/2,0)))</f>
        <v>5</v>
      </c>
      <c r="O9" s="10" t="n">
        <f aca="false">IF(E9="K",5,IF(E9="D",4,IF(E9="M",3,IF(E9="E",2,1))))</f>
        <v>3</v>
      </c>
      <c r="P9" s="10" t="n">
        <f aca="false">IF(I9&gt;5000000,5,IF(I9&gt;2000000,4,IF(I9&gt;800000,3,IF(I9&gt;200000,2,1))))</f>
        <v>4</v>
      </c>
      <c r="Q9" s="10" t="n">
        <f aca="false">IF(J9&gt;=8,5,IF(J9&gt;=6,4,IF(J9&gt;=4,3,IF(J9&gt;=2,2,1))))</f>
        <v>5</v>
      </c>
      <c r="R9" s="28" t="n">
        <f aca="false">MAX(1,MIN(5,ROUND(O9*0.4+P9*0.4+Q9*0.2,0)))</f>
        <v>4</v>
      </c>
      <c r="S9" s="28" t="n">
        <f aca="false">N9*R9</f>
        <v>20</v>
      </c>
      <c r="T9" s="10" t="str">
        <f aca="false">IF(S9&gt;=20,"極高",IF(S9&gt;=12,"高",IF(S9&gt;=6,"中","低")))</f>
        <v>極高</v>
      </c>
    </row>
    <row r="10" customFormat="false" ht="15" hidden="false" customHeight="false" outlineLevel="0" collapsed="false">
      <c r="A10" s="10" t="n">
        <v>6</v>
      </c>
      <c r="B10" s="24" t="s">
        <v>288</v>
      </c>
      <c r="C10" s="31" t="s">
        <v>289</v>
      </c>
      <c r="D10" s="32" t="s">
        <v>290</v>
      </c>
      <c r="E10" s="33" t="s">
        <v>150</v>
      </c>
      <c r="F10" s="33" t="n">
        <v>0</v>
      </c>
      <c r="G10" s="34" t="n">
        <v>0.51</v>
      </c>
      <c r="H10" s="35" t="s">
        <v>291</v>
      </c>
      <c r="I10" s="36" t="n">
        <v>8040110</v>
      </c>
      <c r="J10" s="33" t="n">
        <v>14</v>
      </c>
      <c r="K10" s="10" t="n">
        <f aca="false">IF(F10&gt;180,5,IF(F10&gt;90,4,IF(F10&gt;30,3,IF(F10&gt;0,2,1))))</f>
        <v>1</v>
      </c>
      <c r="L10" s="10" t="n">
        <f aca="false">IF(G10="",1,IF(G10&lt;0.4,5,IF(G10&lt;0.6,4,IF(G10&lt;0.8,3,IF(G10&lt;0.95,2,1)))))</f>
        <v>4</v>
      </c>
      <c r="M10" s="10" t="n">
        <f aca="false">IF(H10="是",2,0)</f>
        <v>2</v>
      </c>
      <c r="N10" s="28" t="n">
        <f aca="false">MAX(1,MIN(5,ROUND((K10+L10+M10)/2,0)))</f>
        <v>4</v>
      </c>
      <c r="O10" s="10" t="n">
        <f aca="false">IF(E10="K",5,IF(E10="D",4,IF(E10="M",3,IF(E10="E",2,1))))</f>
        <v>5</v>
      </c>
      <c r="P10" s="10" t="n">
        <f aca="false">IF(I10&gt;5000000,5,IF(I10&gt;2000000,4,IF(I10&gt;800000,3,IF(I10&gt;200000,2,1))))</f>
        <v>5</v>
      </c>
      <c r="Q10" s="10" t="n">
        <f aca="false">IF(J10&gt;=8,5,IF(J10&gt;=6,4,IF(J10&gt;=4,3,IF(J10&gt;=2,2,1))))</f>
        <v>5</v>
      </c>
      <c r="R10" s="28" t="n">
        <f aca="false">MAX(1,MIN(5,ROUND(O10*0.4+P10*0.4+Q10*0.2,0)))</f>
        <v>5</v>
      </c>
      <c r="S10" s="28" t="n">
        <f aca="false">N10*R10</f>
        <v>20</v>
      </c>
      <c r="T10" s="10" t="str">
        <f aca="false">IF(S10&gt;=20,"極高",IF(S10&gt;=12,"高",IF(S10&gt;=6,"中","低")))</f>
        <v>極高</v>
      </c>
    </row>
    <row r="11" customFormat="false" ht="15" hidden="false" customHeight="false" outlineLevel="0" collapsed="false">
      <c r="A11" s="10" t="n">
        <v>7</v>
      </c>
      <c r="B11" s="24" t="s">
        <v>292</v>
      </c>
      <c r="C11" s="32" t="s">
        <v>293</v>
      </c>
      <c r="D11" s="32" t="s">
        <v>294</v>
      </c>
      <c r="E11" s="33" t="s">
        <v>150</v>
      </c>
      <c r="F11" s="33" t="n">
        <v>0</v>
      </c>
      <c r="G11" s="34" t="n">
        <v>0.23</v>
      </c>
      <c r="H11" s="35" t="s">
        <v>291</v>
      </c>
      <c r="I11" s="36" t="n">
        <v>4763845</v>
      </c>
      <c r="J11" s="33" t="n">
        <v>16</v>
      </c>
      <c r="K11" s="10" t="n">
        <f aca="false">IF(F11&gt;180,5,IF(F11&gt;90,4,IF(F11&gt;30,3,IF(F11&gt;0,2,1))))</f>
        <v>1</v>
      </c>
      <c r="L11" s="10" t="n">
        <f aca="false">IF(G11="",1,IF(G11&lt;0.4,5,IF(G11&lt;0.6,4,IF(G11&lt;0.8,3,IF(G11&lt;0.95,2,1)))))</f>
        <v>5</v>
      </c>
      <c r="M11" s="10" t="n">
        <f aca="false">IF(H11="是",2,0)</f>
        <v>2</v>
      </c>
      <c r="N11" s="28" t="n">
        <f aca="false">MAX(1,MIN(5,ROUND((K11+L11+M11)/2,0)))</f>
        <v>4</v>
      </c>
      <c r="O11" s="10" t="n">
        <f aca="false">IF(E11="K",5,IF(E11="D",4,IF(E11="M",3,IF(E11="E",2,1))))</f>
        <v>5</v>
      </c>
      <c r="P11" s="10" t="n">
        <f aca="false">IF(I11&gt;5000000,5,IF(I11&gt;2000000,4,IF(I11&gt;800000,3,IF(I11&gt;200000,2,1))))</f>
        <v>4</v>
      </c>
      <c r="Q11" s="10" t="n">
        <f aca="false">IF(J11&gt;=8,5,IF(J11&gt;=6,4,IF(J11&gt;=4,3,IF(J11&gt;=2,2,1))))</f>
        <v>5</v>
      </c>
      <c r="R11" s="28" t="n">
        <f aca="false">MAX(1,MIN(5,ROUND(O11*0.4+P11*0.4+Q11*0.2,0)))</f>
        <v>5</v>
      </c>
      <c r="S11" s="28" t="n">
        <f aca="false">N11*R11</f>
        <v>20</v>
      </c>
      <c r="T11" s="10" t="str">
        <f aca="false">IF(S11&gt;=20,"極高",IF(S11&gt;=12,"高",IF(S11&gt;=6,"中","低")))</f>
        <v>極高</v>
      </c>
    </row>
    <row r="12" customFormat="false" ht="15" hidden="false" customHeight="false" outlineLevel="0" collapsed="false">
      <c r="A12" s="10" t="n">
        <v>8</v>
      </c>
      <c r="B12" s="24" t="s">
        <v>295</v>
      </c>
      <c r="C12" s="32" t="s">
        <v>296</v>
      </c>
      <c r="D12" s="32" t="s">
        <v>297</v>
      </c>
      <c r="E12" s="33" t="s">
        <v>154</v>
      </c>
      <c r="F12" s="33" t="n">
        <v>58</v>
      </c>
      <c r="G12" s="34" t="n">
        <v>0.56</v>
      </c>
      <c r="H12" s="35" t="s">
        <v>276</v>
      </c>
      <c r="I12" s="36" t="n">
        <v>5913818</v>
      </c>
      <c r="J12" s="33" t="n">
        <v>9</v>
      </c>
      <c r="K12" s="10" t="n">
        <f aca="false">IF(F12&gt;180,5,IF(F12&gt;90,4,IF(F12&gt;30,3,IF(F12&gt;0,2,1))))</f>
        <v>3</v>
      </c>
      <c r="L12" s="10" t="n">
        <f aca="false">IF(G12="",1,IF(G12&lt;0.4,5,IF(G12&lt;0.6,4,IF(G12&lt;0.8,3,IF(G12&lt;0.95,2,1)))))</f>
        <v>4</v>
      </c>
      <c r="M12" s="10" t="n">
        <f aca="false">IF(H12="是",2,0)</f>
        <v>0</v>
      </c>
      <c r="N12" s="28" t="n">
        <f aca="false">MAX(1,MIN(5,ROUND((K12+L12+M12)/2,0)))</f>
        <v>4</v>
      </c>
      <c r="O12" s="10" t="n">
        <f aca="false">IF(E12="K",5,IF(E12="D",4,IF(E12="M",3,IF(E12="E",2,1))))</f>
        <v>3</v>
      </c>
      <c r="P12" s="10" t="n">
        <f aca="false">IF(I12&gt;5000000,5,IF(I12&gt;2000000,4,IF(I12&gt;800000,3,IF(I12&gt;200000,2,1))))</f>
        <v>5</v>
      </c>
      <c r="Q12" s="10" t="n">
        <f aca="false">IF(J12&gt;=8,5,IF(J12&gt;=6,4,IF(J12&gt;=4,3,IF(J12&gt;=2,2,1))))</f>
        <v>5</v>
      </c>
      <c r="R12" s="28" t="n">
        <f aca="false">MAX(1,MIN(5,ROUND(O12*0.4+P12*0.4+Q12*0.2,0)))</f>
        <v>4</v>
      </c>
      <c r="S12" s="28" t="n">
        <f aca="false">N12*R12</f>
        <v>16</v>
      </c>
      <c r="T12" s="10" t="str">
        <f aca="false">IF(S12&gt;=20,"極高",IF(S12&gt;=12,"高",IF(S12&gt;=6,"中","低")))</f>
        <v>高</v>
      </c>
    </row>
    <row r="13" customFormat="false" ht="15" hidden="false" customHeight="false" outlineLevel="0" collapsed="false">
      <c r="A13" s="10" t="n">
        <v>9</v>
      </c>
      <c r="B13" s="24" t="s">
        <v>298</v>
      </c>
      <c r="C13" s="31" t="s">
        <v>299</v>
      </c>
      <c r="D13" s="32" t="s">
        <v>275</v>
      </c>
      <c r="E13" s="33" t="s">
        <v>150</v>
      </c>
      <c r="F13" s="33" t="n">
        <v>46</v>
      </c>
      <c r="G13" s="34" t="n">
        <v>0.27</v>
      </c>
      <c r="H13" s="35" t="s">
        <v>276</v>
      </c>
      <c r="I13" s="36" t="n">
        <v>1255295</v>
      </c>
      <c r="J13" s="33" t="n">
        <v>12</v>
      </c>
      <c r="K13" s="10" t="n">
        <f aca="false">IF(F13&gt;180,5,IF(F13&gt;90,4,IF(F13&gt;30,3,IF(F13&gt;0,2,1))))</f>
        <v>3</v>
      </c>
      <c r="L13" s="10" t="n">
        <f aca="false">IF(G13="",1,IF(G13&lt;0.4,5,IF(G13&lt;0.6,4,IF(G13&lt;0.8,3,IF(G13&lt;0.95,2,1)))))</f>
        <v>5</v>
      </c>
      <c r="M13" s="10" t="n">
        <f aca="false">IF(H13="是",2,0)</f>
        <v>0</v>
      </c>
      <c r="N13" s="28" t="n">
        <f aca="false">MAX(1,MIN(5,ROUND((K13+L13+M13)/2,0)))</f>
        <v>4</v>
      </c>
      <c r="O13" s="10" t="n">
        <f aca="false">IF(E13="K",5,IF(E13="D",4,IF(E13="M",3,IF(E13="E",2,1))))</f>
        <v>5</v>
      </c>
      <c r="P13" s="10" t="n">
        <f aca="false">IF(I13&gt;5000000,5,IF(I13&gt;2000000,4,IF(I13&gt;800000,3,IF(I13&gt;200000,2,1))))</f>
        <v>3</v>
      </c>
      <c r="Q13" s="10" t="n">
        <f aca="false">IF(J13&gt;=8,5,IF(J13&gt;=6,4,IF(J13&gt;=4,3,IF(J13&gt;=2,2,1))))</f>
        <v>5</v>
      </c>
      <c r="R13" s="28" t="n">
        <f aca="false">MAX(1,MIN(5,ROUND(O13*0.4+P13*0.4+Q13*0.2,0)))</f>
        <v>4</v>
      </c>
      <c r="S13" s="28" t="n">
        <f aca="false">N13*R13</f>
        <v>16</v>
      </c>
      <c r="T13" s="10" t="str">
        <f aca="false">IF(S13&gt;=20,"極高",IF(S13&gt;=12,"高",IF(S13&gt;=6,"中","低")))</f>
        <v>高</v>
      </c>
    </row>
    <row r="14" customFormat="false" ht="15" hidden="false" customHeight="false" outlineLevel="0" collapsed="false">
      <c r="A14" s="10" t="n">
        <v>10</v>
      </c>
      <c r="B14" s="24" t="s">
        <v>300</v>
      </c>
      <c r="C14" s="32" t="s">
        <v>301</v>
      </c>
      <c r="D14" s="32" t="s">
        <v>285</v>
      </c>
      <c r="E14" s="33" t="s">
        <v>280</v>
      </c>
      <c r="F14" s="33" t="n">
        <v>135</v>
      </c>
      <c r="G14" s="34" t="n">
        <v>0.4</v>
      </c>
      <c r="H14" s="35" t="s">
        <v>276</v>
      </c>
      <c r="I14" s="36" t="n">
        <v>489060</v>
      </c>
      <c r="J14" s="33" t="n">
        <v>10</v>
      </c>
      <c r="K14" s="10" t="n">
        <f aca="false">IF(F14&gt;180,5,IF(F14&gt;90,4,IF(F14&gt;30,3,IF(F14&gt;0,2,1))))</f>
        <v>4</v>
      </c>
      <c r="L14" s="10" t="n">
        <f aca="false">IF(G14="",1,IF(G14&lt;0.4,5,IF(G14&lt;0.6,4,IF(G14&lt;0.8,3,IF(G14&lt;0.95,2,1)))))</f>
        <v>4</v>
      </c>
      <c r="M14" s="10" t="n">
        <f aca="false">IF(H14="是",2,0)</f>
        <v>0</v>
      </c>
      <c r="N14" s="28" t="n">
        <f aca="false">MAX(1,MIN(5,ROUND((K14+L14+M14)/2,0)))</f>
        <v>4</v>
      </c>
      <c r="O14" s="10" t="n">
        <f aca="false">IF(E14="K",5,IF(E14="D",4,IF(E14="M",3,IF(E14="E",2,1))))</f>
        <v>4</v>
      </c>
      <c r="P14" s="10" t="n">
        <f aca="false">IF(I14&gt;5000000,5,IF(I14&gt;2000000,4,IF(I14&gt;800000,3,IF(I14&gt;200000,2,1))))</f>
        <v>2</v>
      </c>
      <c r="Q14" s="10" t="n">
        <f aca="false">IF(J14&gt;=8,5,IF(J14&gt;=6,4,IF(J14&gt;=4,3,IF(J14&gt;=2,2,1))))</f>
        <v>5</v>
      </c>
      <c r="R14" s="28" t="n">
        <f aca="false">MAX(1,MIN(5,ROUND(O14*0.4+P14*0.4+Q14*0.2,0)))</f>
        <v>3</v>
      </c>
      <c r="S14" s="28" t="n">
        <f aca="false">N14*R14</f>
        <v>12</v>
      </c>
      <c r="T14" s="10" t="str">
        <f aca="false">IF(S14&gt;=20,"極高",IF(S14&gt;=12,"高",IF(S14&gt;=6,"中","低")))</f>
        <v>高</v>
      </c>
    </row>
    <row r="15" customFormat="false" ht="15" hidden="false" customHeight="false" outlineLevel="0" collapsed="false">
      <c r="A15" s="10" t="n">
        <v>11</v>
      </c>
      <c r="B15" s="24" t="s">
        <v>302</v>
      </c>
      <c r="C15" s="32" t="s">
        <v>303</v>
      </c>
      <c r="D15" s="32" t="s">
        <v>285</v>
      </c>
      <c r="E15" s="33" t="s">
        <v>280</v>
      </c>
      <c r="F15" s="33" t="n">
        <v>15</v>
      </c>
      <c r="G15" s="34" t="n">
        <v>0.75</v>
      </c>
      <c r="H15" s="35" t="s">
        <v>276</v>
      </c>
      <c r="I15" s="36" t="n">
        <v>1062354</v>
      </c>
      <c r="J15" s="33" t="n">
        <v>10</v>
      </c>
      <c r="K15" s="10" t="n">
        <f aca="false">IF(F15&gt;180,5,IF(F15&gt;90,4,IF(F15&gt;30,3,IF(F15&gt;0,2,1))))</f>
        <v>2</v>
      </c>
      <c r="L15" s="10" t="n">
        <f aca="false">IF(G15="",1,IF(G15&lt;0.4,5,IF(G15&lt;0.6,4,IF(G15&lt;0.8,3,IF(G15&lt;0.95,2,1)))))</f>
        <v>3</v>
      </c>
      <c r="M15" s="10" t="n">
        <f aca="false">IF(H15="是",2,0)</f>
        <v>0</v>
      </c>
      <c r="N15" s="28" t="n">
        <f aca="false">MAX(1,MIN(5,ROUND((K15+L15+M15)/2,0)))</f>
        <v>3</v>
      </c>
      <c r="O15" s="10" t="n">
        <f aca="false">IF(E15="K",5,IF(E15="D",4,IF(E15="M",3,IF(E15="E",2,1))))</f>
        <v>4</v>
      </c>
      <c r="P15" s="10" t="n">
        <f aca="false">IF(I15&gt;5000000,5,IF(I15&gt;2000000,4,IF(I15&gt;800000,3,IF(I15&gt;200000,2,1))))</f>
        <v>3</v>
      </c>
      <c r="Q15" s="10" t="n">
        <f aca="false">IF(J15&gt;=8,5,IF(J15&gt;=6,4,IF(J15&gt;=4,3,IF(J15&gt;=2,2,1))))</f>
        <v>5</v>
      </c>
      <c r="R15" s="28" t="n">
        <f aca="false">MAX(1,MIN(5,ROUND(O15*0.4+P15*0.4+Q15*0.2,0)))</f>
        <v>4</v>
      </c>
      <c r="S15" s="28" t="n">
        <f aca="false">N15*R15</f>
        <v>12</v>
      </c>
      <c r="T15" s="10" t="str">
        <f aca="false">IF(S15&gt;=20,"極高",IF(S15&gt;=12,"高",IF(S15&gt;=6,"中","低")))</f>
        <v>高</v>
      </c>
    </row>
    <row r="16" customFormat="false" ht="15" hidden="false" customHeight="false" outlineLevel="0" collapsed="false">
      <c r="A16" s="10" t="n">
        <v>12</v>
      </c>
      <c r="B16" s="24" t="s">
        <v>304</v>
      </c>
      <c r="C16" s="32" t="s">
        <v>305</v>
      </c>
      <c r="D16" s="32" t="s">
        <v>297</v>
      </c>
      <c r="E16" s="33" t="s">
        <v>280</v>
      </c>
      <c r="F16" s="33" t="n">
        <v>0</v>
      </c>
      <c r="G16" s="34" t="n">
        <v>0.39</v>
      </c>
      <c r="H16" s="35" t="s">
        <v>291</v>
      </c>
      <c r="I16" s="36" t="n">
        <v>222444</v>
      </c>
      <c r="J16" s="33" t="n">
        <v>3</v>
      </c>
      <c r="K16" s="10" t="n">
        <f aca="false">IF(F16&gt;180,5,IF(F16&gt;90,4,IF(F16&gt;30,3,IF(F16&gt;0,2,1))))</f>
        <v>1</v>
      </c>
      <c r="L16" s="10" t="n">
        <f aca="false">IF(G16="",1,IF(G16&lt;0.4,5,IF(G16&lt;0.6,4,IF(G16&lt;0.8,3,IF(G16&lt;0.95,2,1)))))</f>
        <v>5</v>
      </c>
      <c r="M16" s="10" t="n">
        <f aca="false">IF(H16="是",2,0)</f>
        <v>2</v>
      </c>
      <c r="N16" s="28" t="n">
        <f aca="false">MAX(1,MIN(5,ROUND((K16+L16+M16)/2,0)))</f>
        <v>4</v>
      </c>
      <c r="O16" s="10" t="n">
        <f aca="false">IF(E16="K",5,IF(E16="D",4,IF(E16="M",3,IF(E16="E",2,1))))</f>
        <v>4</v>
      </c>
      <c r="P16" s="10" t="n">
        <f aca="false">IF(I16&gt;5000000,5,IF(I16&gt;2000000,4,IF(I16&gt;800000,3,IF(I16&gt;200000,2,1))))</f>
        <v>2</v>
      </c>
      <c r="Q16" s="10" t="n">
        <f aca="false">IF(J16&gt;=8,5,IF(J16&gt;=6,4,IF(J16&gt;=4,3,IF(J16&gt;=2,2,1))))</f>
        <v>2</v>
      </c>
      <c r="R16" s="28" t="n">
        <f aca="false">MAX(1,MIN(5,ROUND(O16*0.4+P16*0.4+Q16*0.2,0)))</f>
        <v>3</v>
      </c>
      <c r="S16" s="28" t="n">
        <f aca="false">N16*R16</f>
        <v>12</v>
      </c>
      <c r="T16" s="10" t="str">
        <f aca="false">IF(S16&gt;=20,"極高",IF(S16&gt;=12,"高",IF(S16&gt;=6,"中","低")))</f>
        <v>高</v>
      </c>
    </row>
    <row r="17" customFormat="false" ht="15" hidden="false" customHeight="false" outlineLevel="0" collapsed="false">
      <c r="A17" s="10" t="n">
        <v>13</v>
      </c>
      <c r="B17" s="24" t="s">
        <v>306</v>
      </c>
      <c r="C17" s="32" t="s">
        <v>307</v>
      </c>
      <c r="D17" s="32" t="s">
        <v>275</v>
      </c>
      <c r="E17" s="33" t="s">
        <v>280</v>
      </c>
      <c r="F17" s="33" t="n">
        <v>0</v>
      </c>
      <c r="G17" s="34" t="n">
        <v>0.53</v>
      </c>
      <c r="H17" s="35" t="s">
        <v>291</v>
      </c>
      <c r="I17" s="36" t="n">
        <v>448461</v>
      </c>
      <c r="J17" s="33" t="n">
        <v>11</v>
      </c>
      <c r="K17" s="10" t="n">
        <f aca="false">IF(F17&gt;180,5,IF(F17&gt;90,4,IF(F17&gt;30,3,IF(F17&gt;0,2,1))))</f>
        <v>1</v>
      </c>
      <c r="L17" s="10" t="n">
        <f aca="false">IF(G17="",1,IF(G17&lt;0.4,5,IF(G17&lt;0.6,4,IF(G17&lt;0.8,3,IF(G17&lt;0.95,2,1)))))</f>
        <v>4</v>
      </c>
      <c r="M17" s="10" t="n">
        <f aca="false">IF(H17="是",2,0)</f>
        <v>2</v>
      </c>
      <c r="N17" s="28" t="n">
        <f aca="false">MAX(1,MIN(5,ROUND((K17+L17+M17)/2,0)))</f>
        <v>4</v>
      </c>
      <c r="O17" s="10" t="n">
        <f aca="false">IF(E17="K",5,IF(E17="D",4,IF(E17="M",3,IF(E17="E",2,1))))</f>
        <v>4</v>
      </c>
      <c r="P17" s="10" t="n">
        <f aca="false">IF(I17&gt;5000000,5,IF(I17&gt;2000000,4,IF(I17&gt;800000,3,IF(I17&gt;200000,2,1))))</f>
        <v>2</v>
      </c>
      <c r="Q17" s="10" t="n">
        <f aca="false">IF(J17&gt;=8,5,IF(J17&gt;=6,4,IF(J17&gt;=4,3,IF(J17&gt;=2,2,1))))</f>
        <v>5</v>
      </c>
      <c r="R17" s="28" t="n">
        <f aca="false">MAX(1,MIN(5,ROUND(O17*0.4+P17*0.4+Q17*0.2,0)))</f>
        <v>3</v>
      </c>
      <c r="S17" s="28" t="n">
        <f aca="false">N17*R17</f>
        <v>12</v>
      </c>
      <c r="T17" s="10" t="str">
        <f aca="false">IF(S17&gt;=20,"極高",IF(S17&gt;=12,"高",IF(S17&gt;=6,"中","低")))</f>
        <v>高</v>
      </c>
    </row>
    <row r="18" customFormat="false" ht="15" hidden="false" customHeight="false" outlineLevel="0" collapsed="false">
      <c r="A18" s="10" t="n">
        <v>14</v>
      </c>
      <c r="B18" s="24" t="s">
        <v>308</v>
      </c>
      <c r="C18" s="31" t="s">
        <v>309</v>
      </c>
      <c r="D18" s="32" t="s">
        <v>294</v>
      </c>
      <c r="E18" s="33" t="s">
        <v>280</v>
      </c>
      <c r="F18" s="33" t="n">
        <v>0</v>
      </c>
      <c r="G18" s="34" t="n">
        <v>0.48</v>
      </c>
      <c r="H18" s="35" t="s">
        <v>291</v>
      </c>
      <c r="I18" s="36" t="n">
        <v>346129</v>
      </c>
      <c r="J18" s="33" t="n">
        <v>4</v>
      </c>
      <c r="K18" s="10" t="n">
        <f aca="false">IF(F18&gt;180,5,IF(F18&gt;90,4,IF(F18&gt;30,3,IF(F18&gt;0,2,1))))</f>
        <v>1</v>
      </c>
      <c r="L18" s="10" t="n">
        <f aca="false">IF(G18="",1,IF(G18&lt;0.4,5,IF(G18&lt;0.6,4,IF(G18&lt;0.8,3,IF(G18&lt;0.95,2,1)))))</f>
        <v>4</v>
      </c>
      <c r="M18" s="10" t="n">
        <f aca="false">IF(H18="是",2,0)</f>
        <v>2</v>
      </c>
      <c r="N18" s="28" t="n">
        <f aca="false">MAX(1,MIN(5,ROUND((K18+L18+M18)/2,0)))</f>
        <v>4</v>
      </c>
      <c r="O18" s="10" t="n">
        <f aca="false">IF(E18="K",5,IF(E18="D",4,IF(E18="M",3,IF(E18="E",2,1))))</f>
        <v>4</v>
      </c>
      <c r="P18" s="10" t="n">
        <f aca="false">IF(I18&gt;5000000,5,IF(I18&gt;2000000,4,IF(I18&gt;800000,3,IF(I18&gt;200000,2,1))))</f>
        <v>2</v>
      </c>
      <c r="Q18" s="10" t="n">
        <f aca="false">IF(J18&gt;=8,5,IF(J18&gt;=6,4,IF(J18&gt;=4,3,IF(J18&gt;=2,2,1))))</f>
        <v>3</v>
      </c>
      <c r="R18" s="28" t="n">
        <f aca="false">MAX(1,MIN(5,ROUND(O18*0.4+P18*0.4+Q18*0.2,0)))</f>
        <v>3</v>
      </c>
      <c r="S18" s="28" t="n">
        <f aca="false">N18*R18</f>
        <v>12</v>
      </c>
      <c r="T18" s="10" t="str">
        <f aca="false">IF(S18&gt;=20,"極高",IF(S18&gt;=12,"高",IF(S18&gt;=6,"中","低")))</f>
        <v>高</v>
      </c>
    </row>
    <row r="19" customFormat="false" ht="15" hidden="false" customHeight="false" outlineLevel="0" collapsed="false">
      <c r="A19" s="10" t="n">
        <v>15</v>
      </c>
      <c r="B19" s="24" t="s">
        <v>310</v>
      </c>
      <c r="C19" s="32" t="s">
        <v>311</v>
      </c>
      <c r="D19" s="32" t="s">
        <v>285</v>
      </c>
      <c r="E19" s="33" t="s">
        <v>280</v>
      </c>
      <c r="F19" s="33" t="n">
        <v>0</v>
      </c>
      <c r="G19" s="34" t="n">
        <v>0.32</v>
      </c>
      <c r="H19" s="35" t="s">
        <v>291</v>
      </c>
      <c r="I19" s="36" t="n">
        <v>266242</v>
      </c>
      <c r="J19" s="33" t="n">
        <v>6</v>
      </c>
      <c r="K19" s="10" t="n">
        <f aca="false">IF(F19&gt;180,5,IF(F19&gt;90,4,IF(F19&gt;30,3,IF(F19&gt;0,2,1))))</f>
        <v>1</v>
      </c>
      <c r="L19" s="10" t="n">
        <f aca="false">IF(G19="",1,IF(G19&lt;0.4,5,IF(G19&lt;0.6,4,IF(G19&lt;0.8,3,IF(G19&lt;0.95,2,1)))))</f>
        <v>5</v>
      </c>
      <c r="M19" s="10" t="n">
        <f aca="false">IF(H19="是",2,0)</f>
        <v>2</v>
      </c>
      <c r="N19" s="28" t="n">
        <f aca="false">MAX(1,MIN(5,ROUND((K19+L19+M19)/2,0)))</f>
        <v>4</v>
      </c>
      <c r="O19" s="10" t="n">
        <f aca="false">IF(E19="K",5,IF(E19="D",4,IF(E19="M",3,IF(E19="E",2,1))))</f>
        <v>4</v>
      </c>
      <c r="P19" s="10" t="n">
        <f aca="false">IF(I19&gt;5000000,5,IF(I19&gt;2000000,4,IF(I19&gt;800000,3,IF(I19&gt;200000,2,1))))</f>
        <v>2</v>
      </c>
      <c r="Q19" s="10" t="n">
        <f aca="false">IF(J19&gt;=8,5,IF(J19&gt;=6,4,IF(J19&gt;=4,3,IF(J19&gt;=2,2,1))))</f>
        <v>4</v>
      </c>
      <c r="R19" s="28" t="n">
        <f aca="false">MAX(1,MIN(5,ROUND(O19*0.4+P19*0.4+Q19*0.2,0)))</f>
        <v>3</v>
      </c>
      <c r="S19" s="28" t="n">
        <f aca="false">N19*R19</f>
        <v>12</v>
      </c>
      <c r="T19" s="10" t="str">
        <f aca="false">IF(S19&gt;=20,"極高",IF(S19&gt;=12,"高",IF(S19&gt;=6,"中","低")))</f>
        <v>高</v>
      </c>
    </row>
    <row r="20" customFormat="false" ht="15" hidden="false" customHeight="false" outlineLevel="0" collapsed="false">
      <c r="A20" s="10" t="n">
        <v>16</v>
      </c>
      <c r="B20" s="24" t="s">
        <v>312</v>
      </c>
      <c r="C20" s="32" t="s">
        <v>313</v>
      </c>
      <c r="D20" s="32" t="s">
        <v>290</v>
      </c>
      <c r="E20" s="33" t="s">
        <v>280</v>
      </c>
      <c r="F20" s="33" t="n">
        <v>5</v>
      </c>
      <c r="G20" s="34" t="n">
        <v>0.41</v>
      </c>
      <c r="H20" s="35" t="s">
        <v>276</v>
      </c>
      <c r="I20" s="36" t="n">
        <v>477624</v>
      </c>
      <c r="J20" s="33" t="n">
        <v>3</v>
      </c>
      <c r="K20" s="10" t="n">
        <f aca="false">IF(F20&gt;180,5,IF(F20&gt;90,4,IF(F20&gt;30,3,IF(F20&gt;0,2,1))))</f>
        <v>2</v>
      </c>
      <c r="L20" s="10" t="n">
        <f aca="false">IF(G20="",1,IF(G20&lt;0.4,5,IF(G20&lt;0.6,4,IF(G20&lt;0.8,3,IF(G20&lt;0.95,2,1)))))</f>
        <v>4</v>
      </c>
      <c r="M20" s="10" t="n">
        <f aca="false">IF(H20="是",2,0)</f>
        <v>0</v>
      </c>
      <c r="N20" s="28" t="n">
        <f aca="false">MAX(1,MIN(5,ROUND((K20+L20+M20)/2,0)))</f>
        <v>3</v>
      </c>
      <c r="O20" s="10" t="n">
        <f aca="false">IF(E20="K",5,IF(E20="D",4,IF(E20="M",3,IF(E20="E",2,1))))</f>
        <v>4</v>
      </c>
      <c r="P20" s="10" t="n">
        <f aca="false">IF(I20&gt;5000000,5,IF(I20&gt;2000000,4,IF(I20&gt;800000,3,IF(I20&gt;200000,2,1))))</f>
        <v>2</v>
      </c>
      <c r="Q20" s="10" t="n">
        <f aca="false">IF(J20&gt;=8,5,IF(J20&gt;=6,4,IF(J20&gt;=4,3,IF(J20&gt;=2,2,1))))</f>
        <v>2</v>
      </c>
      <c r="R20" s="28" t="n">
        <f aca="false">MAX(1,MIN(5,ROUND(O20*0.4+P20*0.4+Q20*0.2,0)))</f>
        <v>3</v>
      </c>
      <c r="S20" s="28" t="n">
        <f aca="false">N20*R20</f>
        <v>9</v>
      </c>
      <c r="T20" s="10" t="str">
        <f aca="false">IF(S20&gt;=20,"極高",IF(S20&gt;=12,"高",IF(S20&gt;=6,"中","低")))</f>
        <v>中</v>
      </c>
    </row>
    <row r="21" customFormat="false" ht="15" hidden="false" customHeight="false" outlineLevel="0" collapsed="false">
      <c r="A21" s="10" t="n">
        <v>17</v>
      </c>
      <c r="B21" s="24" t="s">
        <v>314</v>
      </c>
      <c r="C21" s="32" t="s">
        <v>315</v>
      </c>
      <c r="D21" s="32" t="s">
        <v>290</v>
      </c>
      <c r="E21" s="33" t="s">
        <v>280</v>
      </c>
      <c r="F21" s="33" t="n">
        <v>0</v>
      </c>
      <c r="G21" s="34" t="n">
        <v>0.31</v>
      </c>
      <c r="H21" s="35" t="s">
        <v>276</v>
      </c>
      <c r="I21" s="36" t="n">
        <v>323556</v>
      </c>
      <c r="J21" s="33" t="n">
        <v>5</v>
      </c>
      <c r="K21" s="10" t="n">
        <f aca="false">IF(F21&gt;180,5,IF(F21&gt;90,4,IF(F21&gt;30,3,IF(F21&gt;0,2,1))))</f>
        <v>1</v>
      </c>
      <c r="L21" s="10" t="n">
        <f aca="false">IF(G21="",1,IF(G21&lt;0.4,5,IF(G21&lt;0.6,4,IF(G21&lt;0.8,3,IF(G21&lt;0.95,2,1)))))</f>
        <v>5</v>
      </c>
      <c r="M21" s="10" t="n">
        <f aca="false">IF(H21="是",2,0)</f>
        <v>0</v>
      </c>
      <c r="N21" s="28" t="n">
        <f aca="false">MAX(1,MIN(5,ROUND((K21+L21+M21)/2,0)))</f>
        <v>3</v>
      </c>
      <c r="O21" s="10" t="n">
        <f aca="false">IF(E21="K",5,IF(E21="D",4,IF(E21="M",3,IF(E21="E",2,1))))</f>
        <v>4</v>
      </c>
      <c r="P21" s="10" t="n">
        <f aca="false">IF(I21&gt;5000000,5,IF(I21&gt;2000000,4,IF(I21&gt;800000,3,IF(I21&gt;200000,2,1))))</f>
        <v>2</v>
      </c>
      <c r="Q21" s="10" t="n">
        <f aca="false">IF(J21&gt;=8,5,IF(J21&gt;=6,4,IF(J21&gt;=4,3,IF(J21&gt;=2,2,1))))</f>
        <v>3</v>
      </c>
      <c r="R21" s="28" t="n">
        <f aca="false">MAX(1,MIN(5,ROUND(O21*0.4+P21*0.4+Q21*0.2,0)))</f>
        <v>3</v>
      </c>
      <c r="S21" s="28" t="n">
        <f aca="false">N21*R21</f>
        <v>9</v>
      </c>
      <c r="T21" s="10" t="str">
        <f aca="false">IF(S21&gt;=20,"極高",IF(S21&gt;=12,"高",IF(S21&gt;=6,"中","低")))</f>
        <v>中</v>
      </c>
    </row>
    <row r="22" customFormat="false" ht="15" hidden="false" customHeight="false" outlineLevel="0" collapsed="false">
      <c r="A22" s="10" t="n">
        <v>18</v>
      </c>
      <c r="B22" s="24" t="s">
        <v>316</v>
      </c>
      <c r="C22" s="32" t="s">
        <v>317</v>
      </c>
      <c r="D22" s="32" t="s">
        <v>285</v>
      </c>
      <c r="E22" s="33" t="s">
        <v>280</v>
      </c>
      <c r="F22" s="33" t="n">
        <v>0</v>
      </c>
      <c r="G22" s="34" t="n">
        <v>0.42</v>
      </c>
      <c r="H22" s="35" t="s">
        <v>276</v>
      </c>
      <c r="I22" s="36" t="n">
        <v>0</v>
      </c>
      <c r="J22" s="33" t="n">
        <v>5</v>
      </c>
      <c r="K22" s="10" t="n">
        <f aca="false">IF(F22&gt;180,5,IF(F22&gt;90,4,IF(F22&gt;30,3,IF(F22&gt;0,2,1))))</f>
        <v>1</v>
      </c>
      <c r="L22" s="10" t="n">
        <f aca="false">IF(G22="",1,IF(G22&lt;0.4,5,IF(G22&lt;0.6,4,IF(G22&lt;0.8,3,IF(G22&lt;0.95,2,1)))))</f>
        <v>4</v>
      </c>
      <c r="M22" s="10" t="n">
        <f aca="false">IF(H22="是",2,0)</f>
        <v>0</v>
      </c>
      <c r="N22" s="28" t="n">
        <f aca="false">MAX(1,MIN(5,ROUND((K22+L22+M22)/2,0)))</f>
        <v>3</v>
      </c>
      <c r="O22" s="10" t="n">
        <f aca="false">IF(E22="K",5,IF(E22="D",4,IF(E22="M",3,IF(E22="E",2,1))))</f>
        <v>4</v>
      </c>
      <c r="P22" s="10" t="n">
        <f aca="false">IF(I22&gt;5000000,5,IF(I22&gt;2000000,4,IF(I22&gt;800000,3,IF(I22&gt;200000,2,1))))</f>
        <v>1</v>
      </c>
      <c r="Q22" s="10" t="n">
        <f aca="false">IF(J22&gt;=8,5,IF(J22&gt;=6,4,IF(J22&gt;=4,3,IF(J22&gt;=2,2,1))))</f>
        <v>3</v>
      </c>
      <c r="R22" s="28" t="n">
        <f aca="false">MAX(1,MIN(5,ROUND(O22*0.4+P22*0.4+Q22*0.2,0)))</f>
        <v>3</v>
      </c>
      <c r="S22" s="28" t="n">
        <f aca="false">N22*R22</f>
        <v>9</v>
      </c>
      <c r="T22" s="10" t="str">
        <f aca="false">IF(S22&gt;=20,"極高",IF(S22&gt;=12,"高",IF(S22&gt;=6,"中","低")))</f>
        <v>中</v>
      </c>
    </row>
    <row r="23" customFormat="false" ht="15" hidden="false" customHeight="false" outlineLevel="0" collapsed="false">
      <c r="A23" s="10" t="n">
        <v>19</v>
      </c>
      <c r="B23" s="24" t="s">
        <v>318</v>
      </c>
      <c r="C23" s="31" t="s">
        <v>319</v>
      </c>
      <c r="D23" s="32" t="s">
        <v>320</v>
      </c>
      <c r="E23" s="33" t="s">
        <v>280</v>
      </c>
      <c r="F23" s="33" t="n">
        <v>172</v>
      </c>
      <c r="G23" s="34" t="n">
        <v>0.48</v>
      </c>
      <c r="H23" s="35" t="s">
        <v>276</v>
      </c>
      <c r="I23" s="36" t="n">
        <v>0</v>
      </c>
      <c r="J23" s="33" t="n">
        <v>1</v>
      </c>
      <c r="K23" s="10" t="n">
        <f aca="false">IF(F23&gt;180,5,IF(F23&gt;90,4,IF(F23&gt;30,3,IF(F23&gt;0,2,1))))</f>
        <v>4</v>
      </c>
      <c r="L23" s="10" t="n">
        <f aca="false">IF(G23="",1,IF(G23&lt;0.4,5,IF(G23&lt;0.6,4,IF(G23&lt;0.8,3,IF(G23&lt;0.95,2,1)))))</f>
        <v>4</v>
      </c>
      <c r="M23" s="10" t="n">
        <f aca="false">IF(H23="是",2,0)</f>
        <v>0</v>
      </c>
      <c r="N23" s="28" t="n">
        <f aca="false">MAX(1,MIN(5,ROUND((K23+L23+M23)/2,0)))</f>
        <v>4</v>
      </c>
      <c r="O23" s="10" t="n">
        <f aca="false">IF(E23="K",5,IF(E23="D",4,IF(E23="M",3,IF(E23="E",2,1))))</f>
        <v>4</v>
      </c>
      <c r="P23" s="10" t="n">
        <f aca="false">IF(I23&gt;5000000,5,IF(I23&gt;2000000,4,IF(I23&gt;800000,3,IF(I23&gt;200000,2,1))))</f>
        <v>1</v>
      </c>
      <c r="Q23" s="10" t="n">
        <f aca="false">IF(J23&gt;=8,5,IF(J23&gt;=6,4,IF(J23&gt;=4,3,IF(J23&gt;=2,2,1))))</f>
        <v>1</v>
      </c>
      <c r="R23" s="28" t="n">
        <f aca="false">MAX(1,MIN(5,ROUND(O23*0.4+P23*0.4+Q23*0.2,0)))</f>
        <v>2</v>
      </c>
      <c r="S23" s="28" t="n">
        <f aca="false">N23*R23</f>
        <v>8</v>
      </c>
      <c r="T23" s="10" t="str">
        <f aca="false">IF(S23&gt;=20,"極高",IF(S23&gt;=12,"高",IF(S23&gt;=6,"中","低")))</f>
        <v>中</v>
      </c>
    </row>
    <row r="24" customFormat="false" ht="15" hidden="false" customHeight="false" outlineLevel="0" collapsed="false">
      <c r="A24" s="10" t="n">
        <v>20</v>
      </c>
      <c r="B24" s="24" t="s">
        <v>321</v>
      </c>
      <c r="C24" s="31" t="s">
        <v>322</v>
      </c>
      <c r="D24" s="32" t="s">
        <v>320</v>
      </c>
      <c r="E24" s="33" t="s">
        <v>280</v>
      </c>
      <c r="F24" s="33" t="n">
        <v>101</v>
      </c>
      <c r="G24" s="34" t="n">
        <v>0.43</v>
      </c>
      <c r="H24" s="35" t="s">
        <v>276</v>
      </c>
      <c r="I24" s="36" t="n">
        <v>0</v>
      </c>
      <c r="J24" s="33" t="n">
        <v>1</v>
      </c>
      <c r="K24" s="10" t="n">
        <f aca="false">IF(F24&gt;180,5,IF(F24&gt;90,4,IF(F24&gt;30,3,IF(F24&gt;0,2,1))))</f>
        <v>4</v>
      </c>
      <c r="L24" s="10" t="n">
        <f aca="false">IF(G24="",1,IF(G24&lt;0.4,5,IF(G24&lt;0.6,4,IF(G24&lt;0.8,3,IF(G24&lt;0.95,2,1)))))</f>
        <v>4</v>
      </c>
      <c r="M24" s="10" t="n">
        <f aca="false">IF(H24="是",2,0)</f>
        <v>0</v>
      </c>
      <c r="N24" s="28" t="n">
        <f aca="false">MAX(1,MIN(5,ROUND((K24+L24+M24)/2,0)))</f>
        <v>4</v>
      </c>
      <c r="O24" s="10" t="n">
        <f aca="false">IF(E24="K",5,IF(E24="D",4,IF(E24="M",3,IF(E24="E",2,1))))</f>
        <v>4</v>
      </c>
      <c r="P24" s="10" t="n">
        <f aca="false">IF(I24&gt;5000000,5,IF(I24&gt;2000000,4,IF(I24&gt;800000,3,IF(I24&gt;200000,2,1))))</f>
        <v>1</v>
      </c>
      <c r="Q24" s="10" t="n">
        <f aca="false">IF(J24&gt;=8,5,IF(J24&gt;=6,4,IF(J24&gt;=4,3,IF(J24&gt;=2,2,1))))</f>
        <v>1</v>
      </c>
      <c r="R24" s="28" t="n">
        <f aca="false">MAX(1,MIN(5,ROUND(O24*0.4+P24*0.4+Q24*0.2,0)))</f>
        <v>2</v>
      </c>
      <c r="S24" s="28" t="n">
        <f aca="false">N24*R24</f>
        <v>8</v>
      </c>
      <c r="T24" s="10" t="str">
        <f aca="false">IF(S24&gt;=20,"極高",IF(S24&gt;=12,"高",IF(S24&gt;=6,"中","低")))</f>
        <v>中</v>
      </c>
    </row>
    <row r="25" customFormat="false" ht="15" hidden="false" customHeight="false" outlineLevel="0" collapsed="false">
      <c r="A25" s="10" t="n">
        <v>21</v>
      </c>
      <c r="B25" s="24" t="s">
        <v>323</v>
      </c>
      <c r="C25" s="31" t="s">
        <v>324</v>
      </c>
      <c r="D25" s="32" t="s">
        <v>325</v>
      </c>
      <c r="E25" s="33" t="s">
        <v>154</v>
      </c>
      <c r="F25" s="33" t="n">
        <v>78</v>
      </c>
      <c r="G25" s="34" t="n">
        <v>0.07</v>
      </c>
      <c r="H25" s="35" t="s">
        <v>276</v>
      </c>
      <c r="I25" s="36" t="n">
        <v>188337</v>
      </c>
      <c r="J25" s="33" t="n">
        <v>1</v>
      </c>
      <c r="K25" s="10" t="n">
        <f aca="false">IF(F25&gt;180,5,IF(F25&gt;90,4,IF(F25&gt;30,3,IF(F25&gt;0,2,1))))</f>
        <v>3</v>
      </c>
      <c r="L25" s="10" t="n">
        <f aca="false">IF(G25="",1,IF(G25&lt;0.4,5,IF(G25&lt;0.6,4,IF(G25&lt;0.8,3,IF(G25&lt;0.95,2,1)))))</f>
        <v>5</v>
      </c>
      <c r="M25" s="10" t="n">
        <f aca="false">IF(H25="是",2,0)</f>
        <v>0</v>
      </c>
      <c r="N25" s="28" t="n">
        <f aca="false">MAX(1,MIN(5,ROUND((K25+L25+M25)/2,0)))</f>
        <v>4</v>
      </c>
      <c r="O25" s="10" t="n">
        <f aca="false">IF(E25="K",5,IF(E25="D",4,IF(E25="M",3,IF(E25="E",2,1))))</f>
        <v>3</v>
      </c>
      <c r="P25" s="10" t="n">
        <f aca="false">IF(I25&gt;5000000,5,IF(I25&gt;2000000,4,IF(I25&gt;800000,3,IF(I25&gt;200000,2,1))))</f>
        <v>1</v>
      </c>
      <c r="Q25" s="10" t="n">
        <f aca="false">IF(J25&gt;=8,5,IF(J25&gt;=6,4,IF(J25&gt;=4,3,IF(J25&gt;=2,2,1))))</f>
        <v>1</v>
      </c>
      <c r="R25" s="28" t="n">
        <f aca="false">MAX(1,MIN(5,ROUND(O25*0.4+P25*0.4+Q25*0.2,0)))</f>
        <v>2</v>
      </c>
      <c r="S25" s="28" t="n">
        <f aca="false">N25*R25</f>
        <v>8</v>
      </c>
      <c r="T25" s="10" t="str">
        <f aca="false">IF(S25&gt;=20,"極高",IF(S25&gt;=12,"高",IF(S25&gt;=6,"中","低")))</f>
        <v>中</v>
      </c>
    </row>
    <row r="26" customFormat="false" ht="15" hidden="false" customHeight="false" outlineLevel="0" collapsed="false">
      <c r="A26" s="10" t="n">
        <v>22</v>
      </c>
      <c r="B26" s="24" t="s">
        <v>326</v>
      </c>
      <c r="C26" s="32" t="s">
        <v>327</v>
      </c>
      <c r="D26" s="32" t="s">
        <v>285</v>
      </c>
      <c r="E26" s="33" t="s">
        <v>280</v>
      </c>
      <c r="F26" s="33" t="n">
        <v>4</v>
      </c>
      <c r="G26" s="34" t="n">
        <v>0.38</v>
      </c>
      <c r="H26" s="35" t="s">
        <v>276</v>
      </c>
      <c r="I26" s="36" t="n">
        <v>0</v>
      </c>
      <c r="J26" s="33" t="n">
        <v>3</v>
      </c>
      <c r="K26" s="10" t="n">
        <f aca="false">IF(F26&gt;180,5,IF(F26&gt;90,4,IF(F26&gt;30,3,IF(F26&gt;0,2,1))))</f>
        <v>2</v>
      </c>
      <c r="L26" s="10" t="n">
        <f aca="false">IF(G26="",1,IF(G26&lt;0.4,5,IF(G26&lt;0.6,4,IF(G26&lt;0.8,3,IF(G26&lt;0.95,2,1)))))</f>
        <v>5</v>
      </c>
      <c r="M26" s="10" t="n">
        <f aca="false">IF(H26="是",2,0)</f>
        <v>0</v>
      </c>
      <c r="N26" s="28" t="n">
        <f aca="false">MAX(1,MIN(5,ROUND((K26+L26+M26)/2,0)))</f>
        <v>4</v>
      </c>
      <c r="O26" s="10" t="n">
        <f aca="false">IF(E26="K",5,IF(E26="D",4,IF(E26="M",3,IF(E26="E",2,1))))</f>
        <v>4</v>
      </c>
      <c r="P26" s="10" t="n">
        <f aca="false">IF(I26&gt;5000000,5,IF(I26&gt;2000000,4,IF(I26&gt;800000,3,IF(I26&gt;200000,2,1))))</f>
        <v>1</v>
      </c>
      <c r="Q26" s="10" t="n">
        <f aca="false">IF(J26&gt;=8,5,IF(J26&gt;=6,4,IF(J26&gt;=4,3,IF(J26&gt;=2,2,1))))</f>
        <v>2</v>
      </c>
      <c r="R26" s="28" t="n">
        <f aca="false">MAX(1,MIN(5,ROUND(O26*0.4+P26*0.4+Q26*0.2,0)))</f>
        <v>2</v>
      </c>
      <c r="S26" s="28" t="n">
        <f aca="false">N26*R26</f>
        <v>8</v>
      </c>
      <c r="T26" s="10" t="str">
        <f aca="false">IF(S26&gt;=20,"極高",IF(S26&gt;=12,"高",IF(S26&gt;=6,"中","低")))</f>
        <v>中</v>
      </c>
    </row>
    <row r="27" customFormat="false" ht="15" hidden="false" customHeight="false" outlineLevel="0" collapsed="false">
      <c r="A27" s="10" t="n">
        <v>23</v>
      </c>
      <c r="B27" s="24" t="s">
        <v>328</v>
      </c>
      <c r="C27" s="31" t="s">
        <v>329</v>
      </c>
      <c r="D27" s="32" t="s">
        <v>290</v>
      </c>
      <c r="E27" s="33" t="s">
        <v>280</v>
      </c>
      <c r="F27" s="33" t="n">
        <v>0</v>
      </c>
      <c r="G27" s="34" t="n">
        <v>0.33</v>
      </c>
      <c r="H27" s="35" t="s">
        <v>276</v>
      </c>
      <c r="I27" s="36" t="n">
        <v>66548</v>
      </c>
      <c r="J27" s="33" t="n">
        <v>2</v>
      </c>
      <c r="K27" s="10" t="n">
        <f aca="false">IF(F27&gt;180,5,IF(F27&gt;90,4,IF(F27&gt;30,3,IF(F27&gt;0,2,1))))</f>
        <v>1</v>
      </c>
      <c r="L27" s="10" t="n">
        <f aca="false">IF(G27="",1,IF(G27&lt;0.4,5,IF(G27&lt;0.6,4,IF(G27&lt;0.8,3,IF(G27&lt;0.95,2,1)))))</f>
        <v>5</v>
      </c>
      <c r="M27" s="10" t="n">
        <f aca="false">IF(H27="是",2,0)</f>
        <v>0</v>
      </c>
      <c r="N27" s="28" t="n">
        <f aca="false">MAX(1,MIN(5,ROUND((K27+L27+M27)/2,0)))</f>
        <v>3</v>
      </c>
      <c r="O27" s="10" t="n">
        <f aca="false">IF(E27="K",5,IF(E27="D",4,IF(E27="M",3,IF(E27="E",2,1))))</f>
        <v>4</v>
      </c>
      <c r="P27" s="10" t="n">
        <f aca="false">IF(I27&gt;5000000,5,IF(I27&gt;2000000,4,IF(I27&gt;800000,3,IF(I27&gt;200000,2,1))))</f>
        <v>1</v>
      </c>
      <c r="Q27" s="10" t="n">
        <f aca="false">IF(J27&gt;=8,5,IF(J27&gt;=6,4,IF(J27&gt;=4,3,IF(J27&gt;=2,2,1))))</f>
        <v>2</v>
      </c>
      <c r="R27" s="28" t="n">
        <f aca="false">MAX(1,MIN(5,ROUND(O27*0.4+P27*0.4+Q27*0.2,0)))</f>
        <v>2</v>
      </c>
      <c r="S27" s="28" t="n">
        <f aca="false">N27*R27</f>
        <v>6</v>
      </c>
      <c r="T27" s="10" t="str">
        <f aca="false">IF(S27&gt;=20,"極高",IF(S27&gt;=12,"高",IF(S27&gt;=6,"中","低")))</f>
        <v>中</v>
      </c>
    </row>
    <row r="28" customFormat="false" ht="15" hidden="false" customHeight="false" outlineLevel="0" collapsed="false">
      <c r="A28" s="10" t="n">
        <v>24</v>
      </c>
      <c r="B28" s="24" t="s">
        <v>330</v>
      </c>
      <c r="C28" s="31" t="s">
        <v>331</v>
      </c>
      <c r="D28" s="32" t="s">
        <v>325</v>
      </c>
      <c r="E28" s="33" t="s">
        <v>154</v>
      </c>
      <c r="F28" s="33" t="n">
        <v>0</v>
      </c>
      <c r="G28" s="34" t="n">
        <v>0</v>
      </c>
      <c r="H28" s="35" t="s">
        <v>276</v>
      </c>
      <c r="I28" s="36" t="n">
        <v>0</v>
      </c>
      <c r="J28" s="33" t="n">
        <v>2</v>
      </c>
      <c r="K28" s="10" t="n">
        <f aca="false">IF(F28&gt;180,5,IF(F28&gt;90,4,IF(F28&gt;30,3,IF(F28&gt;0,2,1))))</f>
        <v>1</v>
      </c>
      <c r="L28" s="10" t="n">
        <f aca="false">IF(G28="",1,IF(G28&lt;0.4,5,IF(G28&lt;0.6,4,IF(G28&lt;0.8,3,IF(G28&lt;0.95,2,1)))))</f>
        <v>5</v>
      </c>
      <c r="M28" s="10" t="n">
        <f aca="false">IF(H28="是",2,0)</f>
        <v>0</v>
      </c>
      <c r="N28" s="28" t="n">
        <f aca="false">MAX(1,MIN(5,ROUND((K28+L28+M28)/2,0)))</f>
        <v>3</v>
      </c>
      <c r="O28" s="10" t="n">
        <f aca="false">IF(E28="K",5,IF(E28="D",4,IF(E28="M",3,IF(E28="E",2,1))))</f>
        <v>3</v>
      </c>
      <c r="P28" s="10" t="n">
        <f aca="false">IF(I28&gt;5000000,5,IF(I28&gt;2000000,4,IF(I28&gt;800000,3,IF(I28&gt;200000,2,1))))</f>
        <v>1</v>
      </c>
      <c r="Q28" s="10" t="n">
        <f aca="false">IF(J28&gt;=8,5,IF(J28&gt;=6,4,IF(J28&gt;=4,3,IF(J28&gt;=2,2,1))))</f>
        <v>2</v>
      </c>
      <c r="R28" s="28" t="n">
        <f aca="false">MAX(1,MIN(5,ROUND(O28*0.4+P28*0.4+Q28*0.2,0)))</f>
        <v>2</v>
      </c>
      <c r="S28" s="28" t="n">
        <f aca="false">N28*R28</f>
        <v>6</v>
      </c>
      <c r="T28" s="10" t="str">
        <f aca="false">IF(S28&gt;=20,"極高",IF(S28&gt;=12,"高",IF(S28&gt;=6,"中","低")))</f>
        <v>中</v>
      </c>
    </row>
    <row r="29" customFormat="false" ht="15" hidden="false" customHeight="false" outlineLevel="0" collapsed="false">
      <c r="A29" s="10" t="n">
        <v>25</v>
      </c>
      <c r="B29" s="24" t="s">
        <v>332</v>
      </c>
      <c r="C29" s="32" t="s">
        <v>333</v>
      </c>
      <c r="D29" s="32" t="s">
        <v>297</v>
      </c>
      <c r="E29" s="33" t="s">
        <v>280</v>
      </c>
      <c r="F29" s="33" t="n">
        <v>0</v>
      </c>
      <c r="G29" s="34" t="n">
        <v>1.26</v>
      </c>
      <c r="H29" s="35" t="s">
        <v>276</v>
      </c>
      <c r="I29" s="36" t="n">
        <v>1073075</v>
      </c>
      <c r="J29" s="33" t="n">
        <v>6</v>
      </c>
      <c r="K29" s="10" t="n">
        <f aca="false">IF(F29&gt;180,5,IF(F29&gt;90,4,IF(F29&gt;30,3,IF(F29&gt;0,2,1))))</f>
        <v>1</v>
      </c>
      <c r="L29" s="10" t="n">
        <f aca="false">IF(G29="",1,IF(G29&lt;0.4,5,IF(G29&lt;0.6,4,IF(G29&lt;0.8,3,IF(G29&lt;0.95,2,1)))))</f>
        <v>1</v>
      </c>
      <c r="M29" s="10" t="n">
        <f aca="false">IF(H29="是",2,0)</f>
        <v>0</v>
      </c>
      <c r="N29" s="28" t="n">
        <f aca="false">MAX(1,MIN(5,ROUND((K29+L29+M29)/2,0)))</f>
        <v>1</v>
      </c>
      <c r="O29" s="10" t="n">
        <f aca="false">IF(E29="K",5,IF(E29="D",4,IF(E29="M",3,IF(E29="E",2,1))))</f>
        <v>4</v>
      </c>
      <c r="P29" s="10" t="n">
        <f aca="false">IF(I29&gt;5000000,5,IF(I29&gt;2000000,4,IF(I29&gt;800000,3,IF(I29&gt;200000,2,1))))</f>
        <v>3</v>
      </c>
      <c r="Q29" s="10" t="n">
        <f aca="false">IF(J29&gt;=8,5,IF(J29&gt;=6,4,IF(J29&gt;=4,3,IF(J29&gt;=2,2,1))))</f>
        <v>4</v>
      </c>
      <c r="R29" s="28" t="n">
        <f aca="false">MAX(1,MIN(5,ROUND(O29*0.4+P29*0.4+Q29*0.2,0)))</f>
        <v>4</v>
      </c>
      <c r="S29" s="28" t="n">
        <f aca="false">N29*R29</f>
        <v>4</v>
      </c>
      <c r="T29" s="10" t="str">
        <f aca="false">IF(S29&gt;=20,"極高",IF(S29&gt;=12,"高",IF(S29&gt;=6,"中","低")))</f>
        <v>低</v>
      </c>
    </row>
    <row r="30" customFormat="false" ht="15" hidden="false" customHeight="false" outlineLevel="0" collapsed="false">
      <c r="A30" s="10" t="n">
        <v>26</v>
      </c>
      <c r="B30" s="24" t="s">
        <v>334</v>
      </c>
      <c r="C30" s="32" t="s">
        <v>335</v>
      </c>
      <c r="D30" s="32" t="s">
        <v>285</v>
      </c>
      <c r="E30" s="33" t="s">
        <v>59</v>
      </c>
      <c r="F30" s="33" t="n">
        <v>0</v>
      </c>
      <c r="G30" s="34" t="n">
        <v>0.62</v>
      </c>
      <c r="H30" s="35" t="s">
        <v>276</v>
      </c>
      <c r="I30" s="36" t="n">
        <v>152566</v>
      </c>
      <c r="J30" s="33" t="n">
        <v>1</v>
      </c>
      <c r="K30" s="10" t="n">
        <f aca="false">IF(F30&gt;180,5,IF(F30&gt;90,4,IF(F30&gt;30,3,IF(F30&gt;0,2,1))))</f>
        <v>1</v>
      </c>
      <c r="L30" s="10" t="n">
        <f aca="false">IF(G30="",1,IF(G30&lt;0.4,5,IF(G30&lt;0.6,4,IF(G30&lt;0.8,3,IF(G30&lt;0.95,2,1)))))</f>
        <v>3</v>
      </c>
      <c r="M30" s="10" t="n">
        <f aca="false">IF(H30="是",2,0)</f>
        <v>0</v>
      </c>
      <c r="N30" s="28" t="n">
        <f aca="false">MAX(1,MIN(5,ROUND((K30+L30+M30)/2,0)))</f>
        <v>2</v>
      </c>
      <c r="O30" s="10" t="n">
        <f aca="false">IF(E30="K",5,IF(E30="D",4,IF(E30="M",3,IF(E30="E",2,1))))</f>
        <v>2</v>
      </c>
      <c r="P30" s="10" t="n">
        <f aca="false">IF(I30&gt;5000000,5,IF(I30&gt;2000000,4,IF(I30&gt;800000,3,IF(I30&gt;200000,2,1))))</f>
        <v>1</v>
      </c>
      <c r="Q30" s="10" t="n">
        <f aca="false">IF(J30&gt;=8,5,IF(J30&gt;=6,4,IF(J30&gt;=4,3,IF(J30&gt;=2,2,1))))</f>
        <v>1</v>
      </c>
      <c r="R30" s="28" t="n">
        <f aca="false">MAX(1,MIN(5,ROUND(O30*0.4+P30*0.4+Q30*0.2,0)))</f>
        <v>1</v>
      </c>
      <c r="S30" s="28" t="n">
        <f aca="false">N30*R30</f>
        <v>2</v>
      </c>
      <c r="T30" s="10" t="str">
        <f aca="false">IF(S30&gt;=20,"極高",IF(S30&gt;=12,"高",IF(S30&gt;=6,"中","低")))</f>
        <v>低</v>
      </c>
    </row>
    <row r="31" customFormat="false" ht="15" hidden="false" customHeight="false" outlineLevel="0" collapsed="false">
      <c r="A31" s="37"/>
      <c r="B31" s="6" t="s">
        <v>336</v>
      </c>
      <c r="C31" s="37"/>
      <c r="D31" s="37"/>
      <c r="E31" s="37"/>
      <c r="F31" s="37"/>
      <c r="G31" s="37"/>
      <c r="H31" s="37"/>
      <c r="I31" s="38" t="n">
        <f aca="false">SUM(I5:I30)</f>
        <v>41007889</v>
      </c>
      <c r="J31" s="37"/>
      <c r="K31" s="37"/>
      <c r="L31" s="37"/>
      <c r="M31" s="37"/>
      <c r="N31" s="37"/>
      <c r="O31" s="37"/>
      <c r="P31" s="37"/>
      <c r="Q31" s="37"/>
      <c r="R31" s="37"/>
      <c r="S31" s="39" t="n">
        <f aca="false">AVERAGE(S5:S30)</f>
        <v>12.5384615384615</v>
      </c>
      <c r="T31" s="7" t="str">
        <f aca="false">COUNTIF(S5:S30,"&gt;=12")&amp;" 件≥12"</f>
        <v>15 件≥12</v>
      </c>
    </row>
    <row r="33" customFormat="false" ht="15" hidden="false" customHeight="false" outlineLevel="0" collapsed="false">
      <c r="B33" s="3" t="s">
        <v>337</v>
      </c>
      <c r="I33" s="40" t="n">
        <f aca="false">SUMIF(S5:S30,"&gt;=12",I5:I30)</f>
        <v>38726183</v>
      </c>
      <c r="K33" s="41" t="s">
        <v>338</v>
      </c>
    </row>
    <row r="34" customFormat="false" ht="15" hidden="false" customHeight="false" outlineLevel="0" collapsed="false">
      <c r="B34" s="3" t="s">
        <v>339</v>
      </c>
      <c r="I34" s="3" t="n">
        <f aca="false">COUNTA(B5:B30)</f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8" min="3" style="0" width="11"/>
  </cols>
  <sheetData>
    <row r="1" customFormat="false" ht="23.1" hidden="false" customHeight="false" outlineLevel="0" collapsed="false">
      <c r="A1" s="14" t="s">
        <v>340</v>
      </c>
    </row>
    <row r="2" customFormat="false" ht="15" hidden="false" customHeight="false" outlineLevel="0" collapsed="false">
      <c r="A2" s="15" t="s">
        <v>341</v>
      </c>
    </row>
    <row r="4" customFormat="false" ht="15" hidden="false" customHeight="false" outlineLevel="0" collapsed="false">
      <c r="B4" s="42" t="s">
        <v>342</v>
      </c>
      <c r="C4" s="43"/>
      <c r="D4" s="43"/>
      <c r="E4" s="43"/>
      <c r="F4" s="43"/>
      <c r="G4" s="43"/>
    </row>
    <row r="5" customFormat="false" ht="15" hidden="false" customHeight="false" outlineLevel="0" collapsed="false">
      <c r="B5" s="44" t="s">
        <v>343</v>
      </c>
      <c r="C5" s="44" t="s">
        <v>344</v>
      </c>
      <c r="D5" s="44" t="s">
        <v>345</v>
      </c>
      <c r="E5" s="44" t="s">
        <v>346</v>
      </c>
      <c r="F5" s="44" t="s">
        <v>347</v>
      </c>
      <c r="G5" s="44" t="s">
        <v>348</v>
      </c>
      <c r="H5" s="7" t="s">
        <v>349</v>
      </c>
    </row>
    <row r="6" customFormat="false" ht="15" hidden="false" customHeight="false" outlineLevel="0" collapsed="false">
      <c r="B6" s="44" t="s">
        <v>348</v>
      </c>
      <c r="C6" s="45" t="n">
        <f aca="false">COUNTIFS(11_風險矩陣_逐案計算!$N$5:$N$30,5,11_風險矩陣_逐案計算!$R$5:$R$30,1)</f>
        <v>0</v>
      </c>
      <c r="D6" s="46" t="n">
        <f aca="false">COUNTIFS(11_風險矩陣_逐案計算!$N$5:$N$30,5,11_風險矩陣_逐案計算!$R$5:$R$30,2)</f>
        <v>0</v>
      </c>
      <c r="E6" s="47" t="n">
        <f aca="false">COUNTIFS(11_風險矩陣_逐案計算!$N$5:$N$30,5,11_風險矩陣_逐案計算!$R$5:$R$30,3)</f>
        <v>0</v>
      </c>
      <c r="F6" s="48" t="n">
        <f aca="false">COUNTIFS(11_風險矩陣_逐案計算!$N$5:$N$30,5,11_風險矩陣_逐案計算!$R$5:$R$30,4)</f>
        <v>4</v>
      </c>
      <c r="G6" s="48" t="n">
        <f aca="false">COUNTIFS(11_風險矩陣_逐案計算!$N$5:$N$30,5,11_風險矩陣_逐案計算!$R$5:$R$30,5)</f>
        <v>1</v>
      </c>
      <c r="H6" s="28" t="n">
        <f aca="false">SUM(C6:G6)</f>
        <v>5</v>
      </c>
    </row>
    <row r="7" customFormat="false" ht="15" hidden="false" customHeight="false" outlineLevel="0" collapsed="false">
      <c r="B7" s="44" t="s">
        <v>347</v>
      </c>
      <c r="C7" s="45" t="n">
        <f aca="false">COUNTIFS(11_風險矩陣_逐案計算!$N$5:$N$30,4,11_風險矩陣_逐案計算!$R$5:$R$30,1)</f>
        <v>0</v>
      </c>
      <c r="D7" s="46" t="n">
        <f aca="false">COUNTIFS(11_風險矩陣_逐案計算!$N$5:$N$30,4,11_風險矩陣_逐案計算!$R$5:$R$30,2)</f>
        <v>4</v>
      </c>
      <c r="E7" s="47" t="n">
        <f aca="false">COUNTIFS(11_風險矩陣_逐案計算!$N$5:$N$30,4,11_風險矩陣_逐案計算!$R$5:$R$30,3)</f>
        <v>5</v>
      </c>
      <c r="F7" s="47" t="n">
        <f aca="false">COUNTIFS(11_風險矩陣_逐案計算!$N$5:$N$30,4,11_風險矩陣_逐案計算!$R$5:$R$30,4)</f>
        <v>2</v>
      </c>
      <c r="G7" s="48" t="n">
        <f aca="false">COUNTIFS(11_風險矩陣_逐案計算!$N$5:$N$30,4,11_風險矩陣_逐案計算!$R$5:$R$30,5)</f>
        <v>2</v>
      </c>
      <c r="H7" s="28" t="n">
        <f aca="false">SUM(C7:G7)</f>
        <v>13</v>
      </c>
    </row>
    <row r="8" customFormat="false" ht="15" hidden="false" customHeight="false" outlineLevel="0" collapsed="false">
      <c r="B8" s="44" t="s">
        <v>346</v>
      </c>
      <c r="C8" s="45" t="n">
        <f aca="false">COUNTIFS(11_風險矩陣_逐案計算!$N$5:$N$30,3,11_風險矩陣_逐案計算!$R$5:$R$30,1)</f>
        <v>0</v>
      </c>
      <c r="D8" s="46" t="n">
        <f aca="false">COUNTIFS(11_風險矩陣_逐案計算!$N$5:$N$30,3,11_風險矩陣_逐案計算!$R$5:$R$30,2)</f>
        <v>2</v>
      </c>
      <c r="E8" s="46" t="n">
        <f aca="false">COUNTIFS(11_風險矩陣_逐案計算!$N$5:$N$30,3,11_風險矩陣_逐案計算!$R$5:$R$30,3)</f>
        <v>3</v>
      </c>
      <c r="F8" s="47" t="n">
        <f aca="false">COUNTIFS(11_風險矩陣_逐案計算!$N$5:$N$30,3,11_風險矩陣_逐案計算!$R$5:$R$30,4)</f>
        <v>1</v>
      </c>
      <c r="G8" s="47" t="n">
        <f aca="false">COUNTIFS(11_風險矩陣_逐案計算!$N$5:$N$30,3,11_風險矩陣_逐案計算!$R$5:$R$30,5)</f>
        <v>0</v>
      </c>
      <c r="H8" s="28" t="n">
        <f aca="false">SUM(C8:G8)</f>
        <v>6</v>
      </c>
    </row>
    <row r="9" customFormat="false" ht="15" hidden="false" customHeight="false" outlineLevel="0" collapsed="false">
      <c r="B9" s="44" t="s">
        <v>345</v>
      </c>
      <c r="C9" s="45" t="n">
        <f aca="false">COUNTIFS(11_風險矩陣_逐案計算!$N$5:$N$30,2,11_風險矩陣_逐案計算!$R$5:$R$30,1)</f>
        <v>1</v>
      </c>
      <c r="D9" s="45" t="n">
        <f aca="false">COUNTIFS(11_風險矩陣_逐案計算!$N$5:$N$30,2,11_風險矩陣_逐案計算!$R$5:$R$30,2)</f>
        <v>0</v>
      </c>
      <c r="E9" s="46" t="n">
        <f aca="false">COUNTIFS(11_風險矩陣_逐案計算!$N$5:$N$30,2,11_風險矩陣_逐案計算!$R$5:$R$30,3)</f>
        <v>0</v>
      </c>
      <c r="F9" s="46" t="n">
        <f aca="false">COUNTIFS(11_風險矩陣_逐案計算!$N$5:$N$30,2,11_風險矩陣_逐案計算!$R$5:$R$30,4)</f>
        <v>0</v>
      </c>
      <c r="G9" s="46" t="n">
        <f aca="false">COUNTIFS(11_風險矩陣_逐案計算!$N$5:$N$30,2,11_風險矩陣_逐案計算!$R$5:$R$30,5)</f>
        <v>0</v>
      </c>
      <c r="H9" s="28" t="n">
        <f aca="false">SUM(C9:G9)</f>
        <v>1</v>
      </c>
    </row>
    <row r="10" customFormat="false" ht="15" hidden="false" customHeight="false" outlineLevel="0" collapsed="false">
      <c r="B10" s="44" t="s">
        <v>344</v>
      </c>
      <c r="C10" s="45" t="n">
        <f aca="false">COUNTIFS(11_風險矩陣_逐案計算!$N$5:$N$30,1,11_風險矩陣_逐案計算!$R$5:$R$30,1)</f>
        <v>0</v>
      </c>
      <c r="D10" s="45" t="n">
        <f aca="false">COUNTIFS(11_風險矩陣_逐案計算!$N$5:$N$30,1,11_風險矩陣_逐案計算!$R$5:$R$30,2)</f>
        <v>0</v>
      </c>
      <c r="E10" s="45" t="n">
        <f aca="false">COUNTIFS(11_風險矩陣_逐案計算!$N$5:$N$30,1,11_風險矩陣_逐案計算!$R$5:$R$30,3)</f>
        <v>0</v>
      </c>
      <c r="F10" s="45" t="n">
        <f aca="false">COUNTIFS(11_風險矩陣_逐案計算!$N$5:$N$30,1,11_風險矩陣_逐案計算!$R$5:$R$30,4)</f>
        <v>1</v>
      </c>
      <c r="G10" s="45" t="n">
        <f aca="false">COUNTIFS(11_風險矩陣_逐案計算!$N$5:$N$30,1,11_風險矩陣_逐案計算!$R$5:$R$30,5)</f>
        <v>0</v>
      </c>
      <c r="H10" s="28" t="n">
        <f aca="false">SUM(C10:G10)</f>
        <v>1</v>
      </c>
    </row>
    <row r="11" customFormat="false" ht="15" hidden="false" customHeight="false" outlineLevel="0" collapsed="false">
      <c r="B11" s="7" t="s">
        <v>350</v>
      </c>
      <c r="C11" s="7" t="n">
        <f aca="false">SUM(C6:C10)</f>
        <v>1</v>
      </c>
      <c r="D11" s="7" t="n">
        <f aca="false">SUM(D6:D10)</f>
        <v>6</v>
      </c>
      <c r="E11" s="7" t="n">
        <f aca="false">SUM(E6:E10)</f>
        <v>8</v>
      </c>
      <c r="F11" s="7" t="n">
        <f aca="false">SUM(F6:F10)</f>
        <v>8</v>
      </c>
      <c r="G11" s="7" t="n">
        <f aca="false">SUM(G6:G10)</f>
        <v>3</v>
      </c>
      <c r="H11" s="7" t="n">
        <f aca="false">SUM(C11:G11)</f>
        <v>26</v>
      </c>
    </row>
    <row r="13" customFormat="false" ht="15" hidden="false" customHeight="false" outlineLevel="0" collapsed="false">
      <c r="B13" s="12" t="s">
        <v>351</v>
      </c>
    </row>
    <row r="14" customFormat="false" ht="15" hidden="false" customHeight="false" outlineLevel="0" collapsed="false">
      <c r="B14" s="7" t="s">
        <v>272</v>
      </c>
      <c r="C14" s="7" t="s">
        <v>352</v>
      </c>
      <c r="D14" s="7" t="s">
        <v>226</v>
      </c>
      <c r="E14" s="7" t="s">
        <v>353</v>
      </c>
    </row>
    <row r="15" customFormat="false" ht="15" hidden="false" customHeight="false" outlineLevel="0" collapsed="false">
      <c r="B15" s="23" t="s">
        <v>354</v>
      </c>
      <c r="C15" s="10" t="n">
        <f aca="false">COUNTIFS(11_風險矩陣_逐案計算!$S$5:$S$30,"&gt;="&amp;20,11_風險矩陣_逐案計算!$S$5:$S$30,"&lt;="&amp;999)</f>
        <v>7</v>
      </c>
      <c r="D15" s="49" t="n">
        <f aca="false">SUMIFS(11_風險矩陣_逐案計算!$I$5:$I$30,11_風險矩陣_逐案計算!$S$5:$S$30,"&gt;="&amp;20,11_風險矩陣_逐案計算!$S$5:$S$30,"&lt;="&amp;999)</f>
        <v>28722380</v>
      </c>
      <c r="E15" s="50" t="n">
        <f aca="false">C15/$C$19</f>
        <v>0.269230769230769</v>
      </c>
    </row>
    <row r="16" customFormat="false" ht="15" hidden="false" customHeight="false" outlineLevel="0" collapsed="false">
      <c r="B16" s="23" t="s">
        <v>355</v>
      </c>
      <c r="C16" s="10" t="n">
        <f aca="false">COUNTIFS(11_風險矩陣_逐案計算!$S$5:$S$30,"&gt;="&amp;12,11_風險矩陣_逐案計算!$S$5:$S$30,"&lt;="&amp;19)</f>
        <v>8</v>
      </c>
      <c r="D16" s="49" t="n">
        <f aca="false">SUMIFS(11_風險矩陣_逐案計算!$I$5:$I$30,11_風險矩陣_逐案計算!$S$5:$S$30,"&gt;="&amp;12,11_風險矩陣_逐案計算!$S$5:$S$30,"&lt;="&amp;19)</f>
        <v>10003803</v>
      </c>
      <c r="E16" s="50" t="n">
        <f aca="false">C16/$C$19</f>
        <v>0.307692307692308</v>
      </c>
    </row>
    <row r="17" customFormat="false" ht="15" hidden="false" customHeight="false" outlineLevel="0" collapsed="false">
      <c r="B17" s="23" t="s">
        <v>356</v>
      </c>
      <c r="C17" s="10" t="n">
        <f aca="false">COUNTIFS(11_風險矩陣_逐案計算!$S$5:$S$30,"&gt;="&amp;6,11_風險矩陣_逐案計算!$S$5:$S$30,"&lt;="&amp;11)</f>
        <v>9</v>
      </c>
      <c r="D17" s="49" t="n">
        <f aca="false">SUMIFS(11_風險矩陣_逐案計算!$I$5:$I$30,11_風險矩陣_逐案計算!$S$5:$S$30,"&gt;="&amp;6,11_風險矩陣_逐案計算!$S$5:$S$30,"&lt;="&amp;11)</f>
        <v>1056065</v>
      </c>
      <c r="E17" s="50" t="n">
        <f aca="false">C17/$C$19</f>
        <v>0.346153846153846</v>
      </c>
    </row>
    <row r="18" customFormat="false" ht="15" hidden="false" customHeight="false" outlineLevel="0" collapsed="false">
      <c r="B18" s="23" t="s">
        <v>357</v>
      </c>
      <c r="C18" s="10" t="n">
        <f aca="false">COUNTIFS(11_風險矩陣_逐案計算!$S$5:$S$30,"&gt;="&amp;0,11_風險矩陣_逐案計算!$S$5:$S$30,"&lt;="&amp;5)</f>
        <v>2</v>
      </c>
      <c r="D18" s="49" t="n">
        <f aca="false">SUMIFS(11_風險矩陣_逐案計算!$I$5:$I$30,11_風險矩陣_逐案計算!$S$5:$S$30,"&gt;="&amp;0,11_風險矩陣_逐案計算!$S$5:$S$30,"&lt;="&amp;5)</f>
        <v>1225641</v>
      </c>
      <c r="E18" s="50" t="n">
        <f aca="false">C18/$C$19</f>
        <v>0.0769230769230769</v>
      </c>
    </row>
    <row r="19" customFormat="false" ht="15" hidden="false" customHeight="false" outlineLevel="0" collapsed="false">
      <c r="B19" s="6" t="s">
        <v>358</v>
      </c>
      <c r="C19" s="7" t="n">
        <f aca="false">SUM(C15:C18)</f>
        <v>26</v>
      </c>
      <c r="D19" s="38" t="n">
        <f aca="false">SUM(D15:D18)</f>
        <v>41007889</v>
      </c>
      <c r="E19" s="37"/>
    </row>
  </sheetData>
  <mergeCells count="1">
    <mergeCell ref="C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30"/>
  </cols>
  <sheetData>
    <row r="1" customFormat="false" ht="18.55" hidden="false" customHeight="false" outlineLevel="0" collapsed="false">
      <c r="A1" s="14" t="s">
        <v>359</v>
      </c>
    </row>
    <row r="2" customFormat="false" ht="15" hidden="false" customHeight="false" outlineLevel="0" collapsed="false">
      <c r="A2" s="15" t="s">
        <v>360</v>
      </c>
    </row>
    <row r="4" customFormat="false" ht="30" hidden="false" customHeight="true" outlineLevel="0" collapsed="false">
      <c r="A4" s="16" t="s">
        <v>361</v>
      </c>
      <c r="B4" s="16" t="s">
        <v>362</v>
      </c>
      <c r="C4" s="16" t="s">
        <v>363</v>
      </c>
      <c r="D4" s="16" t="s">
        <v>197</v>
      </c>
    </row>
    <row r="5" customFormat="false" ht="24" hidden="false" customHeight="true" outlineLevel="0" collapsed="false">
      <c r="A5" s="20" t="s">
        <v>364</v>
      </c>
      <c r="B5" s="9" t="s">
        <v>365</v>
      </c>
      <c r="C5" s="51" t="s">
        <v>366</v>
      </c>
      <c r="D5" s="52" t="s">
        <v>367</v>
      </c>
    </row>
    <row r="6" customFormat="false" ht="24" hidden="false" customHeight="true" outlineLevel="0" collapsed="false">
      <c r="A6" s="20" t="s">
        <v>368</v>
      </c>
      <c r="B6" s="11" t="s">
        <v>369</v>
      </c>
      <c r="C6" s="51" t="s">
        <v>370</v>
      </c>
      <c r="D6" s="52" t="s">
        <v>371</v>
      </c>
    </row>
    <row r="7" customFormat="false" ht="24" hidden="false" customHeight="true" outlineLevel="0" collapsed="false">
      <c r="A7" s="20" t="s">
        <v>372</v>
      </c>
      <c r="B7" s="11" t="s">
        <v>373</v>
      </c>
      <c r="C7" s="53" t="s">
        <v>374</v>
      </c>
      <c r="D7" s="54" t="s">
        <v>375</v>
      </c>
    </row>
    <row r="8" customFormat="false" ht="24" hidden="false" customHeight="true" outlineLevel="0" collapsed="false">
      <c r="A8" s="20" t="s">
        <v>376</v>
      </c>
      <c r="B8" s="9" t="s">
        <v>377</v>
      </c>
      <c r="C8" s="53" t="s">
        <v>16</v>
      </c>
      <c r="D8" s="54" t="s">
        <v>378</v>
      </c>
    </row>
    <row r="9" customFormat="false" ht="24" hidden="false" customHeight="true" outlineLevel="0" collapsed="false">
      <c r="A9" s="20" t="s">
        <v>379</v>
      </c>
      <c r="B9" s="9" t="s">
        <v>380</v>
      </c>
      <c r="C9" s="53" t="s">
        <v>381</v>
      </c>
      <c r="D9" s="54" t="s">
        <v>378</v>
      </c>
    </row>
    <row r="10" customFormat="false" ht="24" hidden="false" customHeight="true" outlineLevel="0" collapsed="false">
      <c r="A10" s="20" t="s">
        <v>382</v>
      </c>
      <c r="B10" s="9" t="s">
        <v>383</v>
      </c>
      <c r="C10" s="51" t="s">
        <v>384</v>
      </c>
      <c r="D10" s="52" t="s">
        <v>385</v>
      </c>
    </row>
    <row r="11" customFormat="false" ht="24" hidden="false" customHeight="true" outlineLevel="0" collapsed="false">
      <c r="A11" s="20" t="s">
        <v>386</v>
      </c>
      <c r="B11" s="9" t="s">
        <v>387</v>
      </c>
      <c r="C11" s="51" t="s">
        <v>388</v>
      </c>
      <c r="D11" s="52" t="s">
        <v>389</v>
      </c>
    </row>
    <row r="12" customFormat="false" ht="24" hidden="false" customHeight="true" outlineLevel="0" collapsed="false">
      <c r="A12" s="20" t="s">
        <v>390</v>
      </c>
      <c r="B12" s="9" t="s">
        <v>391</v>
      </c>
      <c r="C12" s="51" t="s">
        <v>392</v>
      </c>
      <c r="D12" s="54" t="s">
        <v>378</v>
      </c>
    </row>
    <row r="13" customFormat="false" ht="24" hidden="false" customHeight="true" outlineLevel="0" collapsed="false">
      <c r="A13" s="20" t="s">
        <v>155</v>
      </c>
      <c r="B13" s="9" t="s">
        <v>393</v>
      </c>
      <c r="C13" s="51" t="s">
        <v>394</v>
      </c>
      <c r="D13" s="54" t="s">
        <v>395</v>
      </c>
    </row>
    <row r="14" customFormat="false" ht="24" hidden="false" customHeight="true" outlineLevel="0" collapsed="false">
      <c r="A14" s="20" t="s">
        <v>396</v>
      </c>
      <c r="B14" s="9" t="s">
        <v>397</v>
      </c>
      <c r="C14" s="51" t="s">
        <v>398</v>
      </c>
      <c r="D14" s="54" t="s">
        <v>378</v>
      </c>
    </row>
    <row r="16" customFormat="false" ht="19.4" hidden="false" customHeight="false" outlineLevel="0" collapsed="false">
      <c r="A16" s="12" t="s">
        <v>399</v>
      </c>
    </row>
    <row r="17" customFormat="false" ht="15" hidden="false" customHeight="false" outlineLevel="0" collapsed="false">
      <c r="A17" s="20" t="s">
        <v>117</v>
      </c>
      <c r="B17" s="55" t="n">
        <v>176</v>
      </c>
      <c r="C17" s="21" t="s">
        <v>400</v>
      </c>
    </row>
    <row r="18" customFormat="false" ht="15" hidden="false" customHeight="false" outlineLevel="0" collapsed="false">
      <c r="A18" s="20" t="s">
        <v>121</v>
      </c>
      <c r="B18" s="55" t="n">
        <v>6</v>
      </c>
      <c r="C18" s="25" t="s">
        <v>401</v>
      </c>
    </row>
    <row r="19" customFormat="false" ht="15" hidden="false" customHeight="false" outlineLevel="0" collapsed="false">
      <c r="A19" s="20" t="s">
        <v>402</v>
      </c>
      <c r="B19" s="55" t="n">
        <v>10</v>
      </c>
      <c r="C19" s="25" t="s">
        <v>403</v>
      </c>
    </row>
    <row r="20" customFormat="false" ht="15" hidden="false" customHeight="false" outlineLevel="0" collapsed="false">
      <c r="A20" s="20" t="s">
        <v>404</v>
      </c>
      <c r="B20" s="55" t="n">
        <v>21</v>
      </c>
      <c r="C20" s="25" t="s">
        <v>405</v>
      </c>
    </row>
    <row r="21" customFormat="false" ht="15" hidden="false" customHeight="false" outlineLevel="0" collapsed="false">
      <c r="A21" s="20" t="s">
        <v>406</v>
      </c>
      <c r="B21" s="55" t="n">
        <v>85</v>
      </c>
      <c r="C21" s="21" t="s">
        <v>407</v>
      </c>
    </row>
    <row r="22" customFormat="false" ht="15" hidden="false" customHeight="false" outlineLevel="0" collapsed="false">
      <c r="A22" s="20" t="s">
        <v>408</v>
      </c>
      <c r="B22" s="55" t="n">
        <v>110</v>
      </c>
      <c r="C22" s="21" t="s">
        <v>407</v>
      </c>
    </row>
    <row r="23" customFormat="false" ht="15" hidden="false" customHeight="false" outlineLevel="0" collapsed="false">
      <c r="A23" s="20" t="s">
        <v>409</v>
      </c>
      <c r="B23" s="55" t="n">
        <v>60</v>
      </c>
      <c r="C23" s="21" t="s">
        <v>407</v>
      </c>
    </row>
    <row r="24" customFormat="false" ht="15" hidden="false" customHeight="false" outlineLevel="0" collapsed="false">
      <c r="A24" s="20" t="s">
        <v>132</v>
      </c>
      <c r="B24" s="55" t="n">
        <v>50</v>
      </c>
      <c r="C24" s="25" t="s">
        <v>410</v>
      </c>
    </row>
    <row r="25" customFormat="false" ht="15" hidden="false" customHeight="false" outlineLevel="0" collapsed="false">
      <c r="A25" s="20" t="s">
        <v>411</v>
      </c>
      <c r="B25" s="56" t="n">
        <f aca="false">20_人力負荷_計算規則!$B$17*(20_人力負荷_計算規則!$B$18-1)+20_人力負荷_計算規則!$B$17*20_人力負荷_計算規則!$B$19/20_人力負荷_計算規則!$B$20</f>
        <v>963.809523809524</v>
      </c>
      <c r="C25" s="25" t="s">
        <v>412</v>
      </c>
    </row>
    <row r="26" customFormat="false" ht="15" hidden="false" customHeight="false" outlineLevel="0" collapsed="false">
      <c r="A26" s="20" t="s">
        <v>413</v>
      </c>
      <c r="B26" s="57" t="s">
        <v>414</v>
      </c>
      <c r="C26" s="25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5" min="14" style="0" width="10"/>
    <col collapsed="false" customWidth="true" hidden="false" outlineLevel="0" max="16" min="16" style="0" width="17"/>
    <col collapsed="false" customWidth="true" hidden="false" outlineLevel="0" max="17" min="17" style="0" width="8"/>
    <col collapsed="false" customWidth="true" hidden="false" outlineLevel="0" max="18" min="18" style="0" width="10"/>
  </cols>
  <sheetData>
    <row r="1" customFormat="false" ht="23.1" hidden="false" customHeight="false" outlineLevel="0" collapsed="false">
      <c r="A1" s="14" t="s">
        <v>416</v>
      </c>
    </row>
    <row r="2" customFormat="false" ht="15" hidden="false" customHeight="false" outlineLevel="0" collapsed="false">
      <c r="A2" s="15" t="s">
        <v>417</v>
      </c>
    </row>
    <row r="4" customFormat="false" ht="30" hidden="false" customHeight="true" outlineLevel="0" collapsed="false">
      <c r="A4" s="30" t="s">
        <v>259</v>
      </c>
      <c r="B4" s="16" t="s">
        <v>418</v>
      </c>
      <c r="C4" s="16" t="s">
        <v>419</v>
      </c>
      <c r="D4" s="16" t="s">
        <v>420</v>
      </c>
      <c r="E4" s="16" t="s">
        <v>421</v>
      </c>
      <c r="F4" s="16" t="s">
        <v>422</v>
      </c>
      <c r="G4" s="16" t="s">
        <v>423</v>
      </c>
      <c r="H4" s="16" t="s">
        <v>376</v>
      </c>
      <c r="I4" s="16" t="s">
        <v>379</v>
      </c>
      <c r="J4" s="16" t="s">
        <v>424</v>
      </c>
      <c r="K4" s="16" t="s">
        <v>425</v>
      </c>
      <c r="L4" s="16" t="s">
        <v>426</v>
      </c>
      <c r="M4" s="16" t="s">
        <v>155</v>
      </c>
      <c r="N4" s="16" t="s">
        <v>427</v>
      </c>
      <c r="O4" s="16" t="s">
        <v>428</v>
      </c>
      <c r="P4" s="16" t="s">
        <v>396</v>
      </c>
      <c r="Q4" s="16" t="s">
        <v>429</v>
      </c>
      <c r="R4" s="16" t="s">
        <v>430</v>
      </c>
    </row>
    <row r="5" customFormat="false" ht="15" hidden="false" customHeight="false" outlineLevel="0" collapsed="false">
      <c r="A5" s="10" t="n">
        <v>1</v>
      </c>
      <c r="B5" s="20" t="s">
        <v>431</v>
      </c>
      <c r="C5" s="23" t="s">
        <v>432</v>
      </c>
      <c r="D5" s="32" t="s">
        <v>433</v>
      </c>
      <c r="E5" s="32" t="s">
        <v>434</v>
      </c>
      <c r="F5" s="58" t="n">
        <v>946</v>
      </c>
      <c r="G5" s="59" t="n">
        <v>963.8</v>
      </c>
      <c r="H5" s="60" t="n">
        <f aca="false">F5/G5</f>
        <v>0.981531438057688</v>
      </c>
      <c r="I5" s="10" t="str">
        <f aca="false">IF(H5&gt;20_人力負荷_計算規則!$B$22/100,"過載",IF(H5&gt;=20_人力負荷_計算規則!$B$21/100,"飽和",IF(H5&gt;=20_人力負荷_計算規則!$B$23/100,"適中","低度")))</f>
        <v>飽和</v>
      </c>
      <c r="J5" s="58" t="n">
        <v>4120</v>
      </c>
      <c r="K5" s="58" t="n">
        <v>2924.5</v>
      </c>
      <c r="L5" s="60" t="n">
        <f aca="false">1-K5/J5</f>
        <v>0.290169902912621</v>
      </c>
      <c r="M5" s="59" t="n">
        <v>37.4</v>
      </c>
      <c r="N5" s="10" t="n">
        <f aca="false">IF(H5&gt;=20_人力負荷_計算規則!$B$21/100,1,0)</f>
        <v>1</v>
      </c>
      <c r="O5" s="10" t="n">
        <f aca="false">IF(M5&gt;=20_人力負荷_計算規則!$B$24,1,0)</f>
        <v>0</v>
      </c>
      <c r="P5" s="28" t="str">
        <f aca="false">IF(N5=1,IF(O5=1,"高效主力","過勞低效"),IF(O5=1,"量能未滿","需輔導"))</f>
        <v>過勞低效</v>
      </c>
      <c r="Q5" s="10" t="n">
        <v>5</v>
      </c>
      <c r="R5" s="10" t="n">
        <v>7</v>
      </c>
    </row>
    <row r="6" customFormat="false" ht="15" hidden="false" customHeight="false" outlineLevel="0" collapsed="false">
      <c r="A6" s="10" t="n">
        <v>2</v>
      </c>
      <c r="B6" s="20" t="s">
        <v>435</v>
      </c>
      <c r="C6" s="23" t="s">
        <v>432</v>
      </c>
      <c r="D6" s="32" t="s">
        <v>436</v>
      </c>
      <c r="E6" s="32" t="s">
        <v>437</v>
      </c>
      <c r="F6" s="58" t="n">
        <v>924</v>
      </c>
      <c r="G6" s="59" t="n">
        <v>963.8</v>
      </c>
      <c r="H6" s="60" t="n">
        <f aca="false">F6/G6</f>
        <v>0.958705125544719</v>
      </c>
      <c r="I6" s="10" t="str">
        <f aca="false">IF(H6&gt;20_人力負荷_計算規則!$B$22/100,"過載",IF(H6&gt;=20_人力負荷_計算規則!$B$21/100,"飽和",IF(H6&gt;=20_人力負荷_計算規則!$B$23/100,"適中","低度")))</f>
        <v>飽和</v>
      </c>
      <c r="J6" s="58" t="n">
        <v>4028</v>
      </c>
      <c r="K6" s="58" t="n">
        <v>3552</v>
      </c>
      <c r="L6" s="60" t="n">
        <f aca="false">1-K6/J6</f>
        <v>0.118172790466733</v>
      </c>
      <c r="M6" s="59" t="n">
        <v>62.4</v>
      </c>
      <c r="N6" s="10" t="n">
        <f aca="false">IF(H6&gt;=20_人力負荷_計算規則!$B$21/100,1,0)</f>
        <v>1</v>
      </c>
      <c r="O6" s="10" t="n">
        <f aca="false">IF(M6&gt;=20_人力負荷_計算規則!$B$24,1,0)</f>
        <v>1</v>
      </c>
      <c r="P6" s="28" t="str">
        <f aca="false">IF(N6=1,IF(O6=1,"高效主力","過勞低效"),IF(O6=1,"量能未滿","需輔導"))</f>
        <v>高效主力</v>
      </c>
      <c r="Q6" s="10" t="n">
        <v>5</v>
      </c>
      <c r="R6" s="10" t="n">
        <v>2</v>
      </c>
    </row>
    <row r="7" customFormat="false" ht="15" hidden="false" customHeight="false" outlineLevel="0" collapsed="false">
      <c r="A7" s="10" t="n">
        <v>3</v>
      </c>
      <c r="B7" s="20" t="s">
        <v>438</v>
      </c>
      <c r="C7" s="23" t="s">
        <v>432</v>
      </c>
      <c r="D7" s="32" t="s">
        <v>439</v>
      </c>
      <c r="E7" s="32" t="s">
        <v>437</v>
      </c>
      <c r="F7" s="58" t="n">
        <v>920</v>
      </c>
      <c r="G7" s="59" t="n">
        <v>963.8</v>
      </c>
      <c r="H7" s="60" t="n">
        <f aca="false">F7/G7</f>
        <v>0.954554886905997</v>
      </c>
      <c r="I7" s="10" t="str">
        <f aca="false">IF(H7&gt;20_人力負荷_計算規則!$B$22/100,"過載",IF(H7&gt;=20_人力負荷_計算規則!$B$21/100,"飽和",IF(H7&gt;=20_人力負荷_計算規則!$B$23/100,"適中","低度")))</f>
        <v>飽和</v>
      </c>
      <c r="J7" s="58" t="n">
        <v>2880.5</v>
      </c>
      <c r="K7" s="58" t="n">
        <v>1560</v>
      </c>
      <c r="L7" s="60" t="n">
        <f aca="false">1-K7/J7</f>
        <v>0.458427356361743</v>
      </c>
      <c r="M7" s="59" t="n">
        <v>58.3</v>
      </c>
      <c r="N7" s="10" t="n">
        <f aca="false">IF(H7&gt;=20_人力負荷_計算規則!$B$21/100,1,0)</f>
        <v>1</v>
      </c>
      <c r="O7" s="10" t="n">
        <f aca="false">IF(M7&gt;=20_人力負荷_計算規則!$B$24,1,0)</f>
        <v>1</v>
      </c>
      <c r="P7" s="28" t="str">
        <f aca="false">IF(N7=1,IF(O7=1,"高效主力","過勞低效"),IF(O7=1,"量能未滿","需輔導"))</f>
        <v>高效主力</v>
      </c>
      <c r="Q7" s="10" t="n">
        <v>4</v>
      </c>
      <c r="R7" s="10" t="n">
        <v>15</v>
      </c>
    </row>
    <row r="8" customFormat="false" ht="15" hidden="false" customHeight="false" outlineLevel="0" collapsed="false">
      <c r="A8" s="10" t="n">
        <v>4</v>
      </c>
      <c r="B8" s="20" t="s">
        <v>440</v>
      </c>
      <c r="C8" s="23" t="s">
        <v>432</v>
      </c>
      <c r="D8" s="32" t="s">
        <v>433</v>
      </c>
      <c r="E8" s="32" t="s">
        <v>434</v>
      </c>
      <c r="F8" s="58" t="n">
        <v>913</v>
      </c>
      <c r="G8" s="59" t="n">
        <v>963.8</v>
      </c>
      <c r="H8" s="60" t="n">
        <f aca="false">F8/G8</f>
        <v>0.947291969288234</v>
      </c>
      <c r="I8" s="10" t="str">
        <f aca="false">IF(H8&gt;20_人力負荷_計算規則!$B$22/100,"過載",IF(H8&gt;=20_人力負荷_計算規則!$B$21/100,"飽和",IF(H8&gt;=20_人力負荷_計算規則!$B$23/100,"適中","低度")))</f>
        <v>飽和</v>
      </c>
      <c r="J8" s="58" t="n">
        <v>3464</v>
      </c>
      <c r="K8" s="58" t="n">
        <v>2201</v>
      </c>
      <c r="L8" s="60" t="n">
        <f aca="false">1-K8/J8</f>
        <v>0.364607390300231</v>
      </c>
      <c r="M8" s="59" t="n">
        <v>46.9</v>
      </c>
      <c r="N8" s="10" t="n">
        <f aca="false">IF(H8&gt;=20_人力負荷_計算規則!$B$21/100,1,0)</f>
        <v>1</v>
      </c>
      <c r="O8" s="10" t="n">
        <f aca="false">IF(M8&gt;=20_人力負荷_計算規則!$B$24,1,0)</f>
        <v>0</v>
      </c>
      <c r="P8" s="28" t="str">
        <f aca="false">IF(N8=1,IF(O8=1,"高效主力","過勞低效"),IF(O8=1,"量能未滿","需輔導"))</f>
        <v>過勞低效</v>
      </c>
      <c r="Q8" s="10" t="n">
        <v>2</v>
      </c>
      <c r="R8" s="10" t="n">
        <v>11</v>
      </c>
    </row>
    <row r="9" customFormat="false" ht="15" hidden="false" customHeight="false" outlineLevel="0" collapsed="false">
      <c r="A9" s="10" t="n">
        <v>5</v>
      </c>
      <c r="B9" s="20" t="s">
        <v>441</v>
      </c>
      <c r="C9" s="23" t="s">
        <v>432</v>
      </c>
      <c r="D9" s="32" t="s">
        <v>433</v>
      </c>
      <c r="E9" s="32" t="s">
        <v>442</v>
      </c>
      <c r="F9" s="58" t="n">
        <v>912</v>
      </c>
      <c r="G9" s="59" t="n">
        <v>963.8</v>
      </c>
      <c r="H9" s="60" t="n">
        <f aca="false">F9/G9</f>
        <v>0.946254409628554</v>
      </c>
      <c r="I9" s="10" t="str">
        <f aca="false">IF(H9&gt;20_人力負荷_計算規則!$B$22/100,"過載",IF(H9&gt;=20_人力負荷_計算規則!$B$21/100,"飽和",IF(H9&gt;=20_人力負荷_計算規則!$B$23/100,"適中","低度")))</f>
        <v>飽和</v>
      </c>
      <c r="J9" s="58" t="n">
        <v>3798</v>
      </c>
      <c r="K9" s="58" t="n">
        <v>1225</v>
      </c>
      <c r="L9" s="60" t="n">
        <f aca="false">1-K9/J9</f>
        <v>0.677461822011585</v>
      </c>
      <c r="M9" s="59" t="n">
        <v>55.5</v>
      </c>
      <c r="N9" s="10" t="n">
        <f aca="false">IF(H9&gt;=20_人力負荷_計算規則!$B$21/100,1,0)</f>
        <v>1</v>
      </c>
      <c r="O9" s="10" t="n">
        <f aca="false">IF(M9&gt;=20_人力負荷_計算規則!$B$24,1,0)</f>
        <v>1</v>
      </c>
      <c r="P9" s="28" t="str">
        <f aca="false">IF(N9=1,IF(O9=1,"高效主力","過勞低效"),IF(O9=1,"量能未滿","需輔導"))</f>
        <v>高效主力</v>
      </c>
      <c r="Q9" s="10" t="n">
        <v>9</v>
      </c>
      <c r="R9" s="10" t="n">
        <v>27</v>
      </c>
    </row>
    <row r="10" customFormat="false" ht="15" hidden="false" customHeight="false" outlineLevel="0" collapsed="false">
      <c r="A10" s="10" t="n">
        <v>6</v>
      </c>
      <c r="B10" s="20" t="s">
        <v>443</v>
      </c>
      <c r="C10" s="23" t="s">
        <v>432</v>
      </c>
      <c r="D10" s="32" t="s">
        <v>433</v>
      </c>
      <c r="E10" s="32" t="s">
        <v>437</v>
      </c>
      <c r="F10" s="58" t="n">
        <v>912</v>
      </c>
      <c r="G10" s="59" t="n">
        <v>963.8</v>
      </c>
      <c r="H10" s="60" t="n">
        <f aca="false">F10/G10</f>
        <v>0.946254409628554</v>
      </c>
      <c r="I10" s="10" t="str">
        <f aca="false">IF(H10&gt;20_人力負荷_計算規則!$B$22/100,"過載",IF(H10&gt;=20_人力負荷_計算規則!$B$21/100,"飽和",IF(H10&gt;=20_人力負荷_計算規則!$B$23/100,"適中","低度")))</f>
        <v>飽和</v>
      </c>
      <c r="J10" s="58" t="n">
        <v>4025</v>
      </c>
      <c r="K10" s="58" t="n">
        <v>3620.5</v>
      </c>
      <c r="L10" s="60" t="n">
        <f aca="false">1-K10/J10</f>
        <v>0.100496894409938</v>
      </c>
      <c r="M10" s="59" t="n">
        <v>52.1</v>
      </c>
      <c r="N10" s="10" t="n">
        <f aca="false">IF(H10&gt;=20_人力負荷_計算規則!$B$21/100,1,0)</f>
        <v>1</v>
      </c>
      <c r="O10" s="10" t="n">
        <f aca="false">IF(M10&gt;=20_人力負荷_計算規則!$B$24,1,0)</f>
        <v>1</v>
      </c>
      <c r="P10" s="28" t="str">
        <f aca="false">IF(N10=1,IF(O10=1,"高效主力","過勞低效"),IF(O10=1,"量能未滿","需輔導"))</f>
        <v>高效主力</v>
      </c>
      <c r="Q10" s="10" t="n">
        <v>3</v>
      </c>
      <c r="R10" s="10" t="n">
        <v>6</v>
      </c>
    </row>
    <row r="11" customFormat="false" ht="15" hidden="false" customHeight="false" outlineLevel="0" collapsed="false">
      <c r="A11" s="10" t="n">
        <v>7</v>
      </c>
      <c r="B11" s="20" t="s">
        <v>444</v>
      </c>
      <c r="C11" s="23" t="s">
        <v>432</v>
      </c>
      <c r="D11" s="32" t="s">
        <v>445</v>
      </c>
      <c r="E11" s="32" t="s">
        <v>446</v>
      </c>
      <c r="F11" s="58" t="n">
        <v>911.5</v>
      </c>
      <c r="G11" s="59" t="n">
        <v>963.8</v>
      </c>
      <c r="H11" s="60" t="n">
        <f aca="false">F11/G11</f>
        <v>0.945735629798714</v>
      </c>
      <c r="I11" s="10" t="str">
        <f aca="false">IF(H11&gt;20_人力負荷_計算規則!$B$22/100,"過載",IF(H11&gt;=20_人力負荷_計算規則!$B$21/100,"飽和",IF(H11&gt;=20_人力負荷_計算規則!$B$23/100,"適中","低度")))</f>
        <v>飽和</v>
      </c>
      <c r="J11" s="58" t="n">
        <v>4084</v>
      </c>
      <c r="K11" s="58" t="n">
        <v>3000.5</v>
      </c>
      <c r="L11" s="60" t="n">
        <f aca="false">1-K11/J11</f>
        <v>0.265303623898139</v>
      </c>
      <c r="M11" s="59" t="n">
        <v>53.7</v>
      </c>
      <c r="N11" s="10" t="n">
        <f aca="false">IF(H11&gt;=20_人力負荷_計算規則!$B$21/100,1,0)</f>
        <v>1</v>
      </c>
      <c r="O11" s="10" t="n">
        <f aca="false">IF(M11&gt;=20_人力負荷_計算規則!$B$24,1,0)</f>
        <v>1</v>
      </c>
      <c r="P11" s="28" t="str">
        <f aca="false">IF(N11=1,IF(O11=1,"高效主力","過勞低效"),IF(O11=1,"量能未滿","需輔導"))</f>
        <v>高效主力</v>
      </c>
      <c r="Q11" s="10" t="n">
        <v>3</v>
      </c>
      <c r="R11" s="10" t="n">
        <v>46</v>
      </c>
    </row>
    <row r="12" customFormat="false" ht="15" hidden="false" customHeight="false" outlineLevel="0" collapsed="false">
      <c r="A12" s="10" t="n">
        <v>8</v>
      </c>
      <c r="B12" s="20" t="s">
        <v>447</v>
      </c>
      <c r="C12" s="23" t="s">
        <v>432</v>
      </c>
      <c r="D12" s="32" t="s">
        <v>439</v>
      </c>
      <c r="E12" s="32" t="s">
        <v>437</v>
      </c>
      <c r="F12" s="58" t="n">
        <v>908</v>
      </c>
      <c r="G12" s="59" t="n">
        <v>963.8</v>
      </c>
      <c r="H12" s="60" t="n">
        <f aca="false">F12/G12</f>
        <v>0.942104170989832</v>
      </c>
      <c r="I12" s="10" t="str">
        <f aca="false">IF(H12&gt;20_人力負荷_計算規則!$B$22/100,"過載",IF(H12&gt;=20_人力負荷_計算規則!$B$21/100,"飽和",IF(H12&gt;=20_人力負荷_計算規則!$B$23/100,"適中","低度")))</f>
        <v>飽和</v>
      </c>
      <c r="J12" s="58" t="n">
        <v>3720</v>
      </c>
      <c r="K12" s="58" t="n">
        <v>1748</v>
      </c>
      <c r="L12" s="60" t="n">
        <f aca="false">1-K12/J12</f>
        <v>0.53010752688172</v>
      </c>
      <c r="M12" s="59" t="n">
        <v>66.7</v>
      </c>
      <c r="N12" s="10" t="n">
        <f aca="false">IF(H12&gt;=20_人力負荷_計算規則!$B$21/100,1,0)</f>
        <v>1</v>
      </c>
      <c r="O12" s="10" t="n">
        <f aca="false">IF(M12&gt;=20_人力負荷_計算規則!$B$24,1,0)</f>
        <v>1</v>
      </c>
      <c r="P12" s="28" t="str">
        <f aca="false">IF(N12=1,IF(O12=1,"高效主力","過勞低效"),IF(O12=1,"量能未滿","需輔導"))</f>
        <v>高效主力</v>
      </c>
      <c r="Q12" s="10" t="n">
        <v>4</v>
      </c>
      <c r="R12" s="10" t="n">
        <v>21</v>
      </c>
    </row>
    <row r="13" customFormat="false" ht="15" hidden="false" customHeight="false" outlineLevel="0" collapsed="false">
      <c r="A13" s="10" t="n">
        <v>9</v>
      </c>
      <c r="B13" s="20" t="s">
        <v>448</v>
      </c>
      <c r="C13" s="23" t="s">
        <v>432</v>
      </c>
      <c r="D13" s="32" t="s">
        <v>445</v>
      </c>
      <c r="E13" s="32" t="s">
        <v>437</v>
      </c>
      <c r="F13" s="58" t="n">
        <v>908</v>
      </c>
      <c r="G13" s="59" t="n">
        <v>963.8</v>
      </c>
      <c r="H13" s="60" t="n">
        <f aca="false">F13/G13</f>
        <v>0.942104170989832</v>
      </c>
      <c r="I13" s="10" t="str">
        <f aca="false">IF(H13&gt;20_人力負荷_計算規則!$B$22/100,"過載",IF(H13&gt;=20_人力負荷_計算規則!$B$21/100,"飽和",IF(H13&gt;=20_人力負荷_計算規則!$B$23/100,"適中","低度")))</f>
        <v>飽和</v>
      </c>
      <c r="J13" s="58" t="n">
        <v>4055</v>
      </c>
      <c r="K13" s="58" t="n">
        <v>3831.5</v>
      </c>
      <c r="L13" s="60" t="n">
        <f aca="false">1-K13/J13</f>
        <v>0.0551171393341554</v>
      </c>
      <c r="M13" s="59" t="n">
        <v>42</v>
      </c>
      <c r="N13" s="10" t="n">
        <f aca="false">IF(H13&gt;=20_人力負荷_計算規則!$B$21/100,1,0)</f>
        <v>1</v>
      </c>
      <c r="O13" s="10" t="n">
        <f aca="false">IF(M13&gt;=20_人力負荷_計算規則!$B$24,1,0)</f>
        <v>0</v>
      </c>
      <c r="P13" s="28" t="str">
        <f aca="false">IF(N13=1,IF(O13=1,"高效主力","過勞低效"),IF(O13=1,"量能未滿","需輔導"))</f>
        <v>過勞低效</v>
      </c>
      <c r="Q13" s="10" t="n">
        <v>3</v>
      </c>
      <c r="R13" s="10" t="n">
        <v>14</v>
      </c>
    </row>
    <row r="14" customFormat="false" ht="15" hidden="false" customHeight="false" outlineLevel="0" collapsed="false">
      <c r="A14" s="10" t="n">
        <v>10</v>
      </c>
      <c r="B14" s="20" t="s">
        <v>449</v>
      </c>
      <c r="C14" s="23" t="s">
        <v>432</v>
      </c>
      <c r="D14" s="32" t="s">
        <v>436</v>
      </c>
      <c r="E14" s="32" t="s">
        <v>450</v>
      </c>
      <c r="F14" s="58" t="n">
        <v>908</v>
      </c>
      <c r="G14" s="59" t="n">
        <v>963.8</v>
      </c>
      <c r="H14" s="60" t="n">
        <f aca="false">F14/G14</f>
        <v>0.942104170989832</v>
      </c>
      <c r="I14" s="10" t="str">
        <f aca="false">IF(H14&gt;20_人力負荷_計算規則!$B$22/100,"過載",IF(H14&gt;=20_人力負荷_計算規則!$B$21/100,"飽和",IF(H14&gt;=20_人力負荷_計算規則!$B$23/100,"適中","低度")))</f>
        <v>飽和</v>
      </c>
      <c r="J14" s="58" t="n">
        <v>1640</v>
      </c>
      <c r="K14" s="58" t="n">
        <v>88</v>
      </c>
      <c r="L14" s="60" t="n">
        <f aca="false">1-K14/J14</f>
        <v>0.946341463414634</v>
      </c>
      <c r="M14" s="59" t="n">
        <v>34.9</v>
      </c>
      <c r="N14" s="10" t="n">
        <f aca="false">IF(H14&gt;=20_人力負荷_計算規則!$B$21/100,1,0)</f>
        <v>1</v>
      </c>
      <c r="O14" s="10" t="n">
        <f aca="false">IF(M14&gt;=20_人力負荷_計算規則!$B$24,1,0)</f>
        <v>0</v>
      </c>
      <c r="P14" s="28" t="str">
        <f aca="false">IF(N14=1,IF(O14=1,"高效主力","過勞低效"),IF(O14=1,"量能未滿","需輔導"))</f>
        <v>過勞低效</v>
      </c>
      <c r="Q14" s="10" t="n">
        <v>1</v>
      </c>
      <c r="R14" s="10" t="n">
        <v>0</v>
      </c>
    </row>
    <row r="15" customFormat="false" ht="15" hidden="false" customHeight="false" outlineLevel="0" collapsed="false">
      <c r="A15" s="10" t="n">
        <v>11</v>
      </c>
      <c r="B15" s="20" t="s">
        <v>451</v>
      </c>
      <c r="C15" s="23" t="s">
        <v>432</v>
      </c>
      <c r="D15" s="32" t="s">
        <v>452</v>
      </c>
      <c r="E15" s="32" t="s">
        <v>453</v>
      </c>
      <c r="F15" s="58" t="n">
        <v>906</v>
      </c>
      <c r="G15" s="59" t="n">
        <v>963.8</v>
      </c>
      <c r="H15" s="60" t="n">
        <f aca="false">F15/G15</f>
        <v>0.940029051670471</v>
      </c>
      <c r="I15" s="10" t="str">
        <f aca="false">IF(H15&gt;20_人力負荷_計算規則!$B$22/100,"過載",IF(H15&gt;=20_人力負荷_計算規則!$B$21/100,"飽和",IF(H15&gt;=20_人力負荷_計算規則!$B$23/100,"適中","低度")))</f>
        <v>飽和</v>
      </c>
      <c r="J15" s="58" t="n">
        <v>4293.4</v>
      </c>
      <c r="K15" s="58" t="n">
        <v>2716.5</v>
      </c>
      <c r="L15" s="60" t="n">
        <f aca="false">1-K15/J15</f>
        <v>0.36728466949271</v>
      </c>
      <c r="M15" s="59" t="n">
        <v>43.1</v>
      </c>
      <c r="N15" s="10" t="n">
        <f aca="false">IF(H15&gt;=20_人力負荷_計算規則!$B$21/100,1,0)</f>
        <v>1</v>
      </c>
      <c r="O15" s="10" t="n">
        <f aca="false">IF(M15&gt;=20_人力負荷_計算規則!$B$24,1,0)</f>
        <v>0</v>
      </c>
      <c r="P15" s="28" t="str">
        <f aca="false">IF(N15=1,IF(O15=1,"高效主力","過勞低效"),IF(O15=1,"量能未滿","需輔導"))</f>
        <v>過勞低效</v>
      </c>
      <c r="Q15" s="10" t="n">
        <v>4</v>
      </c>
      <c r="R15" s="10" t="n">
        <v>14</v>
      </c>
    </row>
    <row r="16" customFormat="false" ht="15" hidden="false" customHeight="false" outlineLevel="0" collapsed="false">
      <c r="A16" s="10" t="n">
        <v>12</v>
      </c>
      <c r="B16" s="20" t="s">
        <v>454</v>
      </c>
      <c r="C16" s="23" t="s">
        <v>432</v>
      </c>
      <c r="D16" s="32" t="s">
        <v>436</v>
      </c>
      <c r="E16" s="32" t="s">
        <v>455</v>
      </c>
      <c r="F16" s="58" t="n">
        <v>904</v>
      </c>
      <c r="G16" s="59" t="n">
        <v>963.8</v>
      </c>
      <c r="H16" s="60" t="n">
        <f aca="false">F16/G16</f>
        <v>0.93795393235111</v>
      </c>
      <c r="I16" s="10" t="str">
        <f aca="false">IF(H16&gt;20_人力負荷_計算規則!$B$22/100,"過載",IF(H16&gt;=20_人力負荷_計算規則!$B$21/100,"飽和",IF(H16&gt;=20_人力負荷_計算規則!$B$23/100,"適中","低度")))</f>
        <v>飽和</v>
      </c>
      <c r="J16" s="58" t="n">
        <v>3439</v>
      </c>
      <c r="K16" s="58" t="n">
        <v>3011</v>
      </c>
      <c r="L16" s="60" t="n">
        <f aca="false">1-K16/J16</f>
        <v>0.124454783367258</v>
      </c>
      <c r="M16" s="59" t="n">
        <v>43.7</v>
      </c>
      <c r="N16" s="10" t="n">
        <f aca="false">IF(H16&gt;=20_人力負荷_計算規則!$B$21/100,1,0)</f>
        <v>1</v>
      </c>
      <c r="O16" s="10" t="n">
        <f aca="false">IF(M16&gt;=20_人力負荷_計算規則!$B$24,1,0)</f>
        <v>0</v>
      </c>
      <c r="P16" s="28" t="str">
        <f aca="false">IF(N16=1,IF(O16=1,"高效主力","過勞低效"),IF(O16=1,"量能未滿","需輔導"))</f>
        <v>過勞低效</v>
      </c>
      <c r="Q16" s="10" t="n">
        <v>4</v>
      </c>
      <c r="R16" s="10" t="n">
        <v>4</v>
      </c>
    </row>
    <row r="17" customFormat="false" ht="15" hidden="false" customHeight="false" outlineLevel="0" collapsed="false">
      <c r="A17" s="10" t="n">
        <v>13</v>
      </c>
      <c r="B17" s="20" t="s">
        <v>456</v>
      </c>
      <c r="C17" s="23" t="s">
        <v>432</v>
      </c>
      <c r="D17" s="32" t="s">
        <v>436</v>
      </c>
      <c r="E17" s="32" t="s">
        <v>446</v>
      </c>
      <c r="F17" s="58" t="n">
        <v>901</v>
      </c>
      <c r="G17" s="59" t="n">
        <v>963.8</v>
      </c>
      <c r="H17" s="60" t="n">
        <f aca="false">F17/G17</f>
        <v>0.934841253372069</v>
      </c>
      <c r="I17" s="10" t="str">
        <f aca="false">IF(H17&gt;20_人力負荷_計算規則!$B$22/100,"過載",IF(H17&gt;=20_人力負荷_計算規則!$B$21/100,"飽和",IF(H17&gt;=20_人力負荷_計算規則!$B$23/100,"適中","低度")))</f>
        <v>飽和</v>
      </c>
      <c r="J17" s="58" t="n">
        <v>2649</v>
      </c>
      <c r="K17" s="58" t="n">
        <v>317.5</v>
      </c>
      <c r="L17" s="60" t="n">
        <f aca="false">1-K17/J17</f>
        <v>0.880143450358626</v>
      </c>
      <c r="M17" s="59" t="n">
        <v>31.7</v>
      </c>
      <c r="N17" s="10" t="n">
        <f aca="false">IF(H17&gt;=20_人力負荷_計算規則!$B$21/100,1,0)</f>
        <v>1</v>
      </c>
      <c r="O17" s="10" t="n">
        <f aca="false">IF(M17&gt;=20_人力負荷_計算規則!$B$24,1,0)</f>
        <v>0</v>
      </c>
      <c r="P17" s="28" t="str">
        <f aca="false">IF(N17=1,IF(O17=1,"高效主力","過勞低效"),IF(O17=1,"量能未滿","需輔導"))</f>
        <v>過勞低效</v>
      </c>
      <c r="Q17" s="10" t="n">
        <v>3</v>
      </c>
      <c r="R17" s="10" t="n">
        <v>5</v>
      </c>
    </row>
    <row r="18" customFormat="false" ht="15" hidden="false" customHeight="false" outlineLevel="0" collapsed="false">
      <c r="A18" s="10" t="n">
        <v>14</v>
      </c>
      <c r="B18" s="20" t="s">
        <v>457</v>
      </c>
      <c r="C18" s="23" t="s">
        <v>432</v>
      </c>
      <c r="D18" s="32" t="s">
        <v>436</v>
      </c>
      <c r="E18" s="32" t="s">
        <v>442</v>
      </c>
      <c r="F18" s="58" t="n">
        <v>898</v>
      </c>
      <c r="G18" s="59" t="n">
        <v>963.8</v>
      </c>
      <c r="H18" s="60" t="n">
        <f aca="false">F18/G18</f>
        <v>0.931728574393028</v>
      </c>
      <c r="I18" s="10" t="str">
        <f aca="false">IF(H18&gt;20_人力負荷_計算規則!$B$22/100,"過載",IF(H18&gt;=20_人力負荷_計算規則!$B$21/100,"飽和",IF(H18&gt;=20_人力負荷_計算規則!$B$23/100,"適中","低度")))</f>
        <v>飽和</v>
      </c>
      <c r="J18" s="58" t="n">
        <v>4291.9</v>
      </c>
      <c r="K18" s="58" t="n">
        <v>1315.3</v>
      </c>
      <c r="L18" s="60" t="n">
        <f aca="false">1-K18/J18</f>
        <v>0.693538992054801</v>
      </c>
      <c r="M18" s="59" t="n">
        <v>61</v>
      </c>
      <c r="N18" s="10" t="n">
        <f aca="false">IF(H18&gt;=20_人力負荷_計算規則!$B$21/100,1,0)</f>
        <v>1</v>
      </c>
      <c r="O18" s="10" t="n">
        <f aca="false">IF(M18&gt;=20_人力負荷_計算規則!$B$24,1,0)</f>
        <v>1</v>
      </c>
      <c r="P18" s="28" t="str">
        <f aca="false">IF(N18=1,IF(O18=1,"高效主力","過勞低效"),IF(O18=1,"量能未滿","需輔導"))</f>
        <v>高效主力</v>
      </c>
      <c r="Q18" s="10" t="n">
        <v>4</v>
      </c>
      <c r="R18" s="10" t="n">
        <v>5</v>
      </c>
    </row>
    <row r="19" customFormat="false" ht="15" hidden="false" customHeight="false" outlineLevel="0" collapsed="false">
      <c r="A19" s="10" t="n">
        <v>15</v>
      </c>
      <c r="B19" s="20" t="s">
        <v>458</v>
      </c>
      <c r="C19" s="23" t="s">
        <v>432</v>
      </c>
      <c r="D19" s="32" t="s">
        <v>452</v>
      </c>
      <c r="E19" s="32" t="s">
        <v>459</v>
      </c>
      <c r="F19" s="58" t="n">
        <v>240</v>
      </c>
      <c r="G19" s="59" t="n">
        <v>259.8</v>
      </c>
      <c r="H19" s="60" t="n">
        <f aca="false">F19/G19</f>
        <v>0.92378752886836</v>
      </c>
      <c r="I19" s="10" t="str">
        <f aca="false">IF(H19&gt;20_人力負荷_計算規則!$B$22/100,"過載",IF(H19&gt;=20_人力負荷_計算規則!$B$21/100,"飽和",IF(H19&gt;=20_人力負荷_計算規則!$B$23/100,"適中","低度")))</f>
        <v>飽和</v>
      </c>
      <c r="J19" s="58" t="n">
        <v>240</v>
      </c>
      <c r="K19" s="58" t="n">
        <v>207</v>
      </c>
      <c r="L19" s="60" t="n">
        <f aca="false">1-K19/J19</f>
        <v>0.1375</v>
      </c>
      <c r="M19" s="59" t="n">
        <v>34.4</v>
      </c>
      <c r="N19" s="10" t="n">
        <f aca="false">IF(H19&gt;=20_人力負荷_計算規則!$B$21/100,1,0)</f>
        <v>1</v>
      </c>
      <c r="O19" s="10" t="n">
        <f aca="false">IF(M19&gt;=20_人力負荷_計算規則!$B$24,1,0)</f>
        <v>0</v>
      </c>
      <c r="P19" s="28" t="str">
        <f aca="false">IF(N19=1,IF(O19=1,"高效主力","過勞低效"),IF(O19=1,"量能未滿","需輔導"))</f>
        <v>過勞低效</v>
      </c>
      <c r="Q19" s="10" t="n">
        <v>3</v>
      </c>
      <c r="R19" s="10" t="n">
        <v>0</v>
      </c>
    </row>
    <row r="20" customFormat="false" ht="15" hidden="false" customHeight="false" outlineLevel="0" collapsed="false">
      <c r="A20" s="10" t="n">
        <v>16</v>
      </c>
      <c r="B20" s="20" t="s">
        <v>460</v>
      </c>
      <c r="C20" s="23" t="s">
        <v>432</v>
      </c>
      <c r="D20" s="32" t="s">
        <v>452</v>
      </c>
      <c r="E20" s="32" t="s">
        <v>459</v>
      </c>
      <c r="F20" s="58" t="n">
        <v>888</v>
      </c>
      <c r="G20" s="59" t="n">
        <v>963.8</v>
      </c>
      <c r="H20" s="60" t="n">
        <f aca="false">F20/G20</f>
        <v>0.921352977796223</v>
      </c>
      <c r="I20" s="10" t="str">
        <f aca="false">IF(H20&gt;20_人力負荷_計算規則!$B$22/100,"過載",IF(H20&gt;=20_人力負荷_計算規則!$B$21/100,"飽和",IF(H20&gt;=20_人力負荷_計算規則!$B$23/100,"適中","低度")))</f>
        <v>飽和</v>
      </c>
      <c r="J20" s="58" t="n">
        <v>1344</v>
      </c>
      <c r="K20" s="58" t="n">
        <v>1321</v>
      </c>
      <c r="L20" s="60" t="n">
        <f aca="false">1-K20/J20</f>
        <v>0.0171130952380952</v>
      </c>
      <c r="M20" s="59" t="n">
        <v>45</v>
      </c>
      <c r="N20" s="10" t="n">
        <f aca="false">IF(H20&gt;=20_人力負荷_計算規則!$B$21/100,1,0)</f>
        <v>1</v>
      </c>
      <c r="O20" s="10" t="n">
        <f aca="false">IF(M20&gt;=20_人力負荷_計算規則!$B$24,1,0)</f>
        <v>0</v>
      </c>
      <c r="P20" s="28" t="str">
        <f aca="false">IF(N20=1,IF(O20=1,"高效主力","過勞低效"),IF(O20=1,"量能未滿","需輔導"))</f>
        <v>過勞低效</v>
      </c>
      <c r="Q20" s="10" t="n">
        <v>2</v>
      </c>
      <c r="R20" s="10" t="n">
        <v>0</v>
      </c>
    </row>
    <row r="21" customFormat="false" ht="15" hidden="false" customHeight="false" outlineLevel="0" collapsed="false">
      <c r="A21" s="10" t="n">
        <v>17</v>
      </c>
      <c r="B21" s="20" t="s">
        <v>461</v>
      </c>
      <c r="C21" s="23" t="s">
        <v>432</v>
      </c>
      <c r="D21" s="32" t="s">
        <v>436</v>
      </c>
      <c r="E21" s="32" t="s">
        <v>437</v>
      </c>
      <c r="F21" s="58" t="n">
        <v>168</v>
      </c>
      <c r="G21" s="59" t="n">
        <v>183.3</v>
      </c>
      <c r="H21" s="60" t="n">
        <f aca="false">F21/G21</f>
        <v>0.916530278232406</v>
      </c>
      <c r="I21" s="10" t="str">
        <f aca="false">IF(H21&gt;20_人力負荷_計算規則!$B$22/100,"過載",IF(H21&gt;=20_人力負荷_計算規則!$B$21/100,"飽和",IF(H21&gt;=20_人力負荷_計算規則!$B$23/100,"適中","低度")))</f>
        <v>飽和</v>
      </c>
      <c r="J21" s="58" t="n">
        <v>164</v>
      </c>
      <c r="K21" s="58" t="n">
        <v>0</v>
      </c>
      <c r="L21" s="60" t="n">
        <f aca="false">1-K21/J21</f>
        <v>1</v>
      </c>
      <c r="M21" s="59" t="n">
        <v>22.9</v>
      </c>
      <c r="N21" s="10" t="n">
        <f aca="false">IF(H21&gt;=20_人力負荷_計算規則!$B$21/100,1,0)</f>
        <v>1</v>
      </c>
      <c r="O21" s="10" t="n">
        <f aca="false">IF(M21&gt;=20_人力負荷_計算規則!$B$24,1,0)</f>
        <v>0</v>
      </c>
      <c r="P21" s="28" t="str">
        <f aca="false">IF(N21=1,IF(O21=1,"高效主力","過勞低效"),IF(O21=1,"量能未滿","需輔導"))</f>
        <v>過勞低效</v>
      </c>
      <c r="Q21" s="10" t="n">
        <v>0</v>
      </c>
      <c r="R21" s="10" t="n">
        <v>0</v>
      </c>
    </row>
    <row r="22" customFormat="false" ht="15" hidden="false" customHeight="false" outlineLevel="0" collapsed="false">
      <c r="A22" s="10" t="n">
        <v>18</v>
      </c>
      <c r="B22" s="20" t="s">
        <v>462</v>
      </c>
      <c r="C22" s="23" t="s">
        <v>432</v>
      </c>
      <c r="D22" s="32" t="s">
        <v>452</v>
      </c>
      <c r="E22" s="32" t="s">
        <v>442</v>
      </c>
      <c r="F22" s="58" t="n">
        <v>880</v>
      </c>
      <c r="G22" s="59" t="n">
        <v>963.8</v>
      </c>
      <c r="H22" s="60" t="n">
        <f aca="false">F22/G22</f>
        <v>0.91305250051878</v>
      </c>
      <c r="I22" s="10" t="str">
        <f aca="false">IF(H22&gt;20_人力負荷_計算規則!$B$22/100,"過載",IF(H22&gt;=20_人力負荷_計算規則!$B$21/100,"飽和",IF(H22&gt;=20_人力負荷_計算規則!$B$23/100,"適中","低度")))</f>
        <v>飽和</v>
      </c>
      <c r="J22" s="58" t="n">
        <v>3476</v>
      </c>
      <c r="K22" s="58" t="n">
        <v>1546.5</v>
      </c>
      <c r="L22" s="60" t="n">
        <f aca="false">1-K22/J22</f>
        <v>0.555092059838895</v>
      </c>
      <c r="M22" s="59" t="n">
        <v>53.3</v>
      </c>
      <c r="N22" s="10" t="n">
        <f aca="false">IF(H22&gt;=20_人力負荷_計算規則!$B$21/100,1,0)</f>
        <v>1</v>
      </c>
      <c r="O22" s="10" t="n">
        <f aca="false">IF(M22&gt;=20_人力負荷_計算規則!$B$24,1,0)</f>
        <v>1</v>
      </c>
      <c r="P22" s="28" t="str">
        <f aca="false">IF(N22=1,IF(O22=1,"高效主力","過勞低效"),IF(O22=1,"量能未滿","需輔導"))</f>
        <v>高效主力</v>
      </c>
      <c r="Q22" s="10" t="n">
        <v>3</v>
      </c>
      <c r="R22" s="10" t="n">
        <v>12</v>
      </c>
    </row>
    <row r="23" customFormat="false" ht="15" hidden="false" customHeight="false" outlineLevel="0" collapsed="false">
      <c r="A23" s="10" t="n">
        <v>19</v>
      </c>
      <c r="B23" s="20" t="s">
        <v>463</v>
      </c>
      <c r="C23" s="23" t="s">
        <v>432</v>
      </c>
      <c r="D23" s="32" t="s">
        <v>452</v>
      </c>
      <c r="E23" s="32" t="s">
        <v>437</v>
      </c>
      <c r="F23" s="58" t="n">
        <v>200</v>
      </c>
      <c r="G23" s="59" t="n">
        <v>221.5</v>
      </c>
      <c r="H23" s="60" t="n">
        <f aca="false">F23/G23</f>
        <v>0.90293453724605</v>
      </c>
      <c r="I23" s="10" t="str">
        <f aca="false">IF(H23&gt;20_人力負荷_計算規則!$B$22/100,"過載",IF(H23&gt;=20_人力負荷_計算規則!$B$21/100,"飽和",IF(H23&gt;=20_人力負荷_計算規則!$B$23/100,"適中","低度")))</f>
        <v>飽和</v>
      </c>
      <c r="J23" s="58" t="n">
        <v>200</v>
      </c>
      <c r="K23" s="58" t="n">
        <v>181.5</v>
      </c>
      <c r="L23" s="60" t="n">
        <f aca="false">1-K23/J23</f>
        <v>0.0925</v>
      </c>
      <c r="M23" s="59" t="n">
        <v>34.8</v>
      </c>
      <c r="N23" s="10" t="n">
        <f aca="false">IF(H23&gt;=20_人力負荷_計算規則!$B$21/100,1,0)</f>
        <v>1</v>
      </c>
      <c r="O23" s="10" t="n">
        <f aca="false">IF(M23&gt;=20_人力負荷_計算規則!$B$24,1,0)</f>
        <v>0</v>
      </c>
      <c r="P23" s="28" t="str">
        <f aca="false">IF(N23=1,IF(O23=1,"高效主力","過勞低效"),IF(O23=1,"量能未滿","需輔導"))</f>
        <v>過勞低效</v>
      </c>
      <c r="Q23" s="10" t="n">
        <v>3</v>
      </c>
      <c r="R23" s="10" t="n">
        <v>0</v>
      </c>
    </row>
    <row r="24" customFormat="false" ht="15" hidden="false" customHeight="false" outlineLevel="0" collapsed="false">
      <c r="A24" s="10" t="n">
        <v>20</v>
      </c>
      <c r="B24" s="20" t="s">
        <v>464</v>
      </c>
      <c r="C24" s="23" t="s">
        <v>432</v>
      </c>
      <c r="D24" s="32" t="s">
        <v>452</v>
      </c>
      <c r="E24" s="32" t="s">
        <v>459</v>
      </c>
      <c r="F24" s="58" t="n">
        <v>800</v>
      </c>
      <c r="G24" s="59" t="n">
        <v>963.8</v>
      </c>
      <c r="H24" s="60" t="n">
        <f aca="false">F24/G24</f>
        <v>0.830047727744345</v>
      </c>
      <c r="I24" s="10" t="str">
        <f aca="false">IF(H24&gt;20_人力負荷_計算規則!$B$22/100,"過載",IF(H24&gt;=20_人力負荷_計算規則!$B$21/100,"飽和",IF(H24&gt;=20_人力負荷_計算規則!$B$23/100,"適中","低度")))</f>
        <v>適中</v>
      </c>
      <c r="J24" s="58" t="n">
        <v>3921</v>
      </c>
      <c r="K24" s="58" t="n">
        <v>3097.5</v>
      </c>
      <c r="L24" s="60" t="n">
        <f aca="false">1-K24/J24</f>
        <v>0.210022953328233</v>
      </c>
      <c r="M24" s="59" t="n">
        <v>42.8</v>
      </c>
      <c r="N24" s="10" t="n">
        <f aca="false">IF(H24&gt;=20_人力負荷_計算規則!$B$21/100,1,0)</f>
        <v>0</v>
      </c>
      <c r="O24" s="10" t="n">
        <f aca="false">IF(M24&gt;=20_人力負荷_計算規則!$B$24,1,0)</f>
        <v>0</v>
      </c>
      <c r="P24" s="28" t="str">
        <f aca="false">IF(N24=1,IF(O24=1,"高效主力","過勞低效"),IF(O24=1,"量能未滿","需輔導"))</f>
        <v>需輔導</v>
      </c>
      <c r="Q24" s="10" t="n">
        <v>2</v>
      </c>
      <c r="R24" s="10" t="n">
        <v>20</v>
      </c>
    </row>
    <row r="25" customFormat="false" ht="15" hidden="false" customHeight="false" outlineLevel="0" collapsed="false">
      <c r="A25" s="10" t="n">
        <v>21</v>
      </c>
      <c r="B25" s="20" t="s">
        <v>465</v>
      </c>
      <c r="C25" s="23" t="s">
        <v>432</v>
      </c>
      <c r="D25" s="32" t="s">
        <v>439</v>
      </c>
      <c r="E25" s="32" t="s">
        <v>446</v>
      </c>
      <c r="F25" s="58" t="n">
        <v>331.5</v>
      </c>
      <c r="G25" s="59" t="n">
        <v>963.8</v>
      </c>
      <c r="H25" s="60" t="n">
        <f aca="false">F25/G25</f>
        <v>0.343951027184063</v>
      </c>
      <c r="I25" s="10" t="str">
        <f aca="false">IF(H25&gt;20_人力負荷_計算規則!$B$22/100,"過載",IF(H25&gt;=20_人力負荷_計算規則!$B$21/100,"飽和",IF(H25&gt;=20_人力負荷_計算規則!$B$23/100,"適中","低度")))</f>
        <v>低度</v>
      </c>
      <c r="J25" s="58" t="n">
        <v>2041</v>
      </c>
      <c r="K25" s="58" t="n">
        <v>1791.3</v>
      </c>
      <c r="L25" s="60" t="n">
        <f aca="false">1-K25/J25</f>
        <v>0.12234198922097</v>
      </c>
      <c r="M25" s="59" t="n">
        <v>64.6</v>
      </c>
      <c r="N25" s="10" t="n">
        <f aca="false">IF(H25&gt;=20_人力負荷_計算規則!$B$21/100,1,0)</f>
        <v>0</v>
      </c>
      <c r="O25" s="10" t="n">
        <f aca="false">IF(M25&gt;=20_人力負荷_計算規則!$B$24,1,0)</f>
        <v>1</v>
      </c>
      <c r="P25" s="28" t="str">
        <f aca="false">IF(N25=1,IF(O25=1,"高效主力","過勞低效"),IF(O25=1,"量能未滿","需輔導"))</f>
        <v>量能未滿</v>
      </c>
      <c r="Q25" s="10" t="n">
        <v>10</v>
      </c>
      <c r="R25" s="10" t="n">
        <v>13</v>
      </c>
    </row>
    <row r="26" customFormat="false" ht="15" hidden="false" customHeight="false" outlineLevel="0" collapsed="false">
      <c r="A26" s="10" t="n">
        <v>22</v>
      </c>
      <c r="B26" s="20" t="s">
        <v>466</v>
      </c>
      <c r="C26" s="23" t="s">
        <v>467</v>
      </c>
      <c r="D26" s="32" t="s">
        <v>468</v>
      </c>
      <c r="E26" s="32" t="s">
        <v>437</v>
      </c>
      <c r="F26" s="58" t="n">
        <v>1005.5</v>
      </c>
      <c r="G26" s="59" t="n">
        <v>963.8</v>
      </c>
      <c r="H26" s="60" t="n">
        <f aca="false">F26/G26</f>
        <v>1.04326623780867</v>
      </c>
      <c r="I26" s="10" t="str">
        <f aca="false">IF(H26&gt;20_人力負荷_計算規則!$B$22/100,"過載",IF(H26&gt;=20_人力負荷_計算規則!$B$21/100,"飽和",IF(H26&gt;=20_人力負荷_計算規則!$B$23/100,"適中","低度")))</f>
        <v>飽和</v>
      </c>
      <c r="J26" s="58" t="n">
        <v>4303</v>
      </c>
      <c r="K26" s="58" t="n">
        <v>3764.5</v>
      </c>
      <c r="L26" s="60" t="n">
        <f aca="false">1-K26/J26</f>
        <v>0.125145247501743</v>
      </c>
      <c r="M26" s="59" t="n">
        <v>70.5</v>
      </c>
      <c r="N26" s="10" t="n">
        <f aca="false">IF(H26&gt;=20_人力負荷_計算規則!$B$21/100,1,0)</f>
        <v>1</v>
      </c>
      <c r="O26" s="10" t="n">
        <f aca="false">IF(M26&gt;=20_人力負荷_計算規則!$B$24,1,0)</f>
        <v>1</v>
      </c>
      <c r="P26" s="28" t="str">
        <f aca="false">IF(N26=1,IF(O26=1,"高效主力","過勞低效"),IF(O26=1,"量能未滿","需輔導"))</f>
        <v>高效主力</v>
      </c>
      <c r="Q26" s="10" t="n">
        <v>6</v>
      </c>
      <c r="R26" s="10" t="n">
        <v>14</v>
      </c>
    </row>
    <row r="27" customFormat="false" ht="15" hidden="false" customHeight="false" outlineLevel="0" collapsed="false">
      <c r="A27" s="10" t="n">
        <v>23</v>
      </c>
      <c r="B27" s="20" t="s">
        <v>469</v>
      </c>
      <c r="C27" s="23" t="s">
        <v>467</v>
      </c>
      <c r="D27" s="32" t="s">
        <v>468</v>
      </c>
      <c r="E27" s="32" t="s">
        <v>446</v>
      </c>
      <c r="F27" s="58" t="n">
        <v>993</v>
      </c>
      <c r="G27" s="59" t="n">
        <v>963.8</v>
      </c>
      <c r="H27" s="60" t="n">
        <f aca="false">F27/G27</f>
        <v>1.03029674206267</v>
      </c>
      <c r="I27" s="10" t="str">
        <f aca="false">IF(H27&gt;20_人力負荷_計算規則!$B$22/100,"過載",IF(H27&gt;=20_人力負荷_計算規則!$B$21/100,"飽和",IF(H27&gt;=20_人力負荷_計算規則!$B$23/100,"適中","低度")))</f>
        <v>飽和</v>
      </c>
      <c r="J27" s="58" t="n">
        <v>3629.5</v>
      </c>
      <c r="K27" s="58" t="n">
        <v>2899.5</v>
      </c>
      <c r="L27" s="60" t="n">
        <f aca="false">1-K27/J27</f>
        <v>0.201129632180741</v>
      </c>
      <c r="M27" s="59" t="n">
        <v>55</v>
      </c>
      <c r="N27" s="10" t="n">
        <f aca="false">IF(H27&gt;=20_人力負荷_計算規則!$B$21/100,1,0)</f>
        <v>1</v>
      </c>
      <c r="O27" s="10" t="n">
        <f aca="false">IF(M27&gt;=20_人力負荷_計算規則!$B$24,1,0)</f>
        <v>1</v>
      </c>
      <c r="P27" s="28" t="str">
        <f aca="false">IF(N27=1,IF(O27=1,"高效主力","過勞低效"),IF(O27=1,"量能未滿","需輔導"))</f>
        <v>高效主力</v>
      </c>
      <c r="Q27" s="10" t="n">
        <v>8</v>
      </c>
      <c r="R27" s="10" t="n">
        <v>18</v>
      </c>
    </row>
    <row r="28" customFormat="false" ht="15" hidden="false" customHeight="false" outlineLevel="0" collapsed="false">
      <c r="A28" s="10" t="n">
        <v>24</v>
      </c>
      <c r="B28" s="20" t="s">
        <v>470</v>
      </c>
      <c r="C28" s="23" t="s">
        <v>467</v>
      </c>
      <c r="D28" s="32" t="s">
        <v>471</v>
      </c>
      <c r="E28" s="32" t="s">
        <v>446</v>
      </c>
      <c r="F28" s="58" t="n">
        <v>913</v>
      </c>
      <c r="G28" s="59" t="n">
        <v>963.8</v>
      </c>
      <c r="H28" s="60" t="n">
        <f aca="false">F28/G28</f>
        <v>0.947291969288234</v>
      </c>
      <c r="I28" s="10" t="str">
        <f aca="false">IF(H28&gt;20_人力負荷_計算規則!$B$22/100,"過載",IF(H28&gt;=20_人力負荷_計算規則!$B$21/100,"飽和",IF(H28&gt;=20_人力負荷_計算規則!$B$23/100,"適中","低度")))</f>
        <v>飽和</v>
      </c>
      <c r="J28" s="58" t="n">
        <v>2415.6</v>
      </c>
      <c r="K28" s="58" t="n">
        <v>222.5</v>
      </c>
      <c r="L28" s="60" t="n">
        <f aca="false">1-K28/J28</f>
        <v>0.907890379201855</v>
      </c>
      <c r="M28" s="59" t="n">
        <v>71.6</v>
      </c>
      <c r="N28" s="10" t="n">
        <f aca="false">IF(H28&gt;=20_人力負荷_計算規則!$B$21/100,1,0)</f>
        <v>1</v>
      </c>
      <c r="O28" s="10" t="n">
        <f aca="false">IF(M28&gt;=20_人力負荷_計算規則!$B$24,1,0)</f>
        <v>1</v>
      </c>
      <c r="P28" s="28" t="str">
        <f aca="false">IF(N28=1,IF(O28=1,"高效主力","過勞低效"),IF(O28=1,"量能未滿","需輔導"))</f>
        <v>高效主力</v>
      </c>
      <c r="Q28" s="10" t="n">
        <v>2</v>
      </c>
      <c r="R28" s="10" t="n">
        <v>8</v>
      </c>
    </row>
    <row r="29" customFormat="false" ht="15" hidden="false" customHeight="false" outlineLevel="0" collapsed="false">
      <c r="A29" s="10" t="n">
        <v>25</v>
      </c>
      <c r="B29" s="20" t="s">
        <v>472</v>
      </c>
      <c r="C29" s="23" t="s">
        <v>467</v>
      </c>
      <c r="D29" s="32" t="s">
        <v>471</v>
      </c>
      <c r="E29" s="32" t="s">
        <v>473</v>
      </c>
      <c r="F29" s="58" t="n">
        <v>904</v>
      </c>
      <c r="G29" s="59" t="n">
        <v>963.8</v>
      </c>
      <c r="H29" s="60" t="n">
        <f aca="false">F29/G29</f>
        <v>0.93795393235111</v>
      </c>
      <c r="I29" s="10" t="str">
        <f aca="false">IF(H29&gt;20_人力負荷_計算規則!$B$22/100,"過載",IF(H29&gt;=20_人力負荷_計算規則!$B$21/100,"飽和",IF(H29&gt;=20_人力負荷_計算規則!$B$23/100,"適中","低度")))</f>
        <v>飽和</v>
      </c>
      <c r="J29" s="58" t="n">
        <v>2862</v>
      </c>
      <c r="K29" s="58" t="n">
        <v>826</v>
      </c>
      <c r="L29" s="60" t="n">
        <f aca="false">1-K29/J29</f>
        <v>0.711390635918938</v>
      </c>
      <c r="M29" s="59" t="n">
        <v>63.7</v>
      </c>
      <c r="N29" s="10" t="n">
        <f aca="false">IF(H29&gt;=20_人力負荷_計算規則!$B$21/100,1,0)</f>
        <v>1</v>
      </c>
      <c r="O29" s="10" t="n">
        <f aca="false">IF(M29&gt;=20_人力負荷_計算規則!$B$24,1,0)</f>
        <v>1</v>
      </c>
      <c r="P29" s="28" t="str">
        <f aca="false">IF(N29=1,IF(O29=1,"高效主力","過勞低效"),IF(O29=1,"量能未滿","需輔導"))</f>
        <v>高效主力</v>
      </c>
      <c r="Q29" s="10" t="n">
        <v>1</v>
      </c>
      <c r="R29" s="10" t="n">
        <v>2</v>
      </c>
    </row>
    <row r="30" customFormat="false" ht="15" hidden="false" customHeight="false" outlineLevel="0" collapsed="false">
      <c r="A30" s="10" t="n">
        <v>26</v>
      </c>
      <c r="B30" s="20" t="s">
        <v>474</v>
      </c>
      <c r="C30" s="23" t="s">
        <v>467</v>
      </c>
      <c r="D30" s="32" t="s">
        <v>471</v>
      </c>
      <c r="E30" s="32" t="s">
        <v>446</v>
      </c>
      <c r="F30" s="58" t="n">
        <v>895</v>
      </c>
      <c r="G30" s="59" t="n">
        <v>963.8</v>
      </c>
      <c r="H30" s="60" t="n">
        <f aca="false">F30/G30</f>
        <v>0.928615895413986</v>
      </c>
      <c r="I30" s="10" t="str">
        <f aca="false">IF(H30&gt;20_人力負荷_計算規則!$B$22/100,"過載",IF(H30&gt;=20_人力負荷_計算規則!$B$21/100,"飽和",IF(H30&gt;=20_人力負荷_計算規則!$B$23/100,"適中","低度")))</f>
        <v>飽和</v>
      </c>
      <c r="J30" s="58" t="n">
        <v>2415</v>
      </c>
      <c r="K30" s="58" t="n">
        <v>1014</v>
      </c>
      <c r="L30" s="60" t="n">
        <f aca="false">1-K30/J30</f>
        <v>0.580124223602484</v>
      </c>
      <c r="M30" s="59" t="n">
        <v>45.9</v>
      </c>
      <c r="N30" s="10" t="n">
        <f aca="false">IF(H30&gt;=20_人力負荷_計算規則!$B$21/100,1,0)</f>
        <v>1</v>
      </c>
      <c r="O30" s="10" t="n">
        <f aca="false">IF(M30&gt;=20_人力負荷_計算規則!$B$24,1,0)</f>
        <v>0</v>
      </c>
      <c r="P30" s="28" t="str">
        <f aca="false">IF(N30=1,IF(O30=1,"高效主力","過勞低效"),IF(O30=1,"量能未滿","需輔導"))</f>
        <v>過勞低效</v>
      </c>
      <c r="Q30" s="10" t="n">
        <v>11</v>
      </c>
      <c r="R30" s="10" t="n">
        <v>49</v>
      </c>
    </row>
    <row r="31" customFormat="false" ht="15" hidden="false" customHeight="false" outlineLevel="0" collapsed="false">
      <c r="A31" s="10" t="n">
        <v>27</v>
      </c>
      <c r="B31" s="20" t="s">
        <v>475</v>
      </c>
      <c r="C31" s="23" t="s">
        <v>467</v>
      </c>
      <c r="D31" s="32" t="s">
        <v>468</v>
      </c>
      <c r="E31" s="32" t="s">
        <v>455</v>
      </c>
      <c r="F31" s="58" t="n">
        <v>743.5</v>
      </c>
      <c r="G31" s="59" t="n">
        <v>803.8</v>
      </c>
      <c r="H31" s="60" t="n">
        <f aca="false">F31/G31</f>
        <v>0.924981338641453</v>
      </c>
      <c r="I31" s="10" t="str">
        <f aca="false">IF(H31&gt;20_人力負荷_計算規則!$B$22/100,"過載",IF(H31&gt;=20_人力負荷_計算規則!$B$21/100,"飽和",IF(H31&gt;=20_人力負荷_計算規則!$B$23/100,"適中","低度")))</f>
        <v>飽和</v>
      </c>
      <c r="J31" s="58" t="n">
        <v>743.5</v>
      </c>
      <c r="K31" s="58" t="n">
        <v>263.5</v>
      </c>
      <c r="L31" s="60" t="n">
        <f aca="false">1-K31/J31</f>
        <v>0.645595158036315</v>
      </c>
      <c r="M31" s="59" t="n">
        <v>42.5</v>
      </c>
      <c r="N31" s="10" t="n">
        <f aca="false">IF(H31&gt;=20_人力負荷_計算規則!$B$21/100,1,0)</f>
        <v>1</v>
      </c>
      <c r="O31" s="10" t="n">
        <f aca="false">IF(M31&gt;=20_人力負荷_計算規則!$B$24,1,0)</f>
        <v>0</v>
      </c>
      <c r="P31" s="28" t="str">
        <f aca="false">IF(N31=1,IF(O31=1,"高效主力","過勞低效"),IF(O31=1,"量能未滿","需輔導"))</f>
        <v>過勞低效</v>
      </c>
      <c r="Q31" s="10" t="n">
        <v>2</v>
      </c>
      <c r="R31" s="10" t="n">
        <v>18</v>
      </c>
    </row>
    <row r="32" customFormat="false" ht="15" hidden="false" customHeight="false" outlineLevel="0" collapsed="false">
      <c r="A32" s="10" t="n">
        <v>28</v>
      </c>
      <c r="B32" s="20" t="s">
        <v>476</v>
      </c>
      <c r="C32" s="23" t="s">
        <v>467</v>
      </c>
      <c r="D32" s="32" t="s">
        <v>471</v>
      </c>
      <c r="E32" s="32" t="s">
        <v>477</v>
      </c>
      <c r="F32" s="58" t="n">
        <v>856.5</v>
      </c>
      <c r="G32" s="59" t="n">
        <v>963.8</v>
      </c>
      <c r="H32" s="60" t="n">
        <f aca="false">F32/G32</f>
        <v>0.88866984851629</v>
      </c>
      <c r="I32" s="10" t="str">
        <f aca="false">IF(H32&gt;20_人力負荷_計算規則!$B$22/100,"過載",IF(H32&gt;=20_人力負荷_計算規則!$B$21/100,"飽和",IF(H32&gt;=20_人力負荷_計算規則!$B$23/100,"適中","低度")))</f>
        <v>飽和</v>
      </c>
      <c r="J32" s="58" t="n">
        <v>2422.6</v>
      </c>
      <c r="K32" s="58" t="n">
        <v>570</v>
      </c>
      <c r="L32" s="60" t="n">
        <f aca="false">1-K32/J32</f>
        <v>0.764715594815488</v>
      </c>
      <c r="M32" s="59" t="n">
        <v>51.2</v>
      </c>
      <c r="N32" s="10" t="n">
        <f aca="false">IF(H32&gt;=20_人力負荷_計算規則!$B$21/100,1,0)</f>
        <v>1</v>
      </c>
      <c r="O32" s="10" t="n">
        <f aca="false">IF(M32&gt;=20_人力負荷_計算規則!$B$24,1,0)</f>
        <v>1</v>
      </c>
      <c r="P32" s="28" t="str">
        <f aca="false">IF(N32=1,IF(O32=1,"高效主力","過勞低效"),IF(O32=1,"量能未滿","需輔導"))</f>
        <v>高效主力</v>
      </c>
      <c r="Q32" s="10" t="n">
        <v>3</v>
      </c>
      <c r="R32" s="10" t="n">
        <v>8</v>
      </c>
    </row>
    <row r="33" customFormat="false" ht="15" hidden="false" customHeight="false" outlineLevel="0" collapsed="false">
      <c r="A33" s="10" t="n">
        <v>29</v>
      </c>
      <c r="B33" s="20" t="s">
        <v>478</v>
      </c>
      <c r="C33" s="23" t="s">
        <v>467</v>
      </c>
      <c r="D33" s="32" t="s">
        <v>471</v>
      </c>
      <c r="E33" s="32" t="s">
        <v>446</v>
      </c>
      <c r="F33" s="58" t="n">
        <v>800</v>
      </c>
      <c r="G33" s="59" t="n">
        <v>963.8</v>
      </c>
      <c r="H33" s="60" t="n">
        <f aca="false">F33/G33</f>
        <v>0.830047727744345</v>
      </c>
      <c r="I33" s="10" t="str">
        <f aca="false">IF(H33&gt;20_人力負荷_計算規則!$B$22/100,"過載",IF(H33&gt;=20_人力負荷_計算規則!$B$21/100,"飽和",IF(H33&gt;=20_人力負荷_計算規則!$B$23/100,"適中","低度")))</f>
        <v>適中</v>
      </c>
      <c r="J33" s="58" t="n">
        <v>3787</v>
      </c>
      <c r="K33" s="58" t="n">
        <v>1583</v>
      </c>
      <c r="L33" s="60" t="n">
        <f aca="false">1-K33/J33</f>
        <v>0.581991021917085</v>
      </c>
      <c r="M33" s="59" t="n">
        <v>56.4</v>
      </c>
      <c r="N33" s="10" t="n">
        <f aca="false">IF(H33&gt;=20_人力負荷_計算規則!$B$21/100,1,0)</f>
        <v>0</v>
      </c>
      <c r="O33" s="10" t="n">
        <f aca="false">IF(M33&gt;=20_人力負荷_計算規則!$B$24,1,0)</f>
        <v>1</v>
      </c>
      <c r="P33" s="28" t="str">
        <f aca="false">IF(N33=1,IF(O33=1,"高效主力","過勞低效"),IF(O33=1,"量能未滿","需輔導"))</f>
        <v>量能未滿</v>
      </c>
      <c r="Q33" s="10" t="n">
        <v>0</v>
      </c>
      <c r="R33" s="10" t="n">
        <v>13</v>
      </c>
    </row>
    <row r="34" customFormat="false" ht="15" hidden="false" customHeight="false" outlineLevel="0" collapsed="false">
      <c r="A34" s="10" t="n">
        <v>30</v>
      </c>
      <c r="B34" s="20" t="s">
        <v>479</v>
      </c>
      <c r="C34" s="23" t="s">
        <v>467</v>
      </c>
      <c r="D34" s="32" t="s">
        <v>468</v>
      </c>
      <c r="E34" s="32" t="s">
        <v>442</v>
      </c>
      <c r="F34" s="58" t="n">
        <v>557.5</v>
      </c>
      <c r="G34" s="59" t="n">
        <v>963.8</v>
      </c>
      <c r="H34" s="60" t="n">
        <f aca="false">F34/G34</f>
        <v>0.578439510271841</v>
      </c>
      <c r="I34" s="10" t="str">
        <f aca="false">IF(H34&gt;20_人力負荷_計算規則!$B$22/100,"過載",IF(H34&gt;=20_人力負荷_計算規則!$B$21/100,"飽和",IF(H34&gt;=20_人力負荷_計算規則!$B$23/100,"適中","低度")))</f>
        <v>低度</v>
      </c>
      <c r="J34" s="58" t="n">
        <v>4149.5</v>
      </c>
      <c r="K34" s="58" t="n">
        <v>3104</v>
      </c>
      <c r="L34" s="60" t="n">
        <f aca="false">1-K34/J34</f>
        <v>0.251958067237017</v>
      </c>
      <c r="M34" s="59" t="n">
        <v>56.1</v>
      </c>
      <c r="N34" s="10" t="n">
        <f aca="false">IF(H34&gt;=20_人力負荷_計算規則!$B$21/100,1,0)</f>
        <v>0</v>
      </c>
      <c r="O34" s="10" t="n">
        <f aca="false">IF(M34&gt;=20_人力負荷_計算規則!$B$24,1,0)</f>
        <v>1</v>
      </c>
      <c r="P34" s="28" t="str">
        <f aca="false">IF(N34=1,IF(O34=1,"高效主力","過勞低效"),IF(O34=1,"量能未滿","需輔導"))</f>
        <v>量能未滿</v>
      </c>
      <c r="Q34" s="10" t="n">
        <v>10</v>
      </c>
      <c r="R34" s="10" t="n">
        <v>10</v>
      </c>
    </row>
    <row r="35" customFormat="false" ht="15" hidden="false" customHeight="false" outlineLevel="0" collapsed="false">
      <c r="A35" s="37"/>
      <c r="B35" s="6" t="s">
        <v>480</v>
      </c>
      <c r="C35" s="37"/>
      <c r="D35" s="37"/>
      <c r="E35" s="37"/>
      <c r="F35" s="38" t="n">
        <f aca="false">SUM(F5:F34)</f>
        <v>23947</v>
      </c>
      <c r="G35" s="37"/>
      <c r="H35" s="61" t="n">
        <f aca="false">AVERAGE(H5:H34)</f>
        <v>0.903747099109916</v>
      </c>
      <c r="I35" s="37"/>
      <c r="J35" s="38" t="n">
        <f aca="false">SUM(J5:J34)</f>
        <v>88601.5</v>
      </c>
      <c r="K35" s="38" t="n">
        <f aca="false">SUM(K5:K34)</f>
        <v>53503.1</v>
      </c>
      <c r="L35" s="61" t="n">
        <f aca="false">1-K35/J35</f>
        <v>0.396137762904691</v>
      </c>
      <c r="M35" s="37"/>
      <c r="N35" s="37"/>
      <c r="O35" s="37"/>
      <c r="P35" s="37"/>
      <c r="Q35" s="37"/>
      <c r="R35" s="37"/>
    </row>
    <row r="37" customFormat="false" ht="15" hidden="false" customHeight="false" outlineLevel="0" collapsed="false">
      <c r="B37" s="3" t="s">
        <v>481</v>
      </c>
      <c r="C37" s="15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11" min="8" style="0" width="11"/>
    <col collapsed="false" customWidth="true" hidden="false" outlineLevel="0" max="12" min="12" style="0" width="10"/>
  </cols>
  <sheetData>
    <row r="1" customFormat="false" ht="18.55" hidden="false" customHeight="false" outlineLevel="0" collapsed="false">
      <c r="A1" s="14" t="s">
        <v>483</v>
      </c>
    </row>
    <row r="2" customFormat="false" ht="15" hidden="false" customHeight="false" outlineLevel="0" collapsed="false">
      <c r="A2" s="15" t="s">
        <v>484</v>
      </c>
    </row>
    <row r="4" customFormat="false" ht="30" hidden="false" customHeight="true" outlineLevel="0" collapsed="false">
      <c r="A4" s="16" t="s">
        <v>485</v>
      </c>
      <c r="B4" s="16" t="s">
        <v>486</v>
      </c>
      <c r="C4" s="16" t="s">
        <v>487</v>
      </c>
      <c r="D4" s="16" t="s">
        <v>488</v>
      </c>
      <c r="E4" s="16" t="s">
        <v>489</v>
      </c>
      <c r="F4" s="16" t="s">
        <v>490</v>
      </c>
      <c r="G4" s="16" t="s">
        <v>491</v>
      </c>
      <c r="H4" s="16" t="s">
        <v>390</v>
      </c>
      <c r="I4" s="16" t="s">
        <v>492</v>
      </c>
      <c r="J4" s="16" t="s">
        <v>493</v>
      </c>
      <c r="K4" s="16" t="s">
        <v>494</v>
      </c>
      <c r="L4" s="16" t="s">
        <v>495</v>
      </c>
    </row>
    <row r="5" customFormat="false" ht="15" hidden="false" customHeight="false" outlineLevel="0" collapsed="false">
      <c r="A5" s="20" t="s">
        <v>432</v>
      </c>
      <c r="B5" s="28" t="n">
        <f aca="false">COUNTIF(21_人力負荷_逐人明細!$C$5:$C$34,"研發一處")</f>
        <v>21</v>
      </c>
      <c r="C5" s="62" t="n">
        <f aca="false">AVERAGEIF(21_人力負荷_逐人明細!$C$5:$C$34,"研發一處",21_人力負荷_逐人明細!$H$5:$H$34)</f>
        <v>0.904897608152327</v>
      </c>
      <c r="D5" s="10" t="n">
        <f aca="false">COUNTIFS(21_人力負荷_逐人明細!$C$5:$C$34,"研發一處",21_人力負荷_逐人明細!$I$5:$I$34,"過載")</f>
        <v>0</v>
      </c>
      <c r="E5" s="10" t="n">
        <f aca="false">COUNTIFS(21_人力負荷_逐人明細!$C$5:$C$34,"研發一處",21_人力負荷_逐人明細!$I$5:$I$34,"飽和")</f>
        <v>19</v>
      </c>
      <c r="F5" s="10" t="n">
        <f aca="false">COUNTIFS(21_人力負荷_逐人明細!$C$5:$C$34,"研發一處",21_人力負荷_逐人明細!$I$5:$I$34,"適中")</f>
        <v>1</v>
      </c>
      <c r="G5" s="10" t="n">
        <f aca="false">COUNTIFS(21_人力負荷_逐人明細!$C$5:$C$34,"研發一處",21_人力負荷_逐人明細!$I$5:$I$34,"低度")</f>
        <v>1</v>
      </c>
      <c r="H5" s="62" t="n">
        <f aca="false">SUMIF(21_人力負荷_逐人明細!$C$5:$C$34,"研發一處",21_人力負荷_逐人明細!$K$5:$K$34)/SUMIF(21_人力負荷_逐人明細!$C$5:$C$34,"研發一處",21_人力負荷_逐人明細!$J$5:$J$34)</f>
        <v>0.634454324770743</v>
      </c>
      <c r="I5" s="10" t="n">
        <f aca="false">COUNTIFS(21_人力負荷_逐人明細!$C$5:$C$34,"研發一處",21_人力負荷_逐人明細!$P$5:$P$34,"高效主力")</f>
        <v>8</v>
      </c>
      <c r="J5" s="10" t="n">
        <f aca="false">COUNTIFS(21_人力負荷_逐人明細!$C$5:$C$34,"研發一處",21_人力負荷_逐人明細!$P$5:$P$34,"過勞低效")</f>
        <v>11</v>
      </c>
      <c r="K5" s="10" t="n">
        <f aca="false">COUNTIFS(21_人力負荷_逐人明細!$C$5:$C$34,"研發一處",21_人力負荷_逐人明細!$P$5:$P$34,"量能未滿")</f>
        <v>1</v>
      </c>
      <c r="L5" s="10" t="n">
        <f aca="false">COUNTIFS(21_人力負荷_逐人明細!$C$5:$C$34,"研發一處",21_人力負荷_逐人明細!$P$5:$P$34,"需輔導")</f>
        <v>1</v>
      </c>
    </row>
    <row r="6" customFormat="false" ht="15" hidden="false" customHeight="false" outlineLevel="0" collapsed="false">
      <c r="A6" s="20" t="s">
        <v>467</v>
      </c>
      <c r="B6" s="28" t="n">
        <f aca="false">COUNTIF(21_人力負荷_逐人明細!$C$5:$C$34,"研發二處")</f>
        <v>9</v>
      </c>
      <c r="C6" s="62" t="n">
        <f aca="false">AVERAGEIF(21_人力負荷_逐人明細!$C$5:$C$34,"研發二處",21_人力負荷_逐人明細!$H$5:$H$34)</f>
        <v>0.901062578010956</v>
      </c>
      <c r="D6" s="10" t="n">
        <f aca="false">COUNTIFS(21_人力負荷_逐人明細!$C$5:$C$34,"研發二處",21_人力負荷_逐人明細!$I$5:$I$34,"過載")</f>
        <v>0</v>
      </c>
      <c r="E6" s="10" t="n">
        <f aca="false">COUNTIFS(21_人力負荷_逐人明細!$C$5:$C$34,"研發二處",21_人力負荷_逐人明細!$I$5:$I$34,"飽和")</f>
        <v>7</v>
      </c>
      <c r="F6" s="10" t="n">
        <f aca="false">COUNTIFS(21_人力負荷_逐人明細!$C$5:$C$34,"研發二處",21_人力負荷_逐人明細!$I$5:$I$34,"適中")</f>
        <v>1</v>
      </c>
      <c r="G6" s="10" t="n">
        <f aca="false">COUNTIFS(21_人力負荷_逐人明細!$C$5:$C$34,"研發二處",21_人力負荷_逐人明細!$I$5:$I$34,"低度")</f>
        <v>1</v>
      </c>
      <c r="H6" s="62" t="n">
        <f aca="false">SUMIF(21_人力負荷_逐人明細!$C$5:$C$34,"研發二處",21_人力負荷_逐人明細!$K$5:$K$34)/SUMIF(21_人力負荷_逐人明細!$C$5:$C$34,"研發二處",21_人力負荷_逐人明細!$J$5:$J$34)</f>
        <v>0.533042498980458</v>
      </c>
      <c r="I6" s="10" t="n">
        <f aca="false">COUNTIFS(21_人力負荷_逐人明細!$C$5:$C$34,"研發二處",21_人力負荷_逐人明細!$P$5:$P$34,"高效主力")</f>
        <v>5</v>
      </c>
      <c r="J6" s="10" t="n">
        <f aca="false">COUNTIFS(21_人力負荷_逐人明細!$C$5:$C$34,"研發二處",21_人力負荷_逐人明細!$P$5:$P$34,"過勞低效")</f>
        <v>2</v>
      </c>
      <c r="K6" s="10" t="n">
        <f aca="false">COUNTIFS(21_人力負荷_逐人明細!$C$5:$C$34,"研發二處",21_人力負荷_逐人明細!$P$5:$P$34,"量能未滿")</f>
        <v>2</v>
      </c>
      <c r="L6" s="10" t="n">
        <f aca="false">COUNTIFS(21_人力負荷_逐人明細!$C$5:$C$34,"研發二處",21_人力負荷_逐人明細!$P$5:$P$34,"需輔導")</f>
        <v>0</v>
      </c>
    </row>
    <row r="7" customFormat="false" ht="15" hidden="false" customHeight="false" outlineLevel="0" collapsed="false">
      <c r="A7" s="6" t="s">
        <v>496</v>
      </c>
      <c r="B7" s="7" t="n">
        <f aca="false">COUNTA(21_人力負荷_逐人明細!$B$5:$B$34)</f>
        <v>30</v>
      </c>
      <c r="C7" s="63" t="n">
        <f aca="false">AVERAGE(21_人力負荷_逐人明細!$H$5:$H$34)</f>
        <v>0.903747099109916</v>
      </c>
      <c r="D7" s="64" t="n">
        <f aca="false">COUNTIFS(21_人力負荷_逐人明細!$I$5:$I$34,"過載")</f>
        <v>0</v>
      </c>
      <c r="E7" s="64" t="n">
        <f aca="false">COUNTIFS(21_人力負荷_逐人明細!$I$5:$I$34,"飽和")</f>
        <v>26</v>
      </c>
      <c r="F7" s="64" t="n">
        <f aca="false">COUNTIFS(21_人力負荷_逐人明細!$I$5:$I$34,"適中")</f>
        <v>2</v>
      </c>
      <c r="G7" s="64" t="n">
        <f aca="false">COUNTIFS(21_人力負荷_逐人明細!$I$5:$I$34,"低度")</f>
        <v>2</v>
      </c>
      <c r="H7" s="63" t="n">
        <f aca="false">SUM(21_人力負荷_逐人明細!$K$5:$K$34)/SUM(21_人力負荷_逐人明細!$J$5:$J$34)</f>
        <v>0.603862237095309</v>
      </c>
      <c r="I7" s="64" t="n">
        <f aca="false">COUNTIFS(21_人力負荷_逐人明細!$P$5:$P$34,"高效主力")</f>
        <v>13</v>
      </c>
      <c r="J7" s="64" t="n">
        <f aca="false">COUNTIFS(21_人力負荷_逐人明細!$P$5:$P$34,"過勞低效")</f>
        <v>13</v>
      </c>
      <c r="K7" s="64" t="n">
        <f aca="false">COUNTIFS(21_人力負荷_逐人明細!$P$5:$P$34,"量能未滿")</f>
        <v>3</v>
      </c>
      <c r="L7" s="64" t="n">
        <f aca="false">COUNTIFS(21_人力負荷_逐人明細!$P$5:$P$34,"需輔導")</f>
        <v>1</v>
      </c>
    </row>
    <row r="9" customFormat="false" ht="15" hidden="false" customHeight="false" outlineLevel="0" collapsed="false">
      <c r="A9" s="12" t="s">
        <v>497</v>
      </c>
    </row>
    <row r="10" customFormat="false" ht="15" hidden="false" customHeight="false" outlineLevel="0" collapsed="false">
      <c r="A10" s="6" t="s">
        <v>498</v>
      </c>
      <c r="B10" s="7" t="s">
        <v>499</v>
      </c>
      <c r="C10" s="7" t="s">
        <v>500</v>
      </c>
      <c r="D10" s="7" t="s">
        <v>501</v>
      </c>
    </row>
    <row r="11" customFormat="false" ht="15" hidden="false" customHeight="false" outlineLevel="0" collapsed="false">
      <c r="A11" s="23" t="s">
        <v>502</v>
      </c>
      <c r="B11" s="10" t="n">
        <f aca="false">B5+B6</f>
        <v>30</v>
      </c>
      <c r="C11" s="10" t="n">
        <v>30</v>
      </c>
      <c r="D11" s="28" t="str">
        <f aca="false">IF(TEXT(B11,"General")=TEXT(C11,"General"),"✓ 通過","✗ 不符")</f>
        <v>✓ 通過</v>
      </c>
    </row>
    <row r="12" customFormat="false" ht="15" hidden="false" customHeight="false" outlineLevel="0" collapsed="false">
      <c r="A12" s="23" t="s">
        <v>503</v>
      </c>
      <c r="B12" s="10" t="n">
        <f aca="false">SUM(D7:G7)</f>
        <v>30</v>
      </c>
      <c r="C12" s="10" t="n">
        <v>30</v>
      </c>
      <c r="D12" s="28" t="str">
        <f aca="false">IF(TEXT(B12,"General")=TEXT(C12,"General"),"✓ 通過","✗ 不符")</f>
        <v>✓ 通過</v>
      </c>
    </row>
    <row r="13" customFormat="false" ht="15" hidden="false" customHeight="false" outlineLevel="0" collapsed="false">
      <c r="A13" s="23" t="s">
        <v>504</v>
      </c>
      <c r="B13" s="10" t="n">
        <f aca="false">SUM(I7:L7)</f>
        <v>30</v>
      </c>
      <c r="C13" s="10" t="n">
        <v>30</v>
      </c>
      <c r="D13" s="28" t="str">
        <f aca="false">IF(TEXT(B13,"General")=TEXT(C13,"General"),"✓ 通過","✗ 不符")</f>
        <v>✓ 通過</v>
      </c>
    </row>
    <row r="14" customFormat="false" ht="15" hidden="false" customHeight="false" outlineLevel="0" collapsed="false">
      <c r="A14" s="23" t="s">
        <v>505</v>
      </c>
      <c r="B14" s="10" t="str">
        <f aca="false">B5&amp;" 人 / "&amp;TEXT(C5,"0%")</f>
        <v>21 人 / 90%</v>
      </c>
      <c r="C14" s="10" t="s">
        <v>506</v>
      </c>
      <c r="D14" s="28" t="str">
        <f aca="false">IF(TEXT(B14,"General")=TEXT(C14,"General"),"✓ 通過","✗ 不符")</f>
        <v>✓ 通過</v>
      </c>
    </row>
    <row r="15" customFormat="false" ht="15" hidden="false" customHeight="false" outlineLevel="0" collapsed="false">
      <c r="A15" s="23" t="s">
        <v>507</v>
      </c>
      <c r="B15" s="10" t="str">
        <f aca="false">B6&amp;" 人 / "&amp;TEXT(C6,"0%")</f>
        <v>9 人 / 90%</v>
      </c>
      <c r="C15" s="10" t="s">
        <v>508</v>
      </c>
      <c r="D15" s="28" t="str">
        <f aca="false">IF(TEXT(B15,"General")=TEXT(C15,"General"),"✓ 通過","✗ 不符")</f>
        <v>✓ 通過</v>
      </c>
    </row>
    <row r="16" customFormat="false" ht="15" hidden="false" customHeight="false" outlineLevel="0" collapsed="false">
      <c r="A16" s="23" t="s">
        <v>509</v>
      </c>
      <c r="B16" s="10" t="str">
        <f aca="false">B7&amp;" 人 / "&amp;TEXT(C7,"0%")</f>
        <v>30 人 / 90%</v>
      </c>
      <c r="C16" s="10" t="s">
        <v>510</v>
      </c>
      <c r="D16" s="28" t="str">
        <f aca="false">IF(TEXT(B16,"General")=TEXT(C16,"General"),"✓ 通過","✗ 不符")</f>
        <v>✓ 通過</v>
      </c>
    </row>
    <row r="17" customFormat="false" ht="15" hidden="false" customHeight="false" outlineLevel="0" collapsed="false">
      <c r="A17" s="23" t="s">
        <v>511</v>
      </c>
      <c r="B17" s="10" t="str">
        <f aca="false">TEXT(H5,"0%")&amp;" / "&amp;TEXT(H6,"0%")&amp;" / "&amp;TEXT(H7,"0%")</f>
        <v>63% / 53% / 60%</v>
      </c>
      <c r="C17" s="10" t="s">
        <v>512</v>
      </c>
      <c r="D17" s="28" t="str">
        <f aca="false">IF(TEXT(B17,"General")=TEXT(C17,"General"),"✓ 通過","✗ 不符")</f>
        <v>✓ 通過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9" min="8" style="0" width="8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23.1" hidden="false" customHeight="false" outlineLevel="0" collapsed="false">
      <c r="A1" s="14" t="s">
        <v>513</v>
      </c>
    </row>
    <row r="2" customFormat="false" ht="15" hidden="false" customHeight="false" outlineLevel="0" collapsed="false">
      <c r="A2" s="15" t="s">
        <v>514</v>
      </c>
    </row>
    <row r="4" customFormat="false" ht="30" hidden="false" customHeight="true" outlineLevel="0" collapsed="false">
      <c r="A4" s="16" t="s">
        <v>515</v>
      </c>
      <c r="B4" s="16" t="s">
        <v>516</v>
      </c>
      <c r="C4" s="16" t="s">
        <v>418</v>
      </c>
      <c r="D4" s="16" t="s">
        <v>517</v>
      </c>
      <c r="E4" s="16" t="s">
        <v>419</v>
      </c>
      <c r="F4" s="16" t="s">
        <v>420</v>
      </c>
      <c r="G4" s="16" t="s">
        <v>518</v>
      </c>
      <c r="H4" s="16" t="s">
        <v>519</v>
      </c>
      <c r="I4" s="16" t="s">
        <v>429</v>
      </c>
      <c r="J4" s="16" t="s">
        <v>520</v>
      </c>
      <c r="K4" s="16" t="s">
        <v>521</v>
      </c>
      <c r="L4" s="16" t="s">
        <v>522</v>
      </c>
    </row>
    <row r="5" customFormat="false" ht="15" hidden="false" customHeight="false" outlineLevel="0" collapsed="false">
      <c r="A5" s="65" t="s">
        <v>523</v>
      </c>
      <c r="B5" s="10" t="s">
        <v>524</v>
      </c>
      <c r="C5" s="20" t="s">
        <v>461</v>
      </c>
      <c r="D5" s="23" t="s">
        <v>437</v>
      </c>
      <c r="E5" s="23" t="s">
        <v>432</v>
      </c>
      <c r="F5" s="23" t="s">
        <v>436</v>
      </c>
      <c r="G5" s="10" t="s">
        <v>525</v>
      </c>
      <c r="H5" s="10" t="n">
        <v>0</v>
      </c>
      <c r="I5" s="10" t="n">
        <v>0</v>
      </c>
      <c r="J5" s="66" t="n">
        <v>168</v>
      </c>
      <c r="K5" s="10" t="s">
        <v>526</v>
      </c>
      <c r="L5" s="19" t="s">
        <v>527</v>
      </c>
    </row>
    <row r="6" customFormat="false" ht="15" hidden="false" customHeight="false" outlineLevel="0" collapsed="false">
      <c r="A6" s="65" t="s">
        <v>523</v>
      </c>
      <c r="B6" s="10" t="s">
        <v>528</v>
      </c>
      <c r="C6" s="20" t="s">
        <v>529</v>
      </c>
      <c r="D6" s="23" t="s">
        <v>459</v>
      </c>
      <c r="E6" s="23" t="s">
        <v>467</v>
      </c>
      <c r="F6" s="23" t="s">
        <v>530</v>
      </c>
      <c r="G6" s="10" t="s">
        <v>531</v>
      </c>
      <c r="H6" s="10" t="n">
        <v>0</v>
      </c>
      <c r="I6" s="10" t="n">
        <v>0</v>
      </c>
      <c r="J6" s="66" t="n">
        <v>1120</v>
      </c>
      <c r="K6" s="10" t="s">
        <v>532</v>
      </c>
      <c r="L6" s="19" t="s">
        <v>533</v>
      </c>
    </row>
    <row r="7" customFormat="false" ht="15" hidden="false" customHeight="false" outlineLevel="0" collapsed="false">
      <c r="A7" s="65" t="s">
        <v>523</v>
      </c>
      <c r="B7" s="10" t="s">
        <v>534</v>
      </c>
      <c r="C7" s="20" t="s">
        <v>535</v>
      </c>
      <c r="D7" s="23" t="s">
        <v>455</v>
      </c>
      <c r="E7" s="23" t="s">
        <v>467</v>
      </c>
      <c r="F7" s="23" t="s">
        <v>530</v>
      </c>
      <c r="G7" s="10" t="s">
        <v>536</v>
      </c>
      <c r="H7" s="10" t="n">
        <v>0</v>
      </c>
      <c r="I7" s="10" t="n">
        <v>0</v>
      </c>
      <c r="J7" s="66" t="n">
        <v>0</v>
      </c>
      <c r="K7" s="67" t="s">
        <v>537</v>
      </c>
      <c r="L7" s="19" t="s">
        <v>538</v>
      </c>
    </row>
    <row r="8" customFormat="false" ht="15" hidden="false" customHeight="false" outlineLevel="0" collapsed="false">
      <c r="A8" s="65" t="s">
        <v>523</v>
      </c>
      <c r="B8" s="10" t="s">
        <v>539</v>
      </c>
      <c r="C8" s="20" t="s">
        <v>540</v>
      </c>
      <c r="D8" s="23" t="s">
        <v>434</v>
      </c>
      <c r="E8" s="23" t="s">
        <v>467</v>
      </c>
      <c r="F8" s="23" t="s">
        <v>468</v>
      </c>
      <c r="G8" s="10" t="s">
        <v>541</v>
      </c>
      <c r="H8" s="10" t="n">
        <v>0</v>
      </c>
      <c r="I8" s="10" t="n">
        <v>0</v>
      </c>
      <c r="J8" s="66" t="n">
        <v>8</v>
      </c>
      <c r="K8" s="10" t="s">
        <v>526</v>
      </c>
      <c r="L8" s="19" t="s">
        <v>542</v>
      </c>
    </row>
    <row r="9" customFormat="false" ht="15" hidden="false" customHeight="false" outlineLevel="0" collapsed="false">
      <c r="A9" s="65" t="s">
        <v>523</v>
      </c>
      <c r="B9" s="10" t="s">
        <v>543</v>
      </c>
      <c r="C9" s="20" t="s">
        <v>544</v>
      </c>
      <c r="D9" s="23" t="s">
        <v>545</v>
      </c>
      <c r="E9" s="23" t="s">
        <v>467</v>
      </c>
      <c r="F9" s="23" t="s">
        <v>467</v>
      </c>
      <c r="G9" s="10" t="s">
        <v>546</v>
      </c>
      <c r="H9" s="10" t="n">
        <v>0</v>
      </c>
      <c r="I9" s="10" t="n">
        <v>0</v>
      </c>
      <c r="J9" s="66" t="n">
        <v>0</v>
      </c>
      <c r="K9" s="67" t="s">
        <v>537</v>
      </c>
      <c r="L9" s="19" t="s">
        <v>547</v>
      </c>
    </row>
    <row r="10" customFormat="false" ht="15" hidden="false" customHeight="false" outlineLevel="0" collapsed="false">
      <c r="A10" s="65" t="s">
        <v>523</v>
      </c>
      <c r="B10" s="10" t="s">
        <v>548</v>
      </c>
      <c r="C10" s="20" t="s">
        <v>549</v>
      </c>
      <c r="D10" s="23" t="s">
        <v>550</v>
      </c>
      <c r="E10" s="23" t="s">
        <v>467</v>
      </c>
      <c r="F10" s="23" t="s">
        <v>467</v>
      </c>
      <c r="G10" s="10" t="s">
        <v>551</v>
      </c>
      <c r="H10" s="10" t="n">
        <v>0</v>
      </c>
      <c r="I10" s="10" t="n">
        <v>0</v>
      </c>
      <c r="J10" s="66" t="n">
        <v>0</v>
      </c>
      <c r="K10" s="67" t="s">
        <v>537</v>
      </c>
      <c r="L10" s="19" t="s">
        <v>547</v>
      </c>
    </row>
    <row r="11" customFormat="false" ht="15" hidden="false" customHeight="false" outlineLevel="0" collapsed="false">
      <c r="A11" s="68" t="s">
        <v>552</v>
      </c>
      <c r="B11" s="10" t="s">
        <v>553</v>
      </c>
      <c r="C11" s="20" t="s">
        <v>478</v>
      </c>
      <c r="D11" s="23" t="s">
        <v>446</v>
      </c>
      <c r="E11" s="23" t="s">
        <v>467</v>
      </c>
      <c r="F11" s="23" t="s">
        <v>471</v>
      </c>
      <c r="G11" s="10" t="s">
        <v>554</v>
      </c>
      <c r="H11" s="10" t="n">
        <v>3</v>
      </c>
      <c r="I11" s="10" t="n">
        <v>0</v>
      </c>
      <c r="J11" s="66" t="n">
        <v>3839</v>
      </c>
      <c r="K11" s="10" t="s">
        <v>526</v>
      </c>
      <c r="L11" s="19" t="s">
        <v>555</v>
      </c>
    </row>
    <row r="12" customFormat="false" ht="15" hidden="false" customHeight="false" outlineLevel="0" collapsed="false">
      <c r="A12" s="69" t="s">
        <v>556</v>
      </c>
      <c r="B12" s="10" t="s">
        <v>557</v>
      </c>
      <c r="C12" s="20" t="s">
        <v>558</v>
      </c>
      <c r="D12" s="23" t="s">
        <v>434</v>
      </c>
      <c r="E12" s="23" t="s">
        <v>432</v>
      </c>
      <c r="F12" s="23" t="s">
        <v>432</v>
      </c>
      <c r="G12" s="10" t="s">
        <v>559</v>
      </c>
      <c r="H12" s="10" t="n">
        <v>4</v>
      </c>
      <c r="I12" s="10" t="n">
        <v>4</v>
      </c>
      <c r="J12" s="66" t="n">
        <v>0</v>
      </c>
      <c r="K12" s="67" t="s">
        <v>537</v>
      </c>
      <c r="L12" s="19" t="s">
        <v>538</v>
      </c>
    </row>
    <row r="13" customFormat="false" ht="15" hidden="false" customHeight="false" outlineLevel="0" collapsed="false">
      <c r="A13" s="6" t="s">
        <v>560</v>
      </c>
      <c r="B13" s="37"/>
      <c r="C13" s="7" t="str">
        <f aca="false">COUNTA(C5:C12)&amp;" 人"</f>
        <v>8 人</v>
      </c>
      <c r="D13" s="37"/>
      <c r="E13" s="37"/>
      <c r="F13" s="37"/>
      <c r="G13" s="37"/>
      <c r="H13" s="37"/>
      <c r="I13" s="37"/>
      <c r="J13" s="37"/>
      <c r="K13" s="37"/>
      <c r="L13" s="37"/>
    </row>
    <row r="15" customFormat="false" ht="15" hidden="false" customHeight="false" outlineLevel="0" collapsed="false">
      <c r="A15" s="12" t="s">
        <v>561</v>
      </c>
    </row>
    <row r="16" customFormat="false" ht="15" hidden="false" customHeight="false" outlineLevel="0" collapsed="false">
      <c r="A16" s="70" t="s">
        <v>562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</row>
    <row r="17" customFormat="false" ht="15" hidden="false" customHeight="false" outlineLevel="0" collapsed="false">
      <c r="A17" s="70" t="s">
        <v>563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</row>
    <row r="18" customFormat="false" ht="15" hidden="false" customHeight="false" outlineLevel="0" collapsed="false">
      <c r="A18" s="70" t="s">
        <v>564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</row>
    <row r="19" customFormat="false" ht="15" hidden="false" customHeight="false" outlineLevel="0" collapsed="false">
      <c r="A19" s="70" t="s">
        <v>565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</row>
    <row r="20" customFormat="false" ht="15" hidden="false" customHeight="false" outlineLevel="0" collapsed="false">
      <c r="A20" s="70" t="s">
        <v>566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</row>
    <row r="22" customFormat="false" ht="15" hidden="false" customHeight="false" outlineLevel="0" collapsed="false">
      <c r="A22" s="12" t="s">
        <v>567</v>
      </c>
    </row>
    <row r="23" customFormat="false" ht="15" hidden="false" customHeight="false" outlineLevel="0" collapsed="false">
      <c r="A23" s="23" t="s">
        <v>568</v>
      </c>
      <c r="B23" s="28" t="n">
        <v>22</v>
      </c>
    </row>
    <row r="24" customFormat="false" ht="15" hidden="false" customHeight="false" outlineLevel="0" collapsed="false">
      <c r="A24" s="23" t="s">
        <v>569</v>
      </c>
      <c r="B24" s="28" t="n">
        <v>14</v>
      </c>
    </row>
    <row r="25" customFormat="false" ht="15" hidden="false" customHeight="false" outlineLevel="0" collapsed="false">
      <c r="A25" s="23" t="s">
        <v>570</v>
      </c>
      <c r="B25" s="28" t="n">
        <v>36</v>
      </c>
    </row>
    <row r="26" customFormat="false" ht="15" hidden="false" customHeight="false" outlineLevel="0" collapsed="false">
      <c r="A26" s="23" t="s">
        <v>571</v>
      </c>
      <c r="B26" s="28" t="n">
        <v>1</v>
      </c>
    </row>
    <row r="27" customFormat="false" ht="15" hidden="false" customHeight="false" outlineLevel="0" collapsed="false">
      <c r="A27" s="23" t="s">
        <v>572</v>
      </c>
      <c r="B27" s="28" t="n">
        <v>1</v>
      </c>
    </row>
  </sheetData>
  <mergeCells count="5">
    <mergeCell ref="A16:L16"/>
    <mergeCell ref="A17:L17"/>
    <mergeCell ref="A18:L18"/>
    <mergeCell ref="A19:L19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12"/>
  </cols>
  <sheetData>
    <row r="1" customFormat="false" ht="18.55" hidden="false" customHeight="false" outlineLevel="0" collapsed="false">
      <c r="A1" s="14" t="s">
        <v>573</v>
      </c>
    </row>
    <row r="2" customFormat="false" ht="15" hidden="false" customHeight="false" outlineLevel="0" collapsed="false">
      <c r="A2" s="15" t="s">
        <v>574</v>
      </c>
    </row>
    <row r="4" customFormat="false" ht="30" hidden="false" customHeight="true" outlineLevel="0" collapsed="false">
      <c r="A4" s="16" t="s">
        <v>575</v>
      </c>
      <c r="B4" s="16" t="s">
        <v>576</v>
      </c>
      <c r="C4" s="16" t="s">
        <v>577</v>
      </c>
      <c r="D4" s="16" t="s">
        <v>197</v>
      </c>
      <c r="E4" s="16" t="s">
        <v>578</v>
      </c>
      <c r="F4" s="16" t="s">
        <v>579</v>
      </c>
    </row>
    <row r="5" customFormat="false" ht="24" hidden="false" customHeight="true" outlineLevel="0" collapsed="false">
      <c r="A5" s="71" t="s">
        <v>580</v>
      </c>
      <c r="B5" s="20" t="s">
        <v>581</v>
      </c>
      <c r="C5" s="9" t="s">
        <v>582</v>
      </c>
      <c r="D5" s="21" t="s">
        <v>583</v>
      </c>
      <c r="E5" s="10" t="n">
        <v>0</v>
      </c>
      <c r="F5" s="10" t="n">
        <v>0</v>
      </c>
    </row>
    <row r="6" customFormat="false" ht="24" hidden="false" customHeight="true" outlineLevel="0" collapsed="false">
      <c r="A6" s="71" t="s">
        <v>584</v>
      </c>
      <c r="B6" s="20" t="s">
        <v>585</v>
      </c>
      <c r="C6" s="9" t="s">
        <v>586</v>
      </c>
      <c r="D6" s="21" t="s">
        <v>583</v>
      </c>
      <c r="E6" s="10" t="n">
        <v>13</v>
      </c>
      <c r="F6" s="10" t="n">
        <v>13</v>
      </c>
    </row>
    <row r="7" customFormat="false" ht="24" hidden="false" customHeight="true" outlineLevel="0" collapsed="false">
      <c r="A7" s="71" t="s">
        <v>587</v>
      </c>
      <c r="B7" s="20" t="s">
        <v>76</v>
      </c>
      <c r="C7" s="9" t="s">
        <v>588</v>
      </c>
      <c r="D7" s="25" t="s">
        <v>213</v>
      </c>
      <c r="E7" s="10" t="n">
        <v>6</v>
      </c>
      <c r="F7" s="10" t="n">
        <v>6</v>
      </c>
    </row>
    <row r="8" customFormat="false" ht="24" hidden="false" customHeight="true" outlineLevel="0" collapsed="false">
      <c r="A8" s="71" t="s">
        <v>589</v>
      </c>
      <c r="B8" s="20" t="s">
        <v>590</v>
      </c>
      <c r="C8" s="11" t="s">
        <v>591</v>
      </c>
      <c r="D8" s="21" t="s">
        <v>592</v>
      </c>
      <c r="E8" s="10" t="n">
        <v>4</v>
      </c>
      <c r="F8" s="10" t="n">
        <v>22</v>
      </c>
    </row>
    <row r="9" customFormat="false" ht="24" hidden="false" customHeight="true" outlineLevel="0" collapsed="false">
      <c r="A9" s="71" t="s">
        <v>593</v>
      </c>
      <c r="B9" s="20" t="s">
        <v>594</v>
      </c>
      <c r="C9" s="9" t="s">
        <v>595</v>
      </c>
      <c r="D9" s="25" t="s">
        <v>596</v>
      </c>
      <c r="E9" s="10" t="n">
        <v>0</v>
      </c>
      <c r="F9" s="10" t="n">
        <v>4</v>
      </c>
    </row>
    <row r="10" customFormat="false" ht="24" hidden="false" customHeight="true" outlineLevel="0" collapsed="false">
      <c r="A10" s="71" t="s">
        <v>123</v>
      </c>
      <c r="B10" s="20" t="s">
        <v>597</v>
      </c>
      <c r="C10" s="9" t="s">
        <v>598</v>
      </c>
      <c r="D10" s="25" t="s">
        <v>599</v>
      </c>
      <c r="E10" s="10" t="n">
        <v>0</v>
      </c>
      <c r="F10" s="10" t="n">
        <v>4</v>
      </c>
    </row>
    <row r="11" customFormat="false" ht="15" hidden="false" customHeight="false" outlineLevel="0" collapsed="false">
      <c r="A11" s="37"/>
      <c r="B11" s="6" t="s">
        <v>358</v>
      </c>
      <c r="C11" s="37"/>
      <c r="D11" s="37"/>
      <c r="E11" s="7" t="n">
        <f aca="false">SUM(E5:E10)</f>
        <v>23</v>
      </c>
      <c r="F11" s="7" t="n">
        <f aca="false">SUM(F5:F10)</f>
        <v>49</v>
      </c>
    </row>
    <row r="13" customFormat="false" ht="15" hidden="false" customHeight="false" outlineLevel="0" collapsed="false">
      <c r="A13" s="12" t="s">
        <v>600</v>
      </c>
    </row>
    <row r="14" customFormat="false" ht="15" hidden="false" customHeight="false" outlineLevel="0" collapsed="false">
      <c r="A14" s="70" t="s">
        <v>601</v>
      </c>
      <c r="B14" s="70"/>
      <c r="C14" s="70"/>
      <c r="D14" s="70"/>
      <c r="E14" s="70"/>
      <c r="F14" s="70"/>
    </row>
    <row r="15" customFormat="false" ht="15" hidden="false" customHeight="false" outlineLevel="0" collapsed="false">
      <c r="A15" s="70" t="s">
        <v>602</v>
      </c>
      <c r="B15" s="70"/>
      <c r="C15" s="70"/>
      <c r="D15" s="70"/>
      <c r="E15" s="70"/>
      <c r="F15" s="70"/>
    </row>
    <row r="16" customFormat="false" ht="15" hidden="false" customHeight="false" outlineLevel="0" collapsed="false">
      <c r="A16" s="70" t="s">
        <v>603</v>
      </c>
      <c r="B16" s="70"/>
      <c r="C16" s="70"/>
      <c r="D16" s="70"/>
      <c r="E16" s="70"/>
      <c r="F16" s="70"/>
    </row>
    <row r="18" customFormat="false" ht="15" hidden="false" customHeight="false" outlineLevel="0" collapsed="false">
      <c r="A18" s="12" t="s">
        <v>604</v>
      </c>
    </row>
    <row r="19" customFormat="false" ht="15" hidden="false" customHeight="false" outlineLevel="0" collapsed="false">
      <c r="A19" s="70" t="s">
        <v>605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70" t="s">
        <v>606</v>
      </c>
      <c r="B20" s="70"/>
      <c r="C20" s="70"/>
      <c r="D20" s="70"/>
      <c r="E20" s="70"/>
      <c r="F20" s="70"/>
    </row>
    <row r="21" customFormat="false" ht="15" hidden="false" customHeight="false" outlineLevel="0" collapsed="false">
      <c r="A21" s="70" t="s">
        <v>607</v>
      </c>
      <c r="B21" s="70"/>
      <c r="C21" s="70"/>
      <c r="D21" s="70"/>
      <c r="E21" s="70"/>
      <c r="F21" s="70"/>
    </row>
  </sheetData>
  <mergeCells count="6">
    <mergeCell ref="A14:F14"/>
    <mergeCell ref="A15:F15"/>
    <mergeCell ref="A16:F16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9" min="18" style="0" width="8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2" min="22" style="0" width="7"/>
    <col collapsed="false" customWidth="true" hidden="false" outlineLevel="0" max="23" min="23" style="0" width="11"/>
  </cols>
  <sheetData>
    <row r="1" customFormat="false" ht="23.1" hidden="false" customHeight="false" outlineLevel="0" collapsed="false">
      <c r="A1" s="14" t="s">
        <v>608</v>
      </c>
    </row>
    <row r="2" customFormat="false" ht="15" hidden="false" customHeight="false" outlineLevel="0" collapsed="false">
      <c r="A2" s="15" t="s">
        <v>609</v>
      </c>
    </row>
    <row r="4" customFormat="false" ht="30" hidden="false" customHeight="true" outlineLevel="0" collapsed="false">
      <c r="A4" s="30" t="s">
        <v>259</v>
      </c>
      <c r="B4" s="16" t="s">
        <v>260</v>
      </c>
      <c r="C4" s="16" t="s">
        <v>610</v>
      </c>
      <c r="D4" s="16" t="s">
        <v>262</v>
      </c>
      <c r="E4" s="16" t="s">
        <v>611</v>
      </c>
      <c r="F4" s="16" t="s">
        <v>93</v>
      </c>
      <c r="G4" s="16" t="s">
        <v>612</v>
      </c>
      <c r="H4" s="16" t="s">
        <v>66</v>
      </c>
      <c r="I4" s="30" t="s">
        <v>71</v>
      </c>
      <c r="J4" s="16" t="s">
        <v>76</v>
      </c>
      <c r="K4" s="16" t="s">
        <v>613</v>
      </c>
      <c r="L4" s="16" t="s">
        <v>614</v>
      </c>
      <c r="M4" s="16" t="s">
        <v>615</v>
      </c>
      <c r="N4" s="16" t="s">
        <v>616</v>
      </c>
      <c r="O4" s="16" t="s">
        <v>617</v>
      </c>
      <c r="P4" s="16" t="s">
        <v>581</v>
      </c>
      <c r="Q4" s="16" t="s">
        <v>585</v>
      </c>
      <c r="R4" s="16" t="s">
        <v>76</v>
      </c>
      <c r="S4" s="16" t="s">
        <v>590</v>
      </c>
      <c r="T4" s="16" t="s">
        <v>594</v>
      </c>
      <c r="U4" s="16" t="s">
        <v>597</v>
      </c>
      <c r="V4" s="16" t="s">
        <v>618</v>
      </c>
      <c r="W4" s="16" t="s">
        <v>619</v>
      </c>
    </row>
    <row r="5" customFormat="false" ht="15" hidden="false" customHeight="false" outlineLevel="0" collapsed="false">
      <c r="A5" s="10" t="n">
        <v>1</v>
      </c>
      <c r="B5" s="24" t="s">
        <v>277</v>
      </c>
      <c r="C5" s="31" t="s">
        <v>278</v>
      </c>
      <c r="D5" s="32" t="s">
        <v>279</v>
      </c>
      <c r="E5" s="32" t="s">
        <v>441</v>
      </c>
      <c r="F5" s="33" t="s">
        <v>620</v>
      </c>
      <c r="G5" s="55" t="n">
        <v>98</v>
      </c>
      <c r="H5" s="33" t="n">
        <v>472</v>
      </c>
      <c r="I5" s="34" t="n">
        <v>0.16</v>
      </c>
      <c r="J5" s="35" t="s">
        <v>276</v>
      </c>
      <c r="K5" s="72" t="n">
        <v>795</v>
      </c>
      <c r="L5" s="72" t="n">
        <v>1502</v>
      </c>
      <c r="M5" s="36" t="n">
        <v>1940350</v>
      </c>
      <c r="N5" s="36" t="n">
        <v>2549601</v>
      </c>
      <c r="O5" s="28" t="n">
        <f aca="false">IF(AND(F5="Active",G5&lt;100),1,0)</f>
        <v>1</v>
      </c>
      <c r="P5" s="10" t="n">
        <f aca="false">IF(AND(O5=1,G5&gt;=99,H5&gt;0),1,0)</f>
        <v>0</v>
      </c>
      <c r="Q5" s="10" t="n">
        <f aca="false">IF(AND(O5=1,G5&lt;99,H5&gt;0),1,0)</f>
        <v>1</v>
      </c>
      <c r="R5" s="10" t="n">
        <f aca="false">IF(AND(O5=1,J5="是",P5=0,Q5=0),1,0)</f>
        <v>0</v>
      </c>
      <c r="S5" s="10" t="n">
        <f aca="false">IF(AND(O5=1,I5&lt;&gt;"",I5&lt;0.6),1,0)</f>
        <v>1</v>
      </c>
      <c r="T5" s="10" t="n">
        <f aca="false">IF(AND(O5=1,K5&gt;0,L5=0),1,0)</f>
        <v>0</v>
      </c>
      <c r="U5" s="10" t="n">
        <f aca="false">IF(O5=1,IF(M5&gt;0,IF(N5/M5&gt;1.5,1,0),0),0)</f>
        <v>0</v>
      </c>
      <c r="V5" s="28" t="n">
        <f aca="false">SUM(P5:U5)</f>
        <v>2</v>
      </c>
      <c r="W5" s="28" t="str">
        <f aca="false">IF(V5=0,"—",IF(P5=1,"結案延宕",IF(Q5=1,"逾期",IF(R5=1,"即將異常",IF(S5=1,"進度落後",IF(T5=1,"工時未登錄","預算超支"))))))</f>
        <v>逾期</v>
      </c>
    </row>
    <row r="6" customFormat="false" ht="15" hidden="false" customHeight="false" outlineLevel="0" collapsed="false">
      <c r="A6" s="10" t="n">
        <v>2</v>
      </c>
      <c r="B6" s="24" t="s">
        <v>273</v>
      </c>
      <c r="C6" s="31" t="s">
        <v>274</v>
      </c>
      <c r="D6" s="32" t="s">
        <v>275</v>
      </c>
      <c r="E6" s="32" t="s">
        <v>451</v>
      </c>
      <c r="F6" s="33" t="s">
        <v>620</v>
      </c>
      <c r="G6" s="55" t="n">
        <v>100</v>
      </c>
      <c r="H6" s="33" t="n">
        <v>441</v>
      </c>
      <c r="I6" s="34" t="n">
        <v>0.21</v>
      </c>
      <c r="J6" s="35" t="s">
        <v>276</v>
      </c>
      <c r="K6" s="72" t="n">
        <v>1568</v>
      </c>
      <c r="L6" s="72" t="n">
        <v>3549.7</v>
      </c>
      <c r="M6" s="36" t="n">
        <v>3661400</v>
      </c>
      <c r="N6" s="36" t="n">
        <v>5095861</v>
      </c>
      <c r="O6" s="28" t="n">
        <f aca="false">IF(AND(F6="Active",G6&lt;100),1,0)</f>
        <v>0</v>
      </c>
      <c r="P6" s="10" t="n">
        <f aca="false">IF(AND(O6=1,G6&gt;=99,H6&gt;0),1,0)</f>
        <v>0</v>
      </c>
      <c r="Q6" s="10" t="n">
        <f aca="false">IF(AND(O6=1,G6&lt;99,H6&gt;0),1,0)</f>
        <v>0</v>
      </c>
      <c r="R6" s="10" t="n">
        <f aca="false">IF(AND(O6=1,J6="是",P6=0,Q6=0),1,0)</f>
        <v>0</v>
      </c>
      <c r="S6" s="10" t="n">
        <f aca="false">IF(AND(O6=1,I6&lt;&gt;"",I6&lt;0.6),1,0)</f>
        <v>0</v>
      </c>
      <c r="T6" s="10" t="n">
        <f aca="false">IF(AND(O6=1,K6&gt;0,L6=0),1,0)</f>
        <v>0</v>
      </c>
      <c r="U6" s="10" t="n">
        <f aca="false">IF(O6=1,IF(M6&gt;0,IF(N6/M6&gt;1.5,1,0),0),0)</f>
        <v>0</v>
      </c>
      <c r="V6" s="28" t="n">
        <f aca="false">SUM(P6:U6)</f>
        <v>0</v>
      </c>
      <c r="W6" s="28" t="str">
        <f aca="false">IF(V6=0,"—",IF(P6=1,"結案延宕",IF(Q6=1,"逾期",IF(R6=1,"即將異常",IF(S6=1,"進度落後",IF(T6=1,"工時未登錄","預算超支"))))))</f>
        <v>—</v>
      </c>
    </row>
    <row r="7" customFormat="false" ht="15" hidden="false" customHeight="false" outlineLevel="0" collapsed="false">
      <c r="A7" s="10" t="n">
        <v>3</v>
      </c>
      <c r="B7" s="24" t="s">
        <v>281</v>
      </c>
      <c r="C7" s="32" t="s">
        <v>282</v>
      </c>
      <c r="D7" s="32" t="s">
        <v>279</v>
      </c>
      <c r="E7" s="32" t="s">
        <v>441</v>
      </c>
      <c r="F7" s="33" t="s">
        <v>620</v>
      </c>
      <c r="G7" s="55" t="n">
        <v>50</v>
      </c>
      <c r="H7" s="33" t="n">
        <v>326</v>
      </c>
      <c r="I7" s="34" t="n">
        <v>0.19</v>
      </c>
      <c r="J7" s="35" t="s">
        <v>276</v>
      </c>
      <c r="K7" s="72" t="n">
        <v>793</v>
      </c>
      <c r="L7" s="72" t="n">
        <v>1278.5</v>
      </c>
      <c r="M7" s="36" t="n">
        <v>2144570</v>
      </c>
      <c r="N7" s="36" t="n">
        <v>2443934</v>
      </c>
      <c r="O7" s="28" t="n">
        <f aca="false">IF(AND(F7="Active",G7&lt;100),1,0)</f>
        <v>1</v>
      </c>
      <c r="P7" s="10" t="n">
        <f aca="false">IF(AND(O7=1,G7&gt;=99,H7&gt;0),1,0)</f>
        <v>0</v>
      </c>
      <c r="Q7" s="10" t="n">
        <f aca="false">IF(AND(O7=1,G7&lt;99,H7&gt;0),1,0)</f>
        <v>1</v>
      </c>
      <c r="R7" s="10" t="n">
        <f aca="false">IF(AND(O7=1,J7="是",P7=0,Q7=0),1,0)</f>
        <v>0</v>
      </c>
      <c r="S7" s="10" t="n">
        <f aca="false">IF(AND(O7=1,I7&lt;&gt;"",I7&lt;0.6),1,0)</f>
        <v>1</v>
      </c>
      <c r="T7" s="10" t="n">
        <f aca="false">IF(AND(O7=1,K7&gt;0,L7=0),1,0)</f>
        <v>0</v>
      </c>
      <c r="U7" s="10" t="n">
        <f aca="false">IF(O7=1,IF(M7&gt;0,IF(N7/M7&gt;1.5,1,0),0),0)</f>
        <v>0</v>
      </c>
      <c r="V7" s="28" t="n">
        <f aca="false">SUM(P7:U7)</f>
        <v>2</v>
      </c>
      <c r="W7" s="28" t="str">
        <f aca="false">IF(V7=0,"—",IF(P7=1,"結案延宕",IF(Q7=1,"逾期",IF(R7=1,"即將異常",IF(S7=1,"進度落後",IF(T7=1,"工時未登錄","預算超支"))))))</f>
        <v>逾期</v>
      </c>
    </row>
    <row r="8" customFormat="false" ht="15" hidden="false" customHeight="false" outlineLevel="0" collapsed="false">
      <c r="A8" s="10" t="n">
        <v>4</v>
      </c>
      <c r="B8" s="24" t="s">
        <v>318</v>
      </c>
      <c r="C8" s="31" t="s">
        <v>319</v>
      </c>
      <c r="D8" s="32" t="s">
        <v>320</v>
      </c>
      <c r="E8" s="32" t="s">
        <v>621</v>
      </c>
      <c r="F8" s="33" t="s">
        <v>620</v>
      </c>
      <c r="G8" s="55" t="n">
        <v>96</v>
      </c>
      <c r="H8" s="33" t="n">
        <v>172</v>
      </c>
      <c r="I8" s="34" t="n">
        <v>0.48</v>
      </c>
      <c r="J8" s="35" t="s">
        <v>276</v>
      </c>
      <c r="K8" s="72" t="n">
        <v>839</v>
      </c>
      <c r="L8" s="72" t="n">
        <v>0</v>
      </c>
      <c r="M8" s="36" t="n">
        <v>0</v>
      </c>
      <c r="N8" s="36" t="n">
        <v>0</v>
      </c>
      <c r="O8" s="28" t="n">
        <f aca="false">IF(AND(F8="Active",G8&lt;100),1,0)</f>
        <v>1</v>
      </c>
      <c r="P8" s="10" t="n">
        <f aca="false">IF(AND(O8=1,G8&gt;=99,H8&gt;0),1,0)</f>
        <v>0</v>
      </c>
      <c r="Q8" s="10" t="n">
        <f aca="false">IF(AND(O8=1,G8&lt;99,H8&gt;0),1,0)</f>
        <v>1</v>
      </c>
      <c r="R8" s="10" t="n">
        <f aca="false">IF(AND(O8=1,J8="是",P8=0,Q8=0),1,0)</f>
        <v>0</v>
      </c>
      <c r="S8" s="10" t="n">
        <f aca="false">IF(AND(O8=1,I8&lt;&gt;"",I8&lt;0.6),1,0)</f>
        <v>1</v>
      </c>
      <c r="T8" s="10" t="n">
        <f aca="false">IF(AND(O8=1,K8&gt;0,L8=0),1,0)</f>
        <v>1</v>
      </c>
      <c r="U8" s="10" t="n">
        <f aca="false">IF(O8=1,IF(M8&gt;0,IF(N8/M8&gt;1.5,1,0),0),0)</f>
        <v>0</v>
      </c>
      <c r="V8" s="28" t="n">
        <f aca="false">SUM(P8:U8)</f>
        <v>3</v>
      </c>
      <c r="W8" s="28" t="str">
        <f aca="false">IF(V8=0,"—",IF(P8=1,"結案延宕",IF(Q8=1,"逾期",IF(R8=1,"即將異常",IF(S8=1,"進度落後",IF(T8=1,"工時未登錄","預算超支"))))))</f>
        <v>逾期</v>
      </c>
    </row>
    <row r="9" customFormat="false" ht="15" hidden="false" customHeight="false" outlineLevel="0" collapsed="false">
      <c r="A9" s="10" t="n">
        <v>5</v>
      </c>
      <c r="B9" s="24" t="s">
        <v>283</v>
      </c>
      <c r="C9" s="31" t="s">
        <v>622</v>
      </c>
      <c r="D9" s="32" t="s">
        <v>285</v>
      </c>
      <c r="E9" s="32" t="s">
        <v>474</v>
      </c>
      <c r="F9" s="33" t="s">
        <v>620</v>
      </c>
      <c r="G9" s="55" t="n">
        <v>40</v>
      </c>
      <c r="H9" s="33" t="n">
        <v>136</v>
      </c>
      <c r="I9" s="34" t="n">
        <v>0.28</v>
      </c>
      <c r="J9" s="35" t="s">
        <v>276</v>
      </c>
      <c r="K9" s="72" t="n">
        <v>1598</v>
      </c>
      <c r="L9" s="72" t="n">
        <v>227.7</v>
      </c>
      <c r="M9" s="36" t="n">
        <v>1087820</v>
      </c>
      <c r="N9" s="36" t="n">
        <v>866748</v>
      </c>
      <c r="O9" s="28" t="n">
        <f aca="false">IF(AND(F9="Active",G9&lt;100),1,0)</f>
        <v>1</v>
      </c>
      <c r="P9" s="10" t="n">
        <f aca="false">IF(AND(O9=1,G9&gt;=99,H9&gt;0),1,0)</f>
        <v>0</v>
      </c>
      <c r="Q9" s="10" t="n">
        <f aca="false">IF(AND(O9=1,G9&lt;99,H9&gt;0),1,0)</f>
        <v>1</v>
      </c>
      <c r="R9" s="10" t="n">
        <f aca="false">IF(AND(O9=1,J9="是",P9=0,Q9=0),1,0)</f>
        <v>0</v>
      </c>
      <c r="S9" s="10" t="n">
        <f aca="false">IF(AND(O9=1,I9&lt;&gt;"",I9&lt;0.6),1,0)</f>
        <v>1</v>
      </c>
      <c r="T9" s="10" t="n">
        <f aca="false">IF(AND(O9=1,K9&gt;0,L9=0),1,0)</f>
        <v>0</v>
      </c>
      <c r="U9" s="10" t="n">
        <f aca="false">IF(O9=1,IF(M9&gt;0,IF(N9/M9&gt;1.5,1,0),0),0)</f>
        <v>0</v>
      </c>
      <c r="V9" s="28" t="n">
        <f aca="false">SUM(P9:U9)</f>
        <v>2</v>
      </c>
      <c r="W9" s="28" t="str">
        <f aca="false">IF(V9=0,"—",IF(P9=1,"結案延宕",IF(Q9=1,"逾期",IF(R9=1,"即將異常",IF(S9=1,"進度落後",IF(T9=1,"工時未登錄","預算超支"))))))</f>
        <v>逾期</v>
      </c>
    </row>
    <row r="10" customFormat="false" ht="15" hidden="false" customHeight="false" outlineLevel="0" collapsed="false">
      <c r="A10" s="10" t="n">
        <v>6</v>
      </c>
      <c r="B10" s="24" t="s">
        <v>300</v>
      </c>
      <c r="C10" s="32" t="s">
        <v>301</v>
      </c>
      <c r="D10" s="32" t="s">
        <v>285</v>
      </c>
      <c r="E10" s="32" t="s">
        <v>474</v>
      </c>
      <c r="F10" s="33" t="s">
        <v>620</v>
      </c>
      <c r="G10" s="55" t="n">
        <v>52</v>
      </c>
      <c r="H10" s="33" t="n">
        <v>135</v>
      </c>
      <c r="I10" s="34" t="n">
        <v>0.4</v>
      </c>
      <c r="J10" s="35" t="s">
        <v>276</v>
      </c>
      <c r="K10" s="72" t="n">
        <v>1488</v>
      </c>
      <c r="L10" s="72" t="n">
        <v>107.5</v>
      </c>
      <c r="M10" s="36" t="n">
        <v>919420</v>
      </c>
      <c r="N10" s="36" t="n">
        <v>489060</v>
      </c>
      <c r="O10" s="28" t="n">
        <f aca="false">IF(AND(F10="Active",G10&lt;100),1,0)</f>
        <v>1</v>
      </c>
      <c r="P10" s="10" t="n">
        <f aca="false">IF(AND(O10=1,G10&gt;=99,H10&gt;0),1,0)</f>
        <v>0</v>
      </c>
      <c r="Q10" s="10" t="n">
        <f aca="false">IF(AND(O10=1,G10&lt;99,H10&gt;0),1,0)</f>
        <v>1</v>
      </c>
      <c r="R10" s="10" t="n">
        <f aca="false">IF(AND(O10=1,J10="是",P10=0,Q10=0),1,0)</f>
        <v>0</v>
      </c>
      <c r="S10" s="10" t="n">
        <f aca="false">IF(AND(O10=1,I10&lt;&gt;"",I10&lt;0.6),1,0)</f>
        <v>1</v>
      </c>
      <c r="T10" s="10" t="n">
        <f aca="false">IF(AND(O10=1,K10&gt;0,L10=0),1,0)</f>
        <v>0</v>
      </c>
      <c r="U10" s="10" t="n">
        <f aca="false">IF(O10=1,IF(M10&gt;0,IF(N10/M10&gt;1.5,1,0),0),0)</f>
        <v>0</v>
      </c>
      <c r="V10" s="28" t="n">
        <f aca="false">SUM(P10:U10)</f>
        <v>2</v>
      </c>
      <c r="W10" s="28" t="str">
        <f aca="false">IF(V10=0,"—",IF(P10=1,"結案延宕",IF(Q10=1,"逾期",IF(R10=1,"即將異常",IF(S10=1,"進度落後",IF(T10=1,"工時未登錄","預算超支"))))))</f>
        <v>逾期</v>
      </c>
    </row>
    <row r="11" customFormat="false" ht="15" hidden="false" customHeight="false" outlineLevel="0" collapsed="false">
      <c r="A11" s="10" t="n">
        <v>7</v>
      </c>
      <c r="B11" s="24" t="s">
        <v>286</v>
      </c>
      <c r="C11" s="31" t="s">
        <v>287</v>
      </c>
      <c r="D11" s="32" t="s">
        <v>279</v>
      </c>
      <c r="E11" s="32" t="s">
        <v>443</v>
      </c>
      <c r="F11" s="33" t="s">
        <v>620</v>
      </c>
      <c r="G11" s="55" t="n">
        <v>70</v>
      </c>
      <c r="H11" s="33" t="n">
        <v>120</v>
      </c>
      <c r="I11" s="34" t="n">
        <v>0.35</v>
      </c>
      <c r="J11" s="35" t="s">
        <v>276</v>
      </c>
      <c r="K11" s="72" t="n">
        <v>653</v>
      </c>
      <c r="L11" s="72" t="n">
        <v>2554.5</v>
      </c>
      <c r="M11" s="36" t="n">
        <v>687370</v>
      </c>
      <c r="N11" s="36" t="n">
        <v>4962281</v>
      </c>
      <c r="O11" s="28" t="n">
        <f aca="false">IF(AND(F11="Active",G11&lt;100),1,0)</f>
        <v>1</v>
      </c>
      <c r="P11" s="10" t="n">
        <f aca="false">IF(AND(O11=1,G11&gt;=99,H11&gt;0),1,0)</f>
        <v>0</v>
      </c>
      <c r="Q11" s="10" t="n">
        <f aca="false">IF(AND(O11=1,G11&lt;99,H11&gt;0),1,0)</f>
        <v>1</v>
      </c>
      <c r="R11" s="10" t="n">
        <f aca="false">IF(AND(O11=1,J11="是",P11=0,Q11=0),1,0)</f>
        <v>0</v>
      </c>
      <c r="S11" s="10" t="n">
        <f aca="false">IF(AND(O11=1,I11&lt;&gt;"",I11&lt;0.6),1,0)</f>
        <v>1</v>
      </c>
      <c r="T11" s="10" t="n">
        <f aca="false">IF(AND(O11=1,K11&gt;0,L11=0),1,0)</f>
        <v>0</v>
      </c>
      <c r="U11" s="10" t="n">
        <f aca="false">IF(O11=1,IF(M11&gt;0,IF(N11/M11&gt;1.5,1,0),0),0)</f>
        <v>1</v>
      </c>
      <c r="V11" s="28" t="n">
        <f aca="false">SUM(P11:U11)</f>
        <v>3</v>
      </c>
      <c r="W11" s="28" t="str">
        <f aca="false">IF(V11=0,"—",IF(P11=1,"結案延宕",IF(Q11=1,"逾期",IF(R11=1,"即將異常",IF(S11=1,"進度落後",IF(T11=1,"工時未登錄","預算超支"))))))</f>
        <v>逾期</v>
      </c>
    </row>
    <row r="12" customFormat="false" ht="15" hidden="false" customHeight="false" outlineLevel="0" collapsed="false">
      <c r="A12" s="10" t="n">
        <v>8</v>
      </c>
      <c r="B12" s="24" t="s">
        <v>321</v>
      </c>
      <c r="C12" s="31" t="s">
        <v>322</v>
      </c>
      <c r="D12" s="32" t="s">
        <v>320</v>
      </c>
      <c r="E12" s="32" t="s">
        <v>621</v>
      </c>
      <c r="F12" s="33" t="s">
        <v>620</v>
      </c>
      <c r="G12" s="55" t="n">
        <v>64</v>
      </c>
      <c r="H12" s="33" t="n">
        <v>101</v>
      </c>
      <c r="I12" s="34" t="n">
        <v>0.43</v>
      </c>
      <c r="J12" s="35" t="s">
        <v>276</v>
      </c>
      <c r="K12" s="72" t="n">
        <v>779</v>
      </c>
      <c r="L12" s="72" t="n">
        <v>0</v>
      </c>
      <c r="M12" s="36" t="n">
        <v>0</v>
      </c>
      <c r="N12" s="36" t="n">
        <v>0</v>
      </c>
      <c r="O12" s="28" t="n">
        <f aca="false">IF(AND(F12="Active",G12&lt;100),1,0)</f>
        <v>1</v>
      </c>
      <c r="P12" s="10" t="n">
        <f aca="false">IF(AND(O12=1,G12&gt;=99,H12&gt;0),1,0)</f>
        <v>0</v>
      </c>
      <c r="Q12" s="10" t="n">
        <f aca="false">IF(AND(O12=1,G12&lt;99,H12&gt;0),1,0)</f>
        <v>1</v>
      </c>
      <c r="R12" s="10" t="n">
        <f aca="false">IF(AND(O12=1,J12="是",P12=0,Q12=0),1,0)</f>
        <v>0</v>
      </c>
      <c r="S12" s="10" t="n">
        <f aca="false">IF(AND(O12=1,I12&lt;&gt;"",I12&lt;0.6),1,0)</f>
        <v>1</v>
      </c>
      <c r="T12" s="10" t="n">
        <f aca="false">IF(AND(O12=1,K12&gt;0,L12=0),1,0)</f>
        <v>1</v>
      </c>
      <c r="U12" s="10" t="n">
        <f aca="false">IF(O12=1,IF(M12&gt;0,IF(N12/M12&gt;1.5,1,0),0),0)</f>
        <v>0</v>
      </c>
      <c r="V12" s="28" t="n">
        <f aca="false">SUM(P12:U12)</f>
        <v>3</v>
      </c>
      <c r="W12" s="28" t="str">
        <f aca="false">IF(V12=0,"—",IF(P12=1,"結案延宕",IF(Q12=1,"逾期",IF(R12=1,"即將異常",IF(S12=1,"進度落後",IF(T12=1,"工時未登錄","預算超支"))))))</f>
        <v>逾期</v>
      </c>
    </row>
    <row r="13" customFormat="false" ht="15" hidden="false" customHeight="false" outlineLevel="0" collapsed="false">
      <c r="A13" s="10" t="n">
        <v>9</v>
      </c>
      <c r="B13" s="24" t="s">
        <v>323</v>
      </c>
      <c r="C13" s="31" t="s">
        <v>324</v>
      </c>
      <c r="D13" s="32" t="s">
        <v>325</v>
      </c>
      <c r="E13" s="32" t="s">
        <v>457</v>
      </c>
      <c r="F13" s="33" t="s">
        <v>620</v>
      </c>
      <c r="G13" s="55" t="n">
        <v>87</v>
      </c>
      <c r="H13" s="33" t="n">
        <v>78</v>
      </c>
      <c r="I13" s="34" t="n">
        <v>0.07</v>
      </c>
      <c r="J13" s="35" t="s">
        <v>276</v>
      </c>
      <c r="K13" s="72" t="n">
        <v>728</v>
      </c>
      <c r="L13" s="72" t="n">
        <v>22</v>
      </c>
      <c r="M13" s="36" t="n">
        <v>939120</v>
      </c>
      <c r="N13" s="36" t="n">
        <v>188337</v>
      </c>
      <c r="O13" s="28" t="n">
        <f aca="false">IF(AND(F13="Active",G13&lt;100),1,0)</f>
        <v>1</v>
      </c>
      <c r="P13" s="10" t="n">
        <f aca="false">IF(AND(O13=1,G13&gt;=99,H13&gt;0),1,0)</f>
        <v>0</v>
      </c>
      <c r="Q13" s="10" t="n">
        <f aca="false">IF(AND(O13=1,G13&lt;99,H13&gt;0),1,0)</f>
        <v>1</v>
      </c>
      <c r="R13" s="10" t="n">
        <f aca="false">IF(AND(O13=1,J13="是",P13=0,Q13=0),1,0)</f>
        <v>0</v>
      </c>
      <c r="S13" s="10" t="n">
        <f aca="false">IF(AND(O13=1,I13&lt;&gt;"",I13&lt;0.6),1,0)</f>
        <v>1</v>
      </c>
      <c r="T13" s="10" t="n">
        <f aca="false">IF(AND(O13=1,K13&gt;0,L13=0),1,0)</f>
        <v>0</v>
      </c>
      <c r="U13" s="10" t="n">
        <f aca="false">IF(O13=1,IF(M13&gt;0,IF(N13/M13&gt;1.5,1,0),0),0)</f>
        <v>0</v>
      </c>
      <c r="V13" s="28" t="n">
        <f aca="false">SUM(P13:U13)</f>
        <v>2</v>
      </c>
      <c r="W13" s="28" t="str">
        <f aca="false">IF(V13=0,"—",IF(P13=1,"結案延宕",IF(Q13=1,"逾期",IF(R13=1,"即將異常",IF(S13=1,"進度落後",IF(T13=1,"工時未登錄","預算超支"))))))</f>
        <v>逾期</v>
      </c>
    </row>
    <row r="14" customFormat="false" ht="15" hidden="false" customHeight="false" outlineLevel="0" collapsed="false">
      <c r="A14" s="10" t="n">
        <v>10</v>
      </c>
      <c r="B14" s="24" t="s">
        <v>295</v>
      </c>
      <c r="C14" s="32" t="s">
        <v>296</v>
      </c>
      <c r="D14" s="32" t="s">
        <v>297</v>
      </c>
      <c r="E14" s="32" t="s">
        <v>438</v>
      </c>
      <c r="F14" s="33" t="s">
        <v>620</v>
      </c>
      <c r="G14" s="55" t="n">
        <v>66</v>
      </c>
      <c r="H14" s="33" t="n">
        <v>58</v>
      </c>
      <c r="I14" s="34" t="n">
        <v>0.56</v>
      </c>
      <c r="J14" s="35" t="s">
        <v>276</v>
      </c>
      <c r="K14" s="72" t="n">
        <v>1113</v>
      </c>
      <c r="L14" s="72" t="n">
        <v>1723.5</v>
      </c>
      <c r="M14" s="36" t="n">
        <v>5389370</v>
      </c>
      <c r="N14" s="36" t="n">
        <v>5913818</v>
      </c>
      <c r="O14" s="28" t="n">
        <f aca="false">IF(AND(F14="Active",G14&lt;100),1,0)</f>
        <v>1</v>
      </c>
      <c r="P14" s="10" t="n">
        <f aca="false">IF(AND(O14=1,G14&gt;=99,H14&gt;0),1,0)</f>
        <v>0</v>
      </c>
      <c r="Q14" s="10" t="n">
        <f aca="false">IF(AND(O14=1,G14&lt;99,H14&gt;0),1,0)</f>
        <v>1</v>
      </c>
      <c r="R14" s="10" t="n">
        <f aca="false">IF(AND(O14=1,J14="是",P14=0,Q14=0),1,0)</f>
        <v>0</v>
      </c>
      <c r="S14" s="10" t="n">
        <f aca="false">IF(AND(O14=1,I14&lt;&gt;"",I14&lt;0.6),1,0)</f>
        <v>1</v>
      </c>
      <c r="T14" s="10" t="n">
        <f aca="false">IF(AND(O14=1,K14&gt;0,L14=0),1,0)</f>
        <v>0</v>
      </c>
      <c r="U14" s="10" t="n">
        <f aca="false">IF(O14=1,IF(M14&gt;0,IF(N14/M14&gt;1.5,1,0),0),0)</f>
        <v>0</v>
      </c>
      <c r="V14" s="28" t="n">
        <f aca="false">SUM(P14:U14)</f>
        <v>2</v>
      </c>
      <c r="W14" s="28" t="str">
        <f aca="false">IF(V14=0,"—",IF(P14=1,"結案延宕",IF(Q14=1,"逾期",IF(R14=1,"即將異常",IF(S14=1,"進度落後",IF(T14=1,"工時未登錄","預算超支"))))))</f>
        <v>逾期</v>
      </c>
    </row>
    <row r="15" customFormat="false" ht="15" hidden="false" customHeight="false" outlineLevel="0" collapsed="false">
      <c r="A15" s="10" t="n">
        <v>11</v>
      </c>
      <c r="B15" s="24" t="s">
        <v>298</v>
      </c>
      <c r="C15" s="31" t="s">
        <v>623</v>
      </c>
      <c r="D15" s="32" t="s">
        <v>275</v>
      </c>
      <c r="E15" s="32" t="s">
        <v>462</v>
      </c>
      <c r="F15" s="33" t="s">
        <v>620</v>
      </c>
      <c r="G15" s="55" t="n">
        <v>41</v>
      </c>
      <c r="H15" s="33" t="n">
        <v>46</v>
      </c>
      <c r="I15" s="34" t="n">
        <v>0.27</v>
      </c>
      <c r="J15" s="35" t="s">
        <v>276</v>
      </c>
      <c r="K15" s="72" t="n">
        <v>1240</v>
      </c>
      <c r="L15" s="72" t="n">
        <v>678.5</v>
      </c>
      <c r="M15" s="36" t="n">
        <v>3199390</v>
      </c>
      <c r="N15" s="36" t="n">
        <v>1255295</v>
      </c>
      <c r="O15" s="28" t="n">
        <f aca="false">IF(AND(F15="Active",G15&lt;100),1,0)</f>
        <v>1</v>
      </c>
      <c r="P15" s="10" t="n">
        <f aca="false">IF(AND(O15=1,G15&gt;=99,H15&gt;0),1,0)</f>
        <v>0</v>
      </c>
      <c r="Q15" s="10" t="n">
        <f aca="false">IF(AND(O15=1,G15&lt;99,H15&gt;0),1,0)</f>
        <v>1</v>
      </c>
      <c r="R15" s="10" t="n">
        <f aca="false">IF(AND(O15=1,J15="是",P15=0,Q15=0),1,0)</f>
        <v>0</v>
      </c>
      <c r="S15" s="10" t="n">
        <f aca="false">IF(AND(O15=1,I15&lt;&gt;"",I15&lt;0.6),1,0)</f>
        <v>1</v>
      </c>
      <c r="T15" s="10" t="n">
        <f aca="false">IF(AND(O15=1,K15&gt;0,L15=0),1,0)</f>
        <v>0</v>
      </c>
      <c r="U15" s="10" t="n">
        <f aca="false">IF(O15=1,IF(M15&gt;0,IF(N15/M15&gt;1.5,1,0),0),0)</f>
        <v>0</v>
      </c>
      <c r="V15" s="28" t="n">
        <f aca="false">SUM(P15:U15)</f>
        <v>2</v>
      </c>
      <c r="W15" s="28" t="str">
        <f aca="false">IF(V15=0,"—",IF(P15=1,"結案延宕",IF(Q15=1,"逾期",IF(R15=1,"即將異常",IF(S15=1,"進度落後",IF(T15=1,"工時未登錄","預算超支"))))))</f>
        <v>逾期</v>
      </c>
    </row>
    <row r="16" customFormat="false" ht="15" hidden="false" customHeight="false" outlineLevel="0" collapsed="false">
      <c r="A16" s="10" t="n">
        <v>12</v>
      </c>
      <c r="B16" s="24" t="s">
        <v>302</v>
      </c>
      <c r="C16" s="32" t="s">
        <v>303</v>
      </c>
      <c r="D16" s="32" t="s">
        <v>285</v>
      </c>
      <c r="E16" s="32" t="s">
        <v>474</v>
      </c>
      <c r="F16" s="33" t="s">
        <v>620</v>
      </c>
      <c r="G16" s="55" t="n">
        <v>80</v>
      </c>
      <c r="H16" s="33" t="n">
        <v>15</v>
      </c>
      <c r="I16" s="34" t="n">
        <v>0.75</v>
      </c>
      <c r="J16" s="35" t="s">
        <v>276</v>
      </c>
      <c r="K16" s="72" t="n">
        <v>558</v>
      </c>
      <c r="L16" s="72" t="n">
        <v>1338</v>
      </c>
      <c r="M16" s="36" t="n">
        <v>259420</v>
      </c>
      <c r="N16" s="36" t="n">
        <v>1062354</v>
      </c>
      <c r="O16" s="28" t="n">
        <f aca="false">IF(AND(F16="Active",G16&lt;100),1,0)</f>
        <v>1</v>
      </c>
      <c r="P16" s="10" t="n">
        <f aca="false">IF(AND(O16=1,G16&gt;=99,H16&gt;0),1,0)</f>
        <v>0</v>
      </c>
      <c r="Q16" s="10" t="n">
        <f aca="false">IF(AND(O16=1,G16&lt;99,H16&gt;0),1,0)</f>
        <v>1</v>
      </c>
      <c r="R16" s="10" t="n">
        <f aca="false">IF(AND(O16=1,J16="是",P16=0,Q16=0),1,0)</f>
        <v>0</v>
      </c>
      <c r="S16" s="10" t="n">
        <f aca="false">IF(AND(O16=1,I16&lt;&gt;"",I16&lt;0.6),1,0)</f>
        <v>0</v>
      </c>
      <c r="T16" s="10" t="n">
        <f aca="false">IF(AND(O16=1,K16&gt;0,L16=0),1,0)</f>
        <v>0</v>
      </c>
      <c r="U16" s="10" t="n">
        <f aca="false">IF(O16=1,IF(M16&gt;0,IF(N16/M16&gt;1.5,1,0),0),0)</f>
        <v>1</v>
      </c>
      <c r="V16" s="28" t="n">
        <f aca="false">SUM(P16:U16)</f>
        <v>2</v>
      </c>
      <c r="W16" s="28" t="str">
        <f aca="false">IF(V16=0,"—",IF(P16=1,"結案延宕",IF(Q16=1,"逾期",IF(R16=1,"即將異常",IF(S16=1,"進度落後",IF(T16=1,"工時未登錄","預算超支"))))))</f>
        <v>逾期</v>
      </c>
    </row>
    <row r="17" customFormat="false" ht="15" hidden="false" customHeight="false" outlineLevel="0" collapsed="false">
      <c r="A17" s="10" t="n">
        <v>13</v>
      </c>
      <c r="B17" s="24" t="s">
        <v>312</v>
      </c>
      <c r="C17" s="32" t="s">
        <v>313</v>
      </c>
      <c r="D17" s="32" t="s">
        <v>290</v>
      </c>
      <c r="E17" s="32" t="s">
        <v>475</v>
      </c>
      <c r="F17" s="33" t="s">
        <v>620</v>
      </c>
      <c r="G17" s="55" t="n">
        <v>56</v>
      </c>
      <c r="H17" s="33" t="n">
        <v>5</v>
      </c>
      <c r="I17" s="34" t="n">
        <v>0.41</v>
      </c>
      <c r="J17" s="35" t="s">
        <v>276</v>
      </c>
      <c r="K17" s="72" t="n">
        <v>624</v>
      </c>
      <c r="L17" s="72" t="n">
        <v>232.5</v>
      </c>
      <c r="M17" s="36" t="n">
        <v>714480</v>
      </c>
      <c r="N17" s="36" t="n">
        <v>477624</v>
      </c>
      <c r="O17" s="28" t="n">
        <f aca="false">IF(AND(F17="Active",G17&lt;100),1,0)</f>
        <v>1</v>
      </c>
      <c r="P17" s="10" t="n">
        <f aca="false">IF(AND(O17=1,G17&gt;=99,H17&gt;0),1,0)</f>
        <v>0</v>
      </c>
      <c r="Q17" s="10" t="n">
        <f aca="false">IF(AND(O17=1,G17&lt;99,H17&gt;0),1,0)</f>
        <v>1</v>
      </c>
      <c r="R17" s="10" t="n">
        <f aca="false">IF(AND(O17=1,J17="是",P17=0,Q17=0),1,0)</f>
        <v>0</v>
      </c>
      <c r="S17" s="10" t="n">
        <f aca="false">IF(AND(O17=1,I17&lt;&gt;"",I17&lt;0.6),1,0)</f>
        <v>1</v>
      </c>
      <c r="T17" s="10" t="n">
        <f aca="false">IF(AND(O17=1,K17&gt;0,L17=0),1,0)</f>
        <v>0</v>
      </c>
      <c r="U17" s="10" t="n">
        <f aca="false">IF(O17=1,IF(M17&gt;0,IF(N17/M17&gt;1.5,1,0),0),0)</f>
        <v>0</v>
      </c>
      <c r="V17" s="28" t="n">
        <f aca="false">SUM(P17:U17)</f>
        <v>2</v>
      </c>
      <c r="W17" s="28" t="str">
        <f aca="false">IF(V17=0,"—",IF(P17=1,"結案延宕",IF(Q17=1,"逾期",IF(R17=1,"即將異常",IF(S17=1,"進度落後",IF(T17=1,"工時未登錄","預算超支"))))))</f>
        <v>逾期</v>
      </c>
    </row>
    <row r="18" customFormat="false" ht="15" hidden="false" customHeight="false" outlineLevel="0" collapsed="false">
      <c r="A18" s="10" t="n">
        <v>14</v>
      </c>
      <c r="B18" s="24" t="s">
        <v>326</v>
      </c>
      <c r="C18" s="32" t="s">
        <v>327</v>
      </c>
      <c r="D18" s="32" t="s">
        <v>285</v>
      </c>
      <c r="E18" s="32" t="s">
        <v>474</v>
      </c>
      <c r="F18" s="33" t="s">
        <v>620</v>
      </c>
      <c r="G18" s="55" t="n">
        <v>40</v>
      </c>
      <c r="H18" s="33" t="n">
        <v>4</v>
      </c>
      <c r="I18" s="34" t="n">
        <v>0.38</v>
      </c>
      <c r="J18" s="35" t="s">
        <v>276</v>
      </c>
      <c r="K18" s="72" t="n">
        <v>653</v>
      </c>
      <c r="L18" s="72" t="n">
        <v>0</v>
      </c>
      <c r="M18" s="36" t="n">
        <v>471970</v>
      </c>
      <c r="N18" s="36" t="n">
        <v>0</v>
      </c>
      <c r="O18" s="28" t="n">
        <f aca="false">IF(AND(F18="Active",G18&lt;100),1,0)</f>
        <v>1</v>
      </c>
      <c r="P18" s="10" t="n">
        <f aca="false">IF(AND(O18=1,G18&gt;=99,H18&gt;0),1,0)</f>
        <v>0</v>
      </c>
      <c r="Q18" s="10" t="n">
        <f aca="false">IF(AND(O18=1,G18&lt;99,H18&gt;0),1,0)</f>
        <v>1</v>
      </c>
      <c r="R18" s="10" t="n">
        <f aca="false">IF(AND(O18=1,J18="是",P18=0,Q18=0),1,0)</f>
        <v>0</v>
      </c>
      <c r="S18" s="10" t="n">
        <f aca="false">IF(AND(O18=1,I18&lt;&gt;"",I18&lt;0.6),1,0)</f>
        <v>1</v>
      </c>
      <c r="T18" s="10" t="n">
        <f aca="false">IF(AND(O18=1,K18&gt;0,L18=0),1,0)</f>
        <v>1</v>
      </c>
      <c r="U18" s="10" t="n">
        <f aca="false">IF(O18=1,IF(M18&gt;0,IF(N18/M18&gt;1.5,1,0),0),0)</f>
        <v>0</v>
      </c>
      <c r="V18" s="28" t="n">
        <f aca="false">SUM(P18:U18)</f>
        <v>3</v>
      </c>
      <c r="W18" s="28" t="str">
        <f aca="false">IF(V18=0,"—",IF(P18=1,"結案延宕",IF(Q18=1,"逾期",IF(R18=1,"即將異常",IF(S18=1,"進度落後",IF(T18=1,"工時未登錄","預算超支"))))))</f>
        <v>逾期</v>
      </c>
    </row>
    <row r="19" customFormat="false" ht="15" hidden="false" customHeight="false" outlineLevel="0" collapsed="false">
      <c r="A19" s="10" t="n">
        <v>15</v>
      </c>
      <c r="B19" s="24" t="s">
        <v>288</v>
      </c>
      <c r="C19" s="31" t="s">
        <v>289</v>
      </c>
      <c r="D19" s="32" t="s">
        <v>290</v>
      </c>
      <c r="E19" s="32" t="s">
        <v>469</v>
      </c>
      <c r="F19" s="33" t="s">
        <v>620</v>
      </c>
      <c r="G19" s="55" t="n">
        <v>43</v>
      </c>
      <c r="H19" s="33" t="n">
        <v>0</v>
      </c>
      <c r="I19" s="34" t="n">
        <v>0.51</v>
      </c>
      <c r="J19" s="35" t="s">
        <v>291</v>
      </c>
      <c r="K19" s="72" t="n">
        <v>1328</v>
      </c>
      <c r="L19" s="72" t="n">
        <v>2773.5</v>
      </c>
      <c r="M19" s="36" t="n">
        <v>2723310</v>
      </c>
      <c r="N19" s="36" t="n">
        <v>8040110</v>
      </c>
      <c r="O19" s="28" t="n">
        <f aca="false">IF(AND(F19="Active",G19&lt;100),1,0)</f>
        <v>1</v>
      </c>
      <c r="P19" s="10" t="n">
        <f aca="false">IF(AND(O19=1,G19&gt;=99,H19&gt;0),1,0)</f>
        <v>0</v>
      </c>
      <c r="Q19" s="10" t="n">
        <f aca="false">IF(AND(O19=1,G19&lt;99,H19&gt;0),1,0)</f>
        <v>0</v>
      </c>
      <c r="R19" s="10" t="n">
        <f aca="false">IF(AND(O19=1,J19="是",P19=0,Q19=0),1,0)</f>
        <v>1</v>
      </c>
      <c r="S19" s="10" t="n">
        <f aca="false">IF(AND(O19=1,I19&lt;&gt;"",I19&lt;0.6),1,0)</f>
        <v>1</v>
      </c>
      <c r="T19" s="10" t="n">
        <f aca="false">IF(AND(O19=1,K19&gt;0,L19=0),1,0)</f>
        <v>0</v>
      </c>
      <c r="U19" s="10" t="n">
        <f aca="false">IF(O19=1,IF(M19&gt;0,IF(N19/M19&gt;1.5,1,0),0),0)</f>
        <v>1</v>
      </c>
      <c r="V19" s="28" t="n">
        <f aca="false">SUM(P19:U19)</f>
        <v>3</v>
      </c>
      <c r="W19" s="28" t="str">
        <f aca="false">IF(V19=0,"—",IF(P19=1,"結案延宕",IF(Q19=1,"逾期",IF(R19=1,"即將異常",IF(S19=1,"進度落後",IF(T19=1,"工時未登錄","預算超支"))))))</f>
        <v>即將異常</v>
      </c>
    </row>
    <row r="20" customFormat="false" ht="15" hidden="false" customHeight="false" outlineLevel="0" collapsed="false">
      <c r="A20" s="10" t="n">
        <v>16</v>
      </c>
      <c r="B20" s="24" t="s">
        <v>292</v>
      </c>
      <c r="C20" s="32" t="s">
        <v>293</v>
      </c>
      <c r="D20" s="32" t="s">
        <v>294</v>
      </c>
      <c r="E20" s="32" t="s">
        <v>444</v>
      </c>
      <c r="F20" s="33" t="s">
        <v>620</v>
      </c>
      <c r="G20" s="55" t="n">
        <v>32</v>
      </c>
      <c r="H20" s="33" t="n">
        <v>0</v>
      </c>
      <c r="I20" s="34" t="n">
        <v>0.23</v>
      </c>
      <c r="J20" s="35" t="s">
        <v>291</v>
      </c>
      <c r="K20" s="72" t="n">
        <v>3318</v>
      </c>
      <c r="L20" s="72" t="n">
        <v>2353.5</v>
      </c>
      <c r="M20" s="36" t="n">
        <v>2832940</v>
      </c>
      <c r="N20" s="36" t="n">
        <v>4763845</v>
      </c>
      <c r="O20" s="28" t="n">
        <f aca="false">IF(AND(F20="Active",G20&lt;100),1,0)</f>
        <v>1</v>
      </c>
      <c r="P20" s="10" t="n">
        <f aca="false">IF(AND(O20=1,G20&gt;=99,H20&gt;0),1,0)</f>
        <v>0</v>
      </c>
      <c r="Q20" s="10" t="n">
        <f aca="false">IF(AND(O20=1,G20&lt;99,H20&gt;0),1,0)</f>
        <v>0</v>
      </c>
      <c r="R20" s="10" t="n">
        <f aca="false">IF(AND(O20=1,J20="是",P20=0,Q20=0),1,0)</f>
        <v>1</v>
      </c>
      <c r="S20" s="10" t="n">
        <f aca="false">IF(AND(O20=1,I20&lt;&gt;"",I20&lt;0.6),1,0)</f>
        <v>1</v>
      </c>
      <c r="T20" s="10" t="n">
        <f aca="false">IF(AND(O20=1,K20&gt;0,L20=0),1,0)</f>
        <v>0</v>
      </c>
      <c r="U20" s="10" t="n">
        <f aca="false">IF(O20=1,IF(M20&gt;0,IF(N20/M20&gt;1.5,1,0),0),0)</f>
        <v>1</v>
      </c>
      <c r="V20" s="28" t="n">
        <f aca="false">SUM(P20:U20)</f>
        <v>3</v>
      </c>
      <c r="W20" s="28" t="str">
        <f aca="false">IF(V20=0,"—",IF(P20=1,"結案延宕",IF(Q20=1,"逾期",IF(R20=1,"即將異常",IF(S20=1,"進度落後",IF(T20=1,"工時未登錄","預算超支"))))))</f>
        <v>即將異常</v>
      </c>
    </row>
    <row r="21" customFormat="false" ht="15" hidden="false" customHeight="false" outlineLevel="0" collapsed="false">
      <c r="A21" s="10" t="n">
        <v>17</v>
      </c>
      <c r="B21" s="24" t="s">
        <v>304</v>
      </c>
      <c r="C21" s="32" t="s">
        <v>305</v>
      </c>
      <c r="D21" s="32" t="s">
        <v>297</v>
      </c>
      <c r="E21" s="32" t="s">
        <v>447</v>
      </c>
      <c r="F21" s="33" t="s">
        <v>620</v>
      </c>
      <c r="G21" s="55" t="n">
        <v>26</v>
      </c>
      <c r="H21" s="33" t="n">
        <v>0</v>
      </c>
      <c r="I21" s="34" t="n">
        <v>0.39</v>
      </c>
      <c r="J21" s="35" t="s">
        <v>291</v>
      </c>
      <c r="K21" s="72" t="n">
        <v>245</v>
      </c>
      <c r="L21" s="72" t="n">
        <v>44</v>
      </c>
      <c r="M21" s="36" t="n">
        <v>267050</v>
      </c>
      <c r="N21" s="36" t="n">
        <v>222444</v>
      </c>
      <c r="O21" s="28" t="n">
        <f aca="false">IF(AND(F21="Active",G21&lt;100),1,0)</f>
        <v>1</v>
      </c>
      <c r="P21" s="10" t="n">
        <f aca="false">IF(AND(O21=1,G21&gt;=99,H21&gt;0),1,0)</f>
        <v>0</v>
      </c>
      <c r="Q21" s="10" t="n">
        <f aca="false">IF(AND(O21=1,G21&lt;99,H21&gt;0),1,0)</f>
        <v>0</v>
      </c>
      <c r="R21" s="10" t="n">
        <f aca="false">IF(AND(O21=1,J21="是",P21=0,Q21=0),1,0)</f>
        <v>1</v>
      </c>
      <c r="S21" s="10" t="n">
        <f aca="false">IF(AND(O21=1,I21&lt;&gt;"",I21&lt;0.6),1,0)</f>
        <v>1</v>
      </c>
      <c r="T21" s="10" t="n">
        <f aca="false">IF(AND(O21=1,K21&gt;0,L21=0),1,0)</f>
        <v>0</v>
      </c>
      <c r="U21" s="10" t="n">
        <f aca="false">IF(O21=1,IF(M21&gt;0,IF(N21/M21&gt;1.5,1,0),0),0)</f>
        <v>0</v>
      </c>
      <c r="V21" s="28" t="n">
        <f aca="false">SUM(P21:U21)</f>
        <v>2</v>
      </c>
      <c r="W21" s="28" t="str">
        <f aca="false">IF(V21=0,"—",IF(P21=1,"結案延宕",IF(Q21=1,"逾期",IF(R21=1,"即將異常",IF(S21=1,"進度落後",IF(T21=1,"工時未登錄","預算超支"))))))</f>
        <v>即將異常</v>
      </c>
    </row>
    <row r="22" customFormat="false" ht="15" hidden="false" customHeight="false" outlineLevel="0" collapsed="false">
      <c r="A22" s="10" t="n">
        <v>18</v>
      </c>
      <c r="B22" s="24" t="s">
        <v>306</v>
      </c>
      <c r="C22" s="32" t="s">
        <v>307</v>
      </c>
      <c r="D22" s="32" t="s">
        <v>275</v>
      </c>
      <c r="E22" s="32" t="s">
        <v>451</v>
      </c>
      <c r="F22" s="33" t="s">
        <v>620</v>
      </c>
      <c r="G22" s="55" t="n">
        <v>43</v>
      </c>
      <c r="H22" s="33" t="n">
        <v>0</v>
      </c>
      <c r="I22" s="34" t="n">
        <v>0.53</v>
      </c>
      <c r="J22" s="35" t="s">
        <v>291</v>
      </c>
      <c r="K22" s="72" t="n">
        <v>986</v>
      </c>
      <c r="L22" s="72" t="n">
        <v>479</v>
      </c>
      <c r="M22" s="36" t="n">
        <v>981140</v>
      </c>
      <c r="N22" s="36" t="n">
        <v>448461</v>
      </c>
      <c r="O22" s="28" t="n">
        <f aca="false">IF(AND(F22="Active",G22&lt;100),1,0)</f>
        <v>1</v>
      </c>
      <c r="P22" s="10" t="n">
        <f aca="false">IF(AND(O22=1,G22&gt;=99,H22&gt;0),1,0)</f>
        <v>0</v>
      </c>
      <c r="Q22" s="10" t="n">
        <f aca="false">IF(AND(O22=1,G22&lt;99,H22&gt;0),1,0)</f>
        <v>0</v>
      </c>
      <c r="R22" s="10" t="n">
        <f aca="false">IF(AND(O22=1,J22="是",P22=0,Q22=0),1,0)</f>
        <v>1</v>
      </c>
      <c r="S22" s="10" t="n">
        <f aca="false">IF(AND(O22=1,I22&lt;&gt;"",I22&lt;0.6),1,0)</f>
        <v>1</v>
      </c>
      <c r="T22" s="10" t="n">
        <f aca="false">IF(AND(O22=1,K22&gt;0,L22=0),1,0)</f>
        <v>0</v>
      </c>
      <c r="U22" s="10" t="n">
        <f aca="false">IF(O22=1,IF(M22&gt;0,IF(N22/M22&gt;1.5,1,0),0),0)</f>
        <v>0</v>
      </c>
      <c r="V22" s="28" t="n">
        <f aca="false">SUM(P22:U22)</f>
        <v>2</v>
      </c>
      <c r="W22" s="28" t="str">
        <f aca="false">IF(V22=0,"—",IF(P22=1,"結案延宕",IF(Q22=1,"逾期",IF(R22=1,"即將異常",IF(S22=1,"進度落後",IF(T22=1,"工時未登錄","預算超支"))))))</f>
        <v>即將異常</v>
      </c>
    </row>
    <row r="23" customFormat="false" ht="15" hidden="false" customHeight="false" outlineLevel="0" collapsed="false">
      <c r="A23" s="10" t="n">
        <v>19</v>
      </c>
      <c r="B23" s="24" t="s">
        <v>308</v>
      </c>
      <c r="C23" s="31" t="s">
        <v>309</v>
      </c>
      <c r="D23" s="32" t="s">
        <v>294</v>
      </c>
      <c r="E23" s="32" t="s">
        <v>448</v>
      </c>
      <c r="F23" s="33" t="s">
        <v>620</v>
      </c>
      <c r="G23" s="55" t="n">
        <v>56</v>
      </c>
      <c r="H23" s="33" t="n">
        <v>0</v>
      </c>
      <c r="I23" s="34" t="n">
        <v>0.48</v>
      </c>
      <c r="J23" s="35" t="s">
        <v>291</v>
      </c>
      <c r="K23" s="72" t="n">
        <v>1256</v>
      </c>
      <c r="L23" s="72" t="n">
        <v>306</v>
      </c>
      <c r="M23" s="36" t="n">
        <v>1266320</v>
      </c>
      <c r="N23" s="36" t="n">
        <v>346129</v>
      </c>
      <c r="O23" s="28" t="n">
        <f aca="false">IF(AND(F23="Active",G23&lt;100),1,0)</f>
        <v>1</v>
      </c>
      <c r="P23" s="10" t="n">
        <f aca="false">IF(AND(O23=1,G23&gt;=99,H23&gt;0),1,0)</f>
        <v>0</v>
      </c>
      <c r="Q23" s="10" t="n">
        <f aca="false">IF(AND(O23=1,G23&lt;99,H23&gt;0),1,0)</f>
        <v>0</v>
      </c>
      <c r="R23" s="10" t="n">
        <f aca="false">IF(AND(O23=1,J23="是",P23=0,Q23=0),1,0)</f>
        <v>1</v>
      </c>
      <c r="S23" s="10" t="n">
        <f aca="false">IF(AND(O23=1,I23&lt;&gt;"",I23&lt;0.6),1,0)</f>
        <v>1</v>
      </c>
      <c r="T23" s="10" t="n">
        <f aca="false">IF(AND(O23=1,K23&gt;0,L23=0),1,0)</f>
        <v>0</v>
      </c>
      <c r="U23" s="10" t="n">
        <f aca="false">IF(O23=1,IF(M23&gt;0,IF(N23/M23&gt;1.5,1,0),0),0)</f>
        <v>0</v>
      </c>
      <c r="V23" s="28" t="n">
        <f aca="false">SUM(P23:U23)</f>
        <v>2</v>
      </c>
      <c r="W23" s="28" t="str">
        <f aca="false">IF(V23=0,"—",IF(P23=1,"結案延宕",IF(Q23=1,"逾期",IF(R23=1,"即將異常",IF(S23=1,"進度落後",IF(T23=1,"工時未登錄","預算超支"))))))</f>
        <v>即將異常</v>
      </c>
    </row>
    <row r="24" customFormat="false" ht="15" hidden="false" customHeight="false" outlineLevel="0" collapsed="false">
      <c r="A24" s="10" t="n">
        <v>20</v>
      </c>
      <c r="B24" s="24" t="s">
        <v>310</v>
      </c>
      <c r="C24" s="32" t="s">
        <v>311</v>
      </c>
      <c r="D24" s="32" t="s">
        <v>285</v>
      </c>
      <c r="E24" s="32" t="s">
        <v>474</v>
      </c>
      <c r="F24" s="33" t="s">
        <v>620</v>
      </c>
      <c r="G24" s="55" t="n">
        <v>32</v>
      </c>
      <c r="H24" s="33" t="n">
        <v>0</v>
      </c>
      <c r="I24" s="34" t="n">
        <v>0.32</v>
      </c>
      <c r="J24" s="35" t="s">
        <v>291</v>
      </c>
      <c r="K24" s="72" t="n">
        <v>626</v>
      </c>
      <c r="L24" s="72" t="n">
        <v>24</v>
      </c>
      <c r="M24" s="36" t="n">
        <v>431640</v>
      </c>
      <c r="N24" s="36" t="n">
        <v>266242</v>
      </c>
      <c r="O24" s="28" t="n">
        <f aca="false">IF(AND(F24="Active",G24&lt;100),1,0)</f>
        <v>1</v>
      </c>
      <c r="P24" s="10" t="n">
        <f aca="false">IF(AND(O24=1,G24&gt;=99,H24&gt;0),1,0)</f>
        <v>0</v>
      </c>
      <c r="Q24" s="10" t="n">
        <f aca="false">IF(AND(O24=1,G24&lt;99,H24&gt;0),1,0)</f>
        <v>0</v>
      </c>
      <c r="R24" s="10" t="n">
        <f aca="false">IF(AND(O24=1,J24="是",P24=0,Q24=0),1,0)</f>
        <v>1</v>
      </c>
      <c r="S24" s="10" t="n">
        <f aca="false">IF(AND(O24=1,I24&lt;&gt;"",I24&lt;0.6),1,0)</f>
        <v>1</v>
      </c>
      <c r="T24" s="10" t="n">
        <f aca="false">IF(AND(O24=1,K24&gt;0,L24=0),1,0)</f>
        <v>0</v>
      </c>
      <c r="U24" s="10" t="n">
        <f aca="false">IF(O24=1,IF(M24&gt;0,IF(N24/M24&gt;1.5,1,0),0),0)</f>
        <v>0</v>
      </c>
      <c r="V24" s="28" t="n">
        <f aca="false">SUM(P24:U24)</f>
        <v>2</v>
      </c>
      <c r="W24" s="28" t="str">
        <f aca="false">IF(V24=0,"—",IF(P24=1,"結案延宕",IF(Q24=1,"逾期",IF(R24=1,"即將異常",IF(S24=1,"進度落後",IF(T24=1,"工時未登錄","預算超支"))))))</f>
        <v>即將異常</v>
      </c>
    </row>
    <row r="25" customFormat="false" ht="15" hidden="false" customHeight="false" outlineLevel="0" collapsed="false">
      <c r="A25" s="10" t="n">
        <v>21</v>
      </c>
      <c r="B25" s="24" t="s">
        <v>314</v>
      </c>
      <c r="C25" s="32" t="s">
        <v>315</v>
      </c>
      <c r="D25" s="32" t="s">
        <v>290</v>
      </c>
      <c r="E25" s="32" t="s">
        <v>466</v>
      </c>
      <c r="F25" s="33" t="s">
        <v>620</v>
      </c>
      <c r="G25" s="55" t="n">
        <v>58</v>
      </c>
      <c r="H25" s="33" t="n">
        <v>0</v>
      </c>
      <c r="I25" s="34" t="n">
        <v>0.31</v>
      </c>
      <c r="J25" s="35" t="s">
        <v>276</v>
      </c>
      <c r="K25" s="72" t="n">
        <v>628</v>
      </c>
      <c r="L25" s="72" t="n">
        <v>278</v>
      </c>
      <c r="M25" s="36" t="n">
        <v>652500</v>
      </c>
      <c r="N25" s="36" t="n">
        <v>323556</v>
      </c>
      <c r="O25" s="28" t="n">
        <f aca="false">IF(AND(F25="Active",G25&lt;100),1,0)</f>
        <v>1</v>
      </c>
      <c r="P25" s="10" t="n">
        <f aca="false">IF(AND(O25=1,G25&gt;=99,H25&gt;0),1,0)</f>
        <v>0</v>
      </c>
      <c r="Q25" s="10" t="n">
        <f aca="false">IF(AND(O25=1,G25&lt;99,H25&gt;0),1,0)</f>
        <v>0</v>
      </c>
      <c r="R25" s="10" t="n">
        <f aca="false">IF(AND(O25=1,J25="是",P25=0,Q25=0),1,0)</f>
        <v>0</v>
      </c>
      <c r="S25" s="10" t="n">
        <f aca="false">IF(AND(O25=1,I25&lt;&gt;"",I25&lt;0.6),1,0)</f>
        <v>1</v>
      </c>
      <c r="T25" s="10" t="n">
        <f aca="false">IF(AND(O25=1,K25&gt;0,L25=0),1,0)</f>
        <v>0</v>
      </c>
      <c r="U25" s="10" t="n">
        <f aca="false">IF(O25=1,IF(M25&gt;0,IF(N25/M25&gt;1.5,1,0),0),0)</f>
        <v>0</v>
      </c>
      <c r="V25" s="28" t="n">
        <f aca="false">SUM(P25:U25)</f>
        <v>1</v>
      </c>
      <c r="W25" s="28" t="str">
        <f aca="false">IF(V25=0,"—",IF(P25=1,"結案延宕",IF(Q25=1,"逾期",IF(R25=1,"即將異常",IF(S25=1,"進度落後",IF(T25=1,"工時未登錄","預算超支"))))))</f>
        <v>進度落後</v>
      </c>
    </row>
    <row r="26" customFormat="false" ht="15" hidden="false" customHeight="false" outlineLevel="0" collapsed="false">
      <c r="A26" s="10" t="n">
        <v>22</v>
      </c>
      <c r="B26" s="24" t="s">
        <v>316</v>
      </c>
      <c r="C26" s="32" t="s">
        <v>317</v>
      </c>
      <c r="D26" s="32" t="s">
        <v>285</v>
      </c>
      <c r="E26" s="32" t="s">
        <v>474</v>
      </c>
      <c r="F26" s="33" t="s">
        <v>620</v>
      </c>
      <c r="G26" s="55" t="n">
        <v>37</v>
      </c>
      <c r="H26" s="33" t="n">
        <v>0</v>
      </c>
      <c r="I26" s="34" t="n">
        <v>0.42</v>
      </c>
      <c r="J26" s="35" t="s">
        <v>276</v>
      </c>
      <c r="K26" s="72" t="n">
        <v>368</v>
      </c>
      <c r="L26" s="72" t="n">
        <v>0</v>
      </c>
      <c r="M26" s="36" t="n">
        <v>169320</v>
      </c>
      <c r="N26" s="36" t="n">
        <v>0</v>
      </c>
      <c r="O26" s="28" t="n">
        <f aca="false">IF(AND(F26="Active",G26&lt;100),1,0)</f>
        <v>1</v>
      </c>
      <c r="P26" s="10" t="n">
        <f aca="false">IF(AND(O26=1,G26&gt;=99,H26&gt;0),1,0)</f>
        <v>0</v>
      </c>
      <c r="Q26" s="10" t="n">
        <f aca="false">IF(AND(O26=1,G26&lt;99,H26&gt;0),1,0)</f>
        <v>0</v>
      </c>
      <c r="R26" s="10" t="n">
        <f aca="false">IF(AND(O26=1,J26="是",P26=0,Q26=0),1,0)</f>
        <v>0</v>
      </c>
      <c r="S26" s="10" t="n">
        <f aca="false">IF(AND(O26=1,I26&lt;&gt;"",I26&lt;0.6),1,0)</f>
        <v>1</v>
      </c>
      <c r="T26" s="10" t="n">
        <f aca="false">IF(AND(O26=1,K26&gt;0,L26=0),1,0)</f>
        <v>1</v>
      </c>
      <c r="U26" s="10" t="n">
        <f aca="false">IF(O26=1,IF(M26&gt;0,IF(N26/M26&gt;1.5,1,0),0),0)</f>
        <v>0</v>
      </c>
      <c r="V26" s="28" t="n">
        <f aca="false">SUM(P26:U26)</f>
        <v>2</v>
      </c>
      <c r="W26" s="28" t="str">
        <f aca="false">IF(V26=0,"—",IF(P26=1,"結案延宕",IF(Q26=1,"逾期",IF(R26=1,"即將異常",IF(S26=1,"進度落後",IF(T26=1,"工時未登錄","預算超支"))))))</f>
        <v>進度落後</v>
      </c>
    </row>
    <row r="27" customFormat="false" ht="15" hidden="false" customHeight="false" outlineLevel="0" collapsed="false">
      <c r="A27" s="10" t="n">
        <v>23</v>
      </c>
      <c r="B27" s="24" t="s">
        <v>328</v>
      </c>
      <c r="C27" s="31" t="s">
        <v>329</v>
      </c>
      <c r="D27" s="32" t="s">
        <v>290</v>
      </c>
      <c r="E27" s="32" t="s">
        <v>475</v>
      </c>
      <c r="F27" s="33" t="s">
        <v>620</v>
      </c>
      <c r="G27" s="55" t="n">
        <v>27</v>
      </c>
      <c r="H27" s="33" t="n">
        <v>0</v>
      </c>
      <c r="I27" s="34" t="n">
        <v>0.33</v>
      </c>
      <c r="J27" s="35" t="s">
        <v>276</v>
      </c>
      <c r="K27" s="72" t="n">
        <v>324</v>
      </c>
      <c r="L27" s="72" t="n">
        <v>32</v>
      </c>
      <c r="M27" s="36" t="n">
        <v>299280</v>
      </c>
      <c r="N27" s="36" t="n">
        <v>66548</v>
      </c>
      <c r="O27" s="28" t="n">
        <f aca="false">IF(AND(F27="Active",G27&lt;100),1,0)</f>
        <v>1</v>
      </c>
      <c r="P27" s="10" t="n">
        <f aca="false">IF(AND(O27=1,G27&gt;=99,H27&gt;0),1,0)</f>
        <v>0</v>
      </c>
      <c r="Q27" s="10" t="n">
        <f aca="false">IF(AND(O27=1,G27&lt;99,H27&gt;0),1,0)</f>
        <v>0</v>
      </c>
      <c r="R27" s="10" t="n">
        <f aca="false">IF(AND(O27=1,J27="是",P27=0,Q27=0),1,0)</f>
        <v>0</v>
      </c>
      <c r="S27" s="10" t="n">
        <f aca="false">IF(AND(O27=1,I27&lt;&gt;"",I27&lt;0.6),1,0)</f>
        <v>1</v>
      </c>
      <c r="T27" s="10" t="n">
        <f aca="false">IF(AND(O27=1,K27&gt;0,L27=0),1,0)</f>
        <v>0</v>
      </c>
      <c r="U27" s="10" t="n">
        <f aca="false">IF(O27=1,IF(M27&gt;0,IF(N27/M27&gt;1.5,1,0),0),0)</f>
        <v>0</v>
      </c>
      <c r="V27" s="28" t="n">
        <f aca="false">SUM(P27:U27)</f>
        <v>1</v>
      </c>
      <c r="W27" s="28" t="str">
        <f aca="false">IF(V27=0,"—",IF(P27=1,"結案延宕",IF(Q27=1,"逾期",IF(R27=1,"即將異常",IF(S27=1,"進度落後",IF(T27=1,"工時未登錄","預算超支"))))))</f>
        <v>進度落後</v>
      </c>
    </row>
    <row r="28" customFormat="false" ht="15" hidden="false" customHeight="false" outlineLevel="0" collapsed="false">
      <c r="A28" s="10" t="n">
        <v>24</v>
      </c>
      <c r="B28" s="24" t="s">
        <v>330</v>
      </c>
      <c r="C28" s="31" t="s">
        <v>331</v>
      </c>
      <c r="D28" s="32" t="s">
        <v>325</v>
      </c>
      <c r="E28" s="32" t="s">
        <v>457</v>
      </c>
      <c r="F28" s="33" t="s">
        <v>620</v>
      </c>
      <c r="G28" s="55" t="n">
        <v>0</v>
      </c>
      <c r="H28" s="33" t="n">
        <v>0</v>
      </c>
      <c r="I28" s="34" t="n">
        <v>0</v>
      </c>
      <c r="J28" s="35" t="s">
        <v>276</v>
      </c>
      <c r="K28" s="72" t="n">
        <v>0</v>
      </c>
      <c r="L28" s="72" t="n">
        <v>35</v>
      </c>
      <c r="M28" s="36" t="n">
        <v>0</v>
      </c>
      <c r="N28" s="36" t="n">
        <v>0</v>
      </c>
      <c r="O28" s="28" t="n">
        <f aca="false">IF(AND(F28="Active",G28&lt;100),1,0)</f>
        <v>1</v>
      </c>
      <c r="P28" s="10" t="n">
        <f aca="false">IF(AND(O28=1,G28&gt;=99,H28&gt;0),1,0)</f>
        <v>0</v>
      </c>
      <c r="Q28" s="10" t="n">
        <f aca="false">IF(AND(O28=1,G28&lt;99,H28&gt;0),1,0)</f>
        <v>0</v>
      </c>
      <c r="R28" s="10" t="n">
        <f aca="false">IF(AND(O28=1,J28="是",P28=0,Q28=0),1,0)</f>
        <v>0</v>
      </c>
      <c r="S28" s="10" t="n">
        <f aca="false">IF(AND(O28=1,I28&lt;&gt;"",I28&lt;0.6),1,0)</f>
        <v>1</v>
      </c>
      <c r="T28" s="10" t="n">
        <f aca="false">IF(AND(O28=1,K28&gt;0,L28=0),1,0)</f>
        <v>0</v>
      </c>
      <c r="U28" s="10" t="n">
        <f aca="false">IF(O28=1,IF(M28&gt;0,IF(N28/M28&gt;1.5,1,0),0),0)</f>
        <v>0</v>
      </c>
      <c r="V28" s="28" t="n">
        <f aca="false">SUM(P28:U28)</f>
        <v>1</v>
      </c>
      <c r="W28" s="28" t="str">
        <f aca="false">IF(V28=0,"—",IF(P28=1,"結案延宕",IF(Q28=1,"逾期",IF(R28=1,"即將異常",IF(S28=1,"進度落後",IF(T28=1,"工時未登錄","預算超支"))))))</f>
        <v>進度落後</v>
      </c>
    </row>
    <row r="29" customFormat="false" ht="15" hidden="false" customHeight="false" outlineLevel="0" collapsed="false">
      <c r="A29" s="10" t="n">
        <v>25</v>
      </c>
      <c r="B29" s="24" t="s">
        <v>332</v>
      </c>
      <c r="C29" s="32" t="s">
        <v>333</v>
      </c>
      <c r="D29" s="32" t="s">
        <v>297</v>
      </c>
      <c r="E29" s="32" t="s">
        <v>447</v>
      </c>
      <c r="F29" s="33" t="s">
        <v>620</v>
      </c>
      <c r="G29" s="55" t="n">
        <v>71</v>
      </c>
      <c r="H29" s="33" t="n">
        <v>0</v>
      </c>
      <c r="I29" s="34" t="n">
        <v>1.26</v>
      </c>
      <c r="J29" s="35" t="s">
        <v>276</v>
      </c>
      <c r="K29" s="72" t="n">
        <v>1140</v>
      </c>
      <c r="L29" s="72" t="n">
        <v>372</v>
      </c>
      <c r="M29" s="36" t="n">
        <v>1111800</v>
      </c>
      <c r="N29" s="36" t="n">
        <v>1073075</v>
      </c>
      <c r="O29" s="28" t="n">
        <f aca="false">IF(AND(F29="Active",G29&lt;100),1,0)</f>
        <v>1</v>
      </c>
      <c r="P29" s="10" t="n">
        <f aca="false">IF(AND(O29=1,G29&gt;=99,H29&gt;0),1,0)</f>
        <v>0</v>
      </c>
      <c r="Q29" s="10" t="n">
        <f aca="false">IF(AND(O29=1,G29&lt;99,H29&gt;0),1,0)</f>
        <v>0</v>
      </c>
      <c r="R29" s="10" t="n">
        <f aca="false">IF(AND(O29=1,J29="是",P29=0,Q29=0),1,0)</f>
        <v>0</v>
      </c>
      <c r="S29" s="10" t="n">
        <f aca="false">IF(AND(O29=1,I29&lt;&gt;"",I29&lt;0.6),1,0)</f>
        <v>0</v>
      </c>
      <c r="T29" s="10" t="n">
        <f aca="false">IF(AND(O29=1,K29&gt;0,L29=0),1,0)</f>
        <v>0</v>
      </c>
      <c r="U29" s="10" t="n">
        <f aca="false">IF(O29=1,IF(M29&gt;0,IF(N29/M29&gt;1.5,1,0),0),0)</f>
        <v>0</v>
      </c>
      <c r="V29" s="28" t="n">
        <f aca="false">SUM(P29:U29)</f>
        <v>0</v>
      </c>
      <c r="W29" s="28" t="str">
        <f aca="false">IF(V29=0,"—",IF(P29=1,"結案延宕",IF(Q29=1,"逾期",IF(R29=1,"即將異常",IF(S29=1,"進度落後",IF(T29=1,"工時未登錄","預算超支"))))))</f>
        <v>—</v>
      </c>
    </row>
    <row r="30" customFormat="false" ht="15" hidden="false" customHeight="false" outlineLevel="0" collapsed="false">
      <c r="A30" s="10" t="n">
        <v>26</v>
      </c>
      <c r="B30" s="24" t="s">
        <v>334</v>
      </c>
      <c r="C30" s="32" t="s">
        <v>335</v>
      </c>
      <c r="D30" s="32" t="s">
        <v>285</v>
      </c>
      <c r="E30" s="32" t="s">
        <v>476</v>
      </c>
      <c r="F30" s="33" t="s">
        <v>620</v>
      </c>
      <c r="G30" s="55" t="n">
        <v>36</v>
      </c>
      <c r="H30" s="33" t="n">
        <v>0</v>
      </c>
      <c r="I30" s="34" t="n">
        <v>0.62</v>
      </c>
      <c r="J30" s="35" t="s">
        <v>276</v>
      </c>
      <c r="K30" s="72" t="n">
        <v>0</v>
      </c>
      <c r="L30" s="72" t="n">
        <v>85.5</v>
      </c>
      <c r="M30" s="36" t="n">
        <v>0</v>
      </c>
      <c r="N30" s="36" t="n">
        <v>152566</v>
      </c>
      <c r="O30" s="28" t="n">
        <f aca="false">IF(AND(F30="Active",G30&lt;100),1,0)</f>
        <v>1</v>
      </c>
      <c r="P30" s="10" t="n">
        <f aca="false">IF(AND(O30=1,G30&gt;=99,H30&gt;0),1,0)</f>
        <v>0</v>
      </c>
      <c r="Q30" s="10" t="n">
        <f aca="false">IF(AND(O30=1,G30&lt;99,H30&gt;0),1,0)</f>
        <v>0</v>
      </c>
      <c r="R30" s="10" t="n">
        <f aca="false">IF(AND(O30=1,J30="是",P30=0,Q30=0),1,0)</f>
        <v>0</v>
      </c>
      <c r="S30" s="10" t="n">
        <f aca="false">IF(AND(O30=1,I30&lt;&gt;"",I30&lt;0.6),1,0)</f>
        <v>0</v>
      </c>
      <c r="T30" s="10" t="n">
        <f aca="false">IF(AND(O30=1,K30&gt;0,L30=0),1,0)</f>
        <v>0</v>
      </c>
      <c r="U30" s="10" t="n">
        <f aca="false">IF(O30=1,IF(M30&gt;0,IF(N30/M30&gt;1.5,1,0),0),0)</f>
        <v>0</v>
      </c>
      <c r="V30" s="28" t="n">
        <f aca="false">SUM(P30:U30)</f>
        <v>0</v>
      </c>
      <c r="W30" s="28" t="str">
        <f aca="false">IF(V30=0,"—",IF(P30=1,"結案延宕",IF(Q30=1,"逾期",IF(R30=1,"即將異常",IF(S30=1,"進度落後",IF(T30=1,"工時未登錄","預算超支"))))))</f>
        <v>—</v>
      </c>
    </row>
    <row r="31" customFormat="false" ht="15" hidden="false" customHeight="false" outlineLevel="0" collapsed="false">
      <c r="A31" s="10" t="n">
        <v>27</v>
      </c>
      <c r="B31" s="24" t="s">
        <v>624</v>
      </c>
      <c r="C31" s="31" t="s">
        <v>625</v>
      </c>
      <c r="D31" s="32" t="s">
        <v>290</v>
      </c>
      <c r="E31" s="32" t="s">
        <v>479</v>
      </c>
      <c r="F31" s="33" t="s">
        <v>626</v>
      </c>
      <c r="G31" s="55" t="n">
        <v>100</v>
      </c>
      <c r="H31" s="33" t="n">
        <v>577</v>
      </c>
      <c r="I31" s="34" t="n">
        <v>0.45</v>
      </c>
      <c r="J31" s="35" t="s">
        <v>276</v>
      </c>
      <c r="K31" s="72" t="n">
        <v>220</v>
      </c>
      <c r="L31" s="72" t="n">
        <v>1042</v>
      </c>
      <c r="M31" s="36" t="n">
        <v>939000</v>
      </c>
      <c r="N31" s="36" t="n">
        <v>1336782</v>
      </c>
      <c r="O31" s="28" t="n">
        <f aca="false">IF(AND(F31="Active",G31&lt;100),1,0)</f>
        <v>0</v>
      </c>
      <c r="P31" s="10" t="n">
        <f aca="false">IF(AND(O31=1,G31&gt;=99,H31&gt;0),1,0)</f>
        <v>0</v>
      </c>
      <c r="Q31" s="10" t="n">
        <f aca="false">IF(AND(O31=1,G31&lt;99,H31&gt;0),1,0)</f>
        <v>0</v>
      </c>
      <c r="R31" s="10" t="n">
        <f aca="false">IF(AND(O31=1,J31="是",P31=0,Q31=0),1,0)</f>
        <v>0</v>
      </c>
      <c r="S31" s="10" t="n">
        <f aca="false">IF(AND(O31=1,I31&lt;&gt;"",I31&lt;0.6),1,0)</f>
        <v>0</v>
      </c>
      <c r="T31" s="10" t="n">
        <f aca="false">IF(AND(O31=1,K31&gt;0,L31=0),1,0)</f>
        <v>0</v>
      </c>
      <c r="U31" s="10" t="n">
        <f aca="false">IF(O31=1,IF(M31&gt;0,IF(N31/M31&gt;1.5,1,0),0),0)</f>
        <v>0</v>
      </c>
      <c r="V31" s="28" t="n">
        <f aca="false">SUM(P31:U31)</f>
        <v>0</v>
      </c>
      <c r="W31" s="28" t="str">
        <f aca="false">IF(V31=0,"—",IF(P31=1,"結案延宕",IF(Q31=1,"逾期",IF(R31=1,"即將異常",IF(S31=1,"進度落後",IF(T31=1,"工時未登錄","預算超支"))))))</f>
        <v>—</v>
      </c>
    </row>
    <row r="32" customFormat="false" ht="15" hidden="false" customHeight="false" outlineLevel="0" collapsed="false">
      <c r="A32" s="10" t="n">
        <v>28</v>
      </c>
      <c r="B32" s="24" t="s">
        <v>627</v>
      </c>
      <c r="C32" s="31" t="s">
        <v>628</v>
      </c>
      <c r="D32" s="32" t="s">
        <v>290</v>
      </c>
      <c r="E32" s="32" t="s">
        <v>466</v>
      </c>
      <c r="F32" s="33" t="s">
        <v>629</v>
      </c>
      <c r="G32" s="55" t="n">
        <v>96</v>
      </c>
      <c r="H32" s="33" t="n">
        <v>335</v>
      </c>
      <c r="I32" s="34" t="n">
        <v>1.11</v>
      </c>
      <c r="J32" s="35" t="s">
        <v>276</v>
      </c>
      <c r="K32" s="72" t="n">
        <v>532</v>
      </c>
      <c r="L32" s="72" t="n">
        <v>1235</v>
      </c>
      <c r="M32" s="36" t="n">
        <v>555900</v>
      </c>
      <c r="N32" s="36" t="n">
        <v>514101</v>
      </c>
      <c r="O32" s="28" t="n">
        <f aca="false">IF(AND(F32="Active",G32&lt;100),1,0)</f>
        <v>0</v>
      </c>
      <c r="P32" s="10" t="n">
        <f aca="false">IF(AND(O32=1,G32&gt;=99,H32&gt;0),1,0)</f>
        <v>0</v>
      </c>
      <c r="Q32" s="10" t="n">
        <f aca="false">IF(AND(O32=1,G32&lt;99,H32&gt;0),1,0)</f>
        <v>0</v>
      </c>
      <c r="R32" s="10" t="n">
        <f aca="false">IF(AND(O32=1,J32="是",P32=0,Q32=0),1,0)</f>
        <v>0</v>
      </c>
      <c r="S32" s="10" t="n">
        <f aca="false">IF(AND(O32=1,I32&lt;&gt;"",I32&lt;0.6),1,0)</f>
        <v>0</v>
      </c>
      <c r="T32" s="10" t="n">
        <f aca="false">IF(AND(O32=1,K32&gt;0,L32=0),1,0)</f>
        <v>0</v>
      </c>
      <c r="U32" s="10" t="n">
        <f aca="false">IF(O32=1,IF(M32&gt;0,IF(N32/M32&gt;1.5,1,0),0),0)</f>
        <v>0</v>
      </c>
      <c r="V32" s="28" t="n">
        <f aca="false">SUM(P32:U32)</f>
        <v>0</v>
      </c>
      <c r="W32" s="28" t="str">
        <f aca="false">IF(V32=0,"—",IF(P32=1,"結案延宕",IF(Q32=1,"逾期",IF(R32=1,"即將異常",IF(S32=1,"進度落後",IF(T32=1,"工時未登錄","預算超支"))))))</f>
        <v>—</v>
      </c>
    </row>
    <row r="33" customFormat="false" ht="15" hidden="false" customHeight="false" outlineLevel="0" collapsed="false">
      <c r="A33" s="10" t="n">
        <v>29</v>
      </c>
      <c r="B33" s="24" t="s">
        <v>630</v>
      </c>
      <c r="C33" s="32" t="s">
        <v>631</v>
      </c>
      <c r="D33" s="32" t="s">
        <v>297</v>
      </c>
      <c r="E33" s="32" t="s">
        <v>632</v>
      </c>
      <c r="F33" s="33" t="s">
        <v>626</v>
      </c>
      <c r="G33" s="55" t="n">
        <v>100</v>
      </c>
      <c r="H33" s="33" t="n">
        <v>323</v>
      </c>
      <c r="I33" s="34" t="n">
        <v>0.43</v>
      </c>
      <c r="J33" s="35" t="s">
        <v>276</v>
      </c>
      <c r="K33" s="72" t="n">
        <v>1896</v>
      </c>
      <c r="L33" s="72" t="n">
        <v>7866.1</v>
      </c>
      <c r="M33" s="36" t="n">
        <v>2709480</v>
      </c>
      <c r="N33" s="36" t="n">
        <v>2772098</v>
      </c>
      <c r="O33" s="28" t="n">
        <f aca="false">IF(AND(F33="Active",G33&lt;100),1,0)</f>
        <v>0</v>
      </c>
      <c r="P33" s="10" t="n">
        <f aca="false">IF(AND(O33=1,G33&gt;=99,H33&gt;0),1,0)</f>
        <v>0</v>
      </c>
      <c r="Q33" s="10" t="n">
        <f aca="false">IF(AND(O33=1,G33&lt;99,H33&gt;0),1,0)</f>
        <v>0</v>
      </c>
      <c r="R33" s="10" t="n">
        <f aca="false">IF(AND(O33=1,J33="是",P33=0,Q33=0),1,0)</f>
        <v>0</v>
      </c>
      <c r="S33" s="10" t="n">
        <f aca="false">IF(AND(O33=1,I33&lt;&gt;"",I33&lt;0.6),1,0)</f>
        <v>0</v>
      </c>
      <c r="T33" s="10" t="n">
        <f aca="false">IF(AND(O33=1,K33&gt;0,L33=0),1,0)</f>
        <v>0</v>
      </c>
      <c r="U33" s="10" t="n">
        <f aca="false">IF(O33=1,IF(M33&gt;0,IF(N33/M33&gt;1.5,1,0),0),0)</f>
        <v>0</v>
      </c>
      <c r="V33" s="28" t="n">
        <f aca="false">SUM(P33:U33)</f>
        <v>0</v>
      </c>
      <c r="W33" s="28" t="str">
        <f aca="false">IF(V33=0,"—",IF(P33=1,"結案延宕",IF(Q33=1,"逾期",IF(R33=1,"即將異常",IF(S33=1,"進度落後",IF(T33=1,"工時未登錄","預算超支"))))))</f>
        <v>—</v>
      </c>
    </row>
    <row r="34" customFormat="false" ht="15" hidden="false" customHeight="false" outlineLevel="0" collapsed="false">
      <c r="A34" s="10" t="n">
        <v>30</v>
      </c>
      <c r="B34" s="24" t="s">
        <v>633</v>
      </c>
      <c r="C34" s="32" t="s">
        <v>634</v>
      </c>
      <c r="D34" s="32" t="s">
        <v>297</v>
      </c>
      <c r="E34" s="32" t="s">
        <v>632</v>
      </c>
      <c r="F34" s="33" t="s">
        <v>629</v>
      </c>
      <c r="G34" s="55" t="n">
        <v>56</v>
      </c>
      <c r="H34" s="33" t="n">
        <v>189</v>
      </c>
      <c r="I34" s="34" t="n">
        <v>0.48</v>
      </c>
      <c r="J34" s="35" t="s">
        <v>276</v>
      </c>
      <c r="K34" s="72" t="n">
        <v>1354</v>
      </c>
      <c r="L34" s="72" t="n">
        <v>1308.1</v>
      </c>
      <c r="M34" s="36" t="n">
        <v>2591180</v>
      </c>
      <c r="N34" s="36" t="n">
        <v>1925478</v>
      </c>
      <c r="O34" s="28" t="n">
        <f aca="false">IF(AND(F34="Active",G34&lt;100),1,0)</f>
        <v>0</v>
      </c>
      <c r="P34" s="10" t="n">
        <f aca="false">IF(AND(O34=1,G34&gt;=99,H34&gt;0),1,0)</f>
        <v>0</v>
      </c>
      <c r="Q34" s="10" t="n">
        <f aca="false">IF(AND(O34=1,G34&lt;99,H34&gt;0),1,0)</f>
        <v>0</v>
      </c>
      <c r="R34" s="10" t="n">
        <f aca="false">IF(AND(O34=1,J34="是",P34=0,Q34=0),1,0)</f>
        <v>0</v>
      </c>
      <c r="S34" s="10" t="n">
        <f aca="false">IF(AND(O34=1,I34&lt;&gt;"",I34&lt;0.6),1,0)</f>
        <v>0</v>
      </c>
      <c r="T34" s="10" t="n">
        <f aca="false">IF(AND(O34=1,K34&gt;0,L34=0),1,0)</f>
        <v>0</v>
      </c>
      <c r="U34" s="10" t="n">
        <f aca="false">IF(O34=1,IF(M34&gt;0,IF(N34/M34&gt;1.5,1,0),0),0)</f>
        <v>0</v>
      </c>
      <c r="V34" s="28" t="n">
        <f aca="false">SUM(P34:U34)</f>
        <v>0</v>
      </c>
      <c r="W34" s="28" t="str">
        <f aca="false">IF(V34=0,"—",IF(P34=1,"結案延宕",IF(Q34=1,"逾期",IF(R34=1,"即將異常",IF(S34=1,"進度落後",IF(T34=1,"工時未登錄","預算超支"))))))</f>
        <v>—</v>
      </c>
    </row>
    <row r="35" customFormat="false" ht="15" hidden="false" customHeight="false" outlineLevel="0" collapsed="false">
      <c r="A35" s="10" t="n">
        <v>31</v>
      </c>
      <c r="B35" s="24" t="s">
        <v>635</v>
      </c>
      <c r="C35" s="31" t="s">
        <v>636</v>
      </c>
      <c r="D35" s="32" t="s">
        <v>290</v>
      </c>
      <c r="E35" s="32" t="s">
        <v>469</v>
      </c>
      <c r="F35" s="33" t="s">
        <v>626</v>
      </c>
      <c r="G35" s="55" t="n">
        <v>100</v>
      </c>
      <c r="H35" s="33" t="n">
        <v>180</v>
      </c>
      <c r="I35" s="34" t="n">
        <v>0.28</v>
      </c>
      <c r="J35" s="35" t="s">
        <v>276</v>
      </c>
      <c r="K35" s="72" t="n">
        <v>462</v>
      </c>
      <c r="L35" s="72" t="n">
        <v>855</v>
      </c>
      <c r="M35" s="36" t="n">
        <v>807080</v>
      </c>
      <c r="N35" s="36" t="n">
        <v>702382</v>
      </c>
      <c r="O35" s="28" t="n">
        <f aca="false">IF(AND(F35="Active",G35&lt;100),1,0)</f>
        <v>0</v>
      </c>
      <c r="P35" s="10" t="n">
        <f aca="false">IF(AND(O35=1,G35&gt;=99,H35&gt;0),1,0)</f>
        <v>0</v>
      </c>
      <c r="Q35" s="10" t="n">
        <f aca="false">IF(AND(O35=1,G35&lt;99,H35&gt;0),1,0)</f>
        <v>0</v>
      </c>
      <c r="R35" s="10" t="n">
        <f aca="false">IF(AND(O35=1,J35="是",P35=0,Q35=0),1,0)</f>
        <v>0</v>
      </c>
      <c r="S35" s="10" t="n">
        <f aca="false">IF(AND(O35=1,I35&lt;&gt;"",I35&lt;0.6),1,0)</f>
        <v>0</v>
      </c>
      <c r="T35" s="10" t="n">
        <f aca="false">IF(AND(O35=1,K35&gt;0,L35=0),1,0)</f>
        <v>0</v>
      </c>
      <c r="U35" s="10" t="n">
        <f aca="false">IF(O35=1,IF(M35&gt;0,IF(N35/M35&gt;1.5,1,0),0),0)</f>
        <v>0</v>
      </c>
      <c r="V35" s="28" t="n">
        <f aca="false">SUM(P35:U35)</f>
        <v>0</v>
      </c>
      <c r="W35" s="28" t="str">
        <f aca="false">IF(V35=0,"—",IF(P35=1,"結案延宕",IF(Q35=1,"逾期",IF(R35=1,"即將異常",IF(S35=1,"進度落後",IF(T35=1,"工時未登錄","預算超支"))))))</f>
        <v>—</v>
      </c>
    </row>
    <row r="36" customFormat="false" ht="15" hidden="false" customHeight="false" outlineLevel="0" collapsed="false">
      <c r="A36" s="10" t="n">
        <v>32</v>
      </c>
      <c r="B36" s="24" t="s">
        <v>637</v>
      </c>
      <c r="C36" s="31" t="s">
        <v>638</v>
      </c>
      <c r="D36" s="32" t="s">
        <v>320</v>
      </c>
      <c r="E36" s="32" t="s">
        <v>639</v>
      </c>
      <c r="F36" s="33" t="s">
        <v>626</v>
      </c>
      <c r="G36" s="55" t="n">
        <v>87</v>
      </c>
      <c r="H36" s="33" t="n">
        <v>171</v>
      </c>
      <c r="I36" s="34" t="n">
        <v>0.43</v>
      </c>
      <c r="J36" s="35" t="s">
        <v>276</v>
      </c>
      <c r="K36" s="72" t="n">
        <v>339</v>
      </c>
      <c r="L36" s="72" t="n">
        <v>0</v>
      </c>
      <c r="M36" s="36" t="n">
        <v>0</v>
      </c>
      <c r="N36" s="36" t="n">
        <v>0</v>
      </c>
      <c r="O36" s="28" t="n">
        <f aca="false">IF(AND(F36="Active",G36&lt;100),1,0)</f>
        <v>0</v>
      </c>
      <c r="P36" s="10" t="n">
        <f aca="false">IF(AND(O36=1,G36&gt;=99,H36&gt;0),1,0)</f>
        <v>0</v>
      </c>
      <c r="Q36" s="10" t="n">
        <f aca="false">IF(AND(O36=1,G36&lt;99,H36&gt;0),1,0)</f>
        <v>0</v>
      </c>
      <c r="R36" s="10" t="n">
        <f aca="false">IF(AND(O36=1,J36="是",P36=0,Q36=0),1,0)</f>
        <v>0</v>
      </c>
      <c r="S36" s="10" t="n">
        <f aca="false">IF(AND(O36=1,I36&lt;&gt;"",I36&lt;0.6),1,0)</f>
        <v>0</v>
      </c>
      <c r="T36" s="10" t="n">
        <f aca="false">IF(AND(O36=1,K36&gt;0,L36=0),1,0)</f>
        <v>0</v>
      </c>
      <c r="U36" s="10" t="n">
        <f aca="false">IF(O36=1,IF(M36&gt;0,IF(N36/M36&gt;1.5,1,0),0),0)</f>
        <v>0</v>
      </c>
      <c r="V36" s="28" t="n">
        <f aca="false">SUM(P36:U36)</f>
        <v>0</v>
      </c>
      <c r="W36" s="28" t="str">
        <f aca="false">IF(V36=0,"—",IF(P36=1,"結案延宕",IF(Q36=1,"逾期",IF(R36=1,"即將異常",IF(S36=1,"進度落後",IF(T36=1,"工時未登錄","預算超支"))))))</f>
        <v>—</v>
      </c>
    </row>
    <row r="37" customFormat="false" ht="15" hidden="false" customHeight="false" outlineLevel="0" collapsed="false">
      <c r="A37" s="10" t="n">
        <v>33</v>
      </c>
      <c r="B37" s="24" t="s">
        <v>640</v>
      </c>
      <c r="C37" s="31" t="s">
        <v>641</v>
      </c>
      <c r="D37" s="32" t="s">
        <v>320</v>
      </c>
      <c r="E37" s="32" t="s">
        <v>621</v>
      </c>
      <c r="F37" s="33" t="s">
        <v>626</v>
      </c>
      <c r="G37" s="55" t="n">
        <v>100</v>
      </c>
      <c r="H37" s="33" t="n">
        <v>93</v>
      </c>
      <c r="I37" s="34" t="n">
        <v>0.58</v>
      </c>
      <c r="J37" s="35" t="s">
        <v>276</v>
      </c>
      <c r="K37" s="72" t="n">
        <v>648</v>
      </c>
      <c r="L37" s="72" t="n">
        <v>0</v>
      </c>
      <c r="M37" s="36" t="n">
        <v>0</v>
      </c>
      <c r="N37" s="36" t="n">
        <v>0</v>
      </c>
      <c r="O37" s="28" t="n">
        <f aca="false">IF(AND(F37="Active",G37&lt;100),1,0)</f>
        <v>0</v>
      </c>
      <c r="P37" s="10" t="n">
        <f aca="false">IF(AND(O37=1,G37&gt;=99,H37&gt;0),1,0)</f>
        <v>0</v>
      </c>
      <c r="Q37" s="10" t="n">
        <f aca="false">IF(AND(O37=1,G37&lt;99,H37&gt;0),1,0)</f>
        <v>0</v>
      </c>
      <c r="R37" s="10" t="n">
        <f aca="false">IF(AND(O37=1,J37="是",P37=0,Q37=0),1,0)</f>
        <v>0</v>
      </c>
      <c r="S37" s="10" t="n">
        <f aca="false">IF(AND(O37=1,I37&lt;&gt;"",I37&lt;0.6),1,0)</f>
        <v>0</v>
      </c>
      <c r="T37" s="10" t="n">
        <f aca="false">IF(AND(O37=1,K37&gt;0,L37=0),1,0)</f>
        <v>0</v>
      </c>
      <c r="U37" s="10" t="n">
        <f aca="false">IF(O37=1,IF(M37&gt;0,IF(N37/M37&gt;1.5,1,0),0),0)</f>
        <v>0</v>
      </c>
      <c r="V37" s="28" t="n">
        <f aca="false">SUM(P37:U37)</f>
        <v>0</v>
      </c>
      <c r="W37" s="28" t="str">
        <f aca="false">IF(V37=0,"—",IF(P37=1,"結案延宕",IF(Q37=1,"逾期",IF(R37=1,"即將異常",IF(S37=1,"進度落後",IF(T37=1,"工時未登錄","預算超支"))))))</f>
        <v>—</v>
      </c>
    </row>
    <row r="38" customFormat="false" ht="15" hidden="false" customHeight="false" outlineLevel="0" collapsed="false">
      <c r="A38" s="10" t="n">
        <v>34</v>
      </c>
      <c r="B38" s="24" t="s">
        <v>642</v>
      </c>
      <c r="C38" s="31" t="s">
        <v>643</v>
      </c>
      <c r="D38" s="32" t="s">
        <v>285</v>
      </c>
      <c r="E38" s="32" t="s">
        <v>470</v>
      </c>
      <c r="F38" s="33" t="s">
        <v>626</v>
      </c>
      <c r="G38" s="55" t="n">
        <v>100</v>
      </c>
      <c r="H38" s="33" t="n">
        <v>66</v>
      </c>
      <c r="I38" s="34" t="n">
        <v>0.74</v>
      </c>
      <c r="J38" s="35" t="s">
        <v>276</v>
      </c>
      <c r="K38" s="72" t="n">
        <v>480</v>
      </c>
      <c r="L38" s="72" t="n">
        <v>383</v>
      </c>
      <c r="M38" s="36" t="n">
        <v>523200</v>
      </c>
      <c r="N38" s="36" t="n">
        <v>590284</v>
      </c>
      <c r="O38" s="28" t="n">
        <f aca="false">IF(AND(F38="Active",G38&lt;100),1,0)</f>
        <v>0</v>
      </c>
      <c r="P38" s="10" t="n">
        <f aca="false">IF(AND(O38=1,G38&gt;=99,H38&gt;0),1,0)</f>
        <v>0</v>
      </c>
      <c r="Q38" s="10" t="n">
        <f aca="false">IF(AND(O38=1,G38&lt;99,H38&gt;0),1,0)</f>
        <v>0</v>
      </c>
      <c r="R38" s="10" t="n">
        <f aca="false">IF(AND(O38=1,J38="是",P38=0,Q38=0),1,0)</f>
        <v>0</v>
      </c>
      <c r="S38" s="10" t="n">
        <f aca="false">IF(AND(O38=1,I38&lt;&gt;"",I38&lt;0.6),1,0)</f>
        <v>0</v>
      </c>
      <c r="T38" s="10" t="n">
        <f aca="false">IF(AND(O38=1,K38&gt;0,L38=0),1,0)</f>
        <v>0</v>
      </c>
      <c r="U38" s="10" t="n">
        <f aca="false">IF(O38=1,IF(M38&gt;0,IF(N38/M38&gt;1.5,1,0),0),0)</f>
        <v>0</v>
      </c>
      <c r="V38" s="28" t="n">
        <f aca="false">SUM(P38:U38)</f>
        <v>0</v>
      </c>
      <c r="W38" s="28" t="str">
        <f aca="false">IF(V38=0,"—",IF(P38=1,"結案延宕",IF(Q38=1,"逾期",IF(R38=1,"即將異常",IF(S38=1,"進度落後",IF(T38=1,"工時未登錄","預算超支"))))))</f>
        <v>—</v>
      </c>
    </row>
    <row r="39" customFormat="false" ht="15" hidden="false" customHeight="false" outlineLevel="0" collapsed="false">
      <c r="A39" s="10" t="n">
        <v>35</v>
      </c>
      <c r="B39" s="24" t="s">
        <v>644</v>
      </c>
      <c r="C39" s="31" t="s">
        <v>645</v>
      </c>
      <c r="D39" s="32" t="s">
        <v>279</v>
      </c>
      <c r="E39" s="32" t="s">
        <v>441</v>
      </c>
      <c r="F39" s="33" t="s">
        <v>626</v>
      </c>
      <c r="G39" s="55" t="n">
        <v>82</v>
      </c>
      <c r="H39" s="33" t="n">
        <v>55</v>
      </c>
      <c r="I39" s="34" t="n">
        <v>1.57</v>
      </c>
      <c r="J39" s="35" t="s">
        <v>276</v>
      </c>
      <c r="K39" s="72" t="n">
        <v>448</v>
      </c>
      <c r="L39" s="72" t="n">
        <v>589.6</v>
      </c>
      <c r="M39" s="36" t="n">
        <v>496320</v>
      </c>
      <c r="N39" s="36" t="n">
        <v>296145</v>
      </c>
      <c r="O39" s="28" t="n">
        <f aca="false">IF(AND(F39="Active",G39&lt;100),1,0)</f>
        <v>0</v>
      </c>
      <c r="P39" s="10" t="n">
        <f aca="false">IF(AND(O39=1,G39&gt;=99,H39&gt;0),1,0)</f>
        <v>0</v>
      </c>
      <c r="Q39" s="10" t="n">
        <f aca="false">IF(AND(O39=1,G39&lt;99,H39&gt;0),1,0)</f>
        <v>0</v>
      </c>
      <c r="R39" s="10" t="n">
        <f aca="false">IF(AND(O39=1,J39="是",P39=0,Q39=0),1,0)</f>
        <v>0</v>
      </c>
      <c r="S39" s="10" t="n">
        <f aca="false">IF(AND(O39=1,I39&lt;&gt;"",I39&lt;0.6),1,0)</f>
        <v>0</v>
      </c>
      <c r="T39" s="10" t="n">
        <f aca="false">IF(AND(O39=1,K39&gt;0,L39=0),1,0)</f>
        <v>0</v>
      </c>
      <c r="U39" s="10" t="n">
        <f aca="false">IF(O39=1,IF(M39&gt;0,IF(N39/M39&gt;1.5,1,0),0),0)</f>
        <v>0</v>
      </c>
      <c r="V39" s="28" t="n">
        <f aca="false">SUM(P39:U39)</f>
        <v>0</v>
      </c>
      <c r="W39" s="28" t="str">
        <f aca="false">IF(V39=0,"—",IF(P39=1,"結案延宕",IF(Q39=1,"逾期",IF(R39=1,"即將異常",IF(S39=1,"進度落後",IF(T39=1,"工時未登錄","預算超支"))))))</f>
        <v>—</v>
      </c>
    </row>
    <row r="40" customFormat="false" ht="15" hidden="false" customHeight="false" outlineLevel="0" collapsed="false">
      <c r="A40" s="10" t="n">
        <v>36</v>
      </c>
      <c r="B40" s="24" t="s">
        <v>646</v>
      </c>
      <c r="C40" s="31" t="s">
        <v>647</v>
      </c>
      <c r="D40" s="32" t="s">
        <v>285</v>
      </c>
      <c r="E40" s="32" t="s">
        <v>470</v>
      </c>
      <c r="F40" s="33" t="s">
        <v>626</v>
      </c>
      <c r="G40" s="55" t="n">
        <v>100</v>
      </c>
      <c r="H40" s="33" t="n">
        <v>46</v>
      </c>
      <c r="I40" s="34" t="n">
        <v>0.52</v>
      </c>
      <c r="J40" s="35" t="s">
        <v>276</v>
      </c>
      <c r="K40" s="72" t="n">
        <v>557</v>
      </c>
      <c r="L40" s="72" t="n">
        <v>170</v>
      </c>
      <c r="M40" s="36" t="n">
        <v>628730</v>
      </c>
      <c r="N40" s="36" t="n">
        <v>445080</v>
      </c>
      <c r="O40" s="28" t="n">
        <f aca="false">IF(AND(F40="Active",G40&lt;100),1,0)</f>
        <v>0</v>
      </c>
      <c r="P40" s="10" t="n">
        <f aca="false">IF(AND(O40=1,G40&gt;=99,H40&gt;0),1,0)</f>
        <v>0</v>
      </c>
      <c r="Q40" s="10" t="n">
        <f aca="false">IF(AND(O40=1,G40&lt;99,H40&gt;0),1,0)</f>
        <v>0</v>
      </c>
      <c r="R40" s="10" t="n">
        <f aca="false">IF(AND(O40=1,J40="是",P40=0,Q40=0),1,0)</f>
        <v>0</v>
      </c>
      <c r="S40" s="10" t="n">
        <f aca="false">IF(AND(O40=1,I40&lt;&gt;"",I40&lt;0.6),1,0)</f>
        <v>0</v>
      </c>
      <c r="T40" s="10" t="n">
        <f aca="false">IF(AND(O40=1,K40&gt;0,L40=0),1,0)</f>
        <v>0</v>
      </c>
      <c r="U40" s="10" t="n">
        <f aca="false">IF(O40=1,IF(M40&gt;0,IF(N40/M40&gt;1.5,1,0),0),0)</f>
        <v>0</v>
      </c>
      <c r="V40" s="28" t="n">
        <f aca="false">SUM(P40:U40)</f>
        <v>0</v>
      </c>
      <c r="W40" s="28" t="str">
        <f aca="false">IF(V40=0,"—",IF(P40=1,"結案延宕",IF(Q40=1,"逾期",IF(R40=1,"即將異常",IF(S40=1,"進度落後",IF(T40=1,"工時未登錄","預算超支"))))))</f>
        <v>—</v>
      </c>
    </row>
    <row r="41" customFormat="false" ht="15" hidden="false" customHeight="false" outlineLevel="0" collapsed="false">
      <c r="A41" s="10" t="n">
        <v>37</v>
      </c>
      <c r="B41" s="24" t="s">
        <v>648</v>
      </c>
      <c r="C41" s="32" t="s">
        <v>649</v>
      </c>
      <c r="D41" s="32" t="s">
        <v>297</v>
      </c>
      <c r="E41" s="32" t="s">
        <v>632</v>
      </c>
      <c r="F41" s="33" t="s">
        <v>626</v>
      </c>
      <c r="G41" s="55" t="n">
        <v>100</v>
      </c>
      <c r="H41" s="33" t="n">
        <v>42</v>
      </c>
      <c r="I41" s="34" t="n">
        <v>0.97</v>
      </c>
      <c r="J41" s="35" t="s">
        <v>276</v>
      </c>
      <c r="K41" s="72" t="n">
        <v>0</v>
      </c>
      <c r="L41" s="72" t="n">
        <v>253.5</v>
      </c>
      <c r="M41" s="36" t="n">
        <v>0</v>
      </c>
      <c r="N41" s="36" t="n">
        <v>478000</v>
      </c>
      <c r="O41" s="28" t="n">
        <f aca="false">IF(AND(F41="Active",G41&lt;100),1,0)</f>
        <v>0</v>
      </c>
      <c r="P41" s="10" t="n">
        <f aca="false">IF(AND(O41=1,G41&gt;=99,H41&gt;0),1,0)</f>
        <v>0</v>
      </c>
      <c r="Q41" s="10" t="n">
        <f aca="false">IF(AND(O41=1,G41&lt;99,H41&gt;0),1,0)</f>
        <v>0</v>
      </c>
      <c r="R41" s="10" t="n">
        <f aca="false">IF(AND(O41=1,J41="是",P41=0,Q41=0),1,0)</f>
        <v>0</v>
      </c>
      <c r="S41" s="10" t="n">
        <f aca="false">IF(AND(O41=1,I41&lt;&gt;"",I41&lt;0.6),1,0)</f>
        <v>0</v>
      </c>
      <c r="T41" s="10" t="n">
        <f aca="false">IF(AND(O41=1,K41&gt;0,L41=0),1,0)</f>
        <v>0</v>
      </c>
      <c r="U41" s="10" t="n">
        <f aca="false">IF(O41=1,IF(M41&gt;0,IF(N41/M41&gt;1.5,1,0),0),0)</f>
        <v>0</v>
      </c>
      <c r="V41" s="28" t="n">
        <f aca="false">SUM(P41:U41)</f>
        <v>0</v>
      </c>
      <c r="W41" s="28" t="str">
        <f aca="false">IF(V41=0,"—",IF(P41=1,"結案延宕",IF(Q41=1,"逾期",IF(R41=1,"即將異常",IF(S41=1,"進度落後",IF(T41=1,"工時未登錄","預算超支"))))))</f>
        <v>—</v>
      </c>
    </row>
    <row r="42" customFormat="false" ht="15" hidden="false" customHeight="false" outlineLevel="0" collapsed="false">
      <c r="A42" s="10" t="n">
        <v>38</v>
      </c>
      <c r="B42" s="24" t="s">
        <v>650</v>
      </c>
      <c r="C42" s="32" t="s">
        <v>651</v>
      </c>
      <c r="D42" s="32" t="s">
        <v>285</v>
      </c>
      <c r="E42" s="32" t="s">
        <v>474</v>
      </c>
      <c r="F42" s="33" t="s">
        <v>626</v>
      </c>
      <c r="G42" s="55" t="n">
        <v>100</v>
      </c>
      <c r="H42" s="33" t="n">
        <v>22</v>
      </c>
      <c r="I42" s="34" t="n">
        <v>0.84</v>
      </c>
      <c r="J42" s="35" t="s">
        <v>276</v>
      </c>
      <c r="K42" s="72" t="n">
        <v>64</v>
      </c>
      <c r="L42" s="72" t="n">
        <v>437.5</v>
      </c>
      <c r="M42" s="36" t="n">
        <v>69760</v>
      </c>
      <c r="N42" s="36" t="n">
        <v>278391</v>
      </c>
      <c r="O42" s="28" t="n">
        <f aca="false">IF(AND(F42="Active",G42&lt;100),1,0)</f>
        <v>0</v>
      </c>
      <c r="P42" s="10" t="n">
        <f aca="false">IF(AND(O42=1,G42&gt;=99,H42&gt;0),1,0)</f>
        <v>0</v>
      </c>
      <c r="Q42" s="10" t="n">
        <f aca="false">IF(AND(O42=1,G42&lt;99,H42&gt;0),1,0)</f>
        <v>0</v>
      </c>
      <c r="R42" s="10" t="n">
        <f aca="false">IF(AND(O42=1,J42="是",P42=0,Q42=0),1,0)</f>
        <v>0</v>
      </c>
      <c r="S42" s="10" t="n">
        <f aca="false">IF(AND(O42=1,I42&lt;&gt;"",I42&lt;0.6),1,0)</f>
        <v>0</v>
      </c>
      <c r="T42" s="10" t="n">
        <f aca="false">IF(AND(O42=1,K42&gt;0,L42=0),1,0)</f>
        <v>0</v>
      </c>
      <c r="U42" s="10" t="n">
        <f aca="false">IF(O42=1,IF(M42&gt;0,IF(N42/M42&gt;1.5,1,0),0),0)</f>
        <v>0</v>
      </c>
      <c r="V42" s="28" t="n">
        <f aca="false">SUM(P42:U42)</f>
        <v>0</v>
      </c>
      <c r="W42" s="28" t="str">
        <f aca="false">IF(V42=0,"—",IF(P42=1,"結案延宕",IF(Q42=1,"逾期",IF(R42=1,"即將異常",IF(S42=1,"進度落後",IF(T42=1,"工時未登錄","預算超支"))))))</f>
        <v>—</v>
      </c>
    </row>
    <row r="43" customFormat="false" ht="15" hidden="false" customHeight="false" outlineLevel="0" collapsed="false">
      <c r="A43" s="10" t="n">
        <v>39</v>
      </c>
      <c r="B43" s="24" t="s">
        <v>652</v>
      </c>
      <c r="C43" s="31" t="s">
        <v>653</v>
      </c>
      <c r="D43" s="32" t="s">
        <v>325</v>
      </c>
      <c r="E43" s="32" t="s">
        <v>457</v>
      </c>
      <c r="F43" s="33" t="s">
        <v>626</v>
      </c>
      <c r="G43" s="55" t="n">
        <v>100</v>
      </c>
      <c r="H43" s="33" t="n">
        <v>17</v>
      </c>
      <c r="I43" s="34" t="n">
        <v>1.07</v>
      </c>
      <c r="J43" s="35" t="s">
        <v>276</v>
      </c>
      <c r="K43" s="72" t="n">
        <v>530</v>
      </c>
      <c r="L43" s="72" t="n">
        <v>605</v>
      </c>
      <c r="M43" s="36" t="n">
        <v>635700</v>
      </c>
      <c r="N43" s="36" t="n">
        <v>1783183</v>
      </c>
      <c r="O43" s="28" t="n">
        <f aca="false">IF(AND(F43="Active",G43&lt;100),1,0)</f>
        <v>0</v>
      </c>
      <c r="P43" s="10" t="n">
        <f aca="false">IF(AND(O43=1,G43&gt;=99,H43&gt;0),1,0)</f>
        <v>0</v>
      </c>
      <c r="Q43" s="10" t="n">
        <f aca="false">IF(AND(O43=1,G43&lt;99,H43&gt;0),1,0)</f>
        <v>0</v>
      </c>
      <c r="R43" s="10" t="n">
        <f aca="false">IF(AND(O43=1,J43="是",P43=0,Q43=0),1,0)</f>
        <v>0</v>
      </c>
      <c r="S43" s="10" t="n">
        <f aca="false">IF(AND(O43=1,I43&lt;&gt;"",I43&lt;0.6),1,0)</f>
        <v>0</v>
      </c>
      <c r="T43" s="10" t="n">
        <f aca="false">IF(AND(O43=1,K43&gt;0,L43=0),1,0)</f>
        <v>0</v>
      </c>
      <c r="U43" s="10" t="n">
        <f aca="false">IF(O43=1,IF(M43&gt;0,IF(N43/M43&gt;1.5,1,0),0),0)</f>
        <v>0</v>
      </c>
      <c r="V43" s="28" t="n">
        <f aca="false">SUM(P43:U43)</f>
        <v>0</v>
      </c>
      <c r="W43" s="28" t="str">
        <f aca="false">IF(V43=0,"—",IF(P43=1,"結案延宕",IF(Q43=1,"逾期",IF(R43=1,"即將異常",IF(S43=1,"進度落後",IF(T43=1,"工時未登錄","預算超支"))))))</f>
        <v>—</v>
      </c>
    </row>
    <row r="44" customFormat="false" ht="15" hidden="false" customHeight="false" outlineLevel="0" collapsed="false">
      <c r="A44" s="10" t="n">
        <v>40</v>
      </c>
      <c r="B44" s="24" t="s">
        <v>654</v>
      </c>
      <c r="C44" s="31" t="s">
        <v>655</v>
      </c>
      <c r="D44" s="32" t="s">
        <v>297</v>
      </c>
      <c r="E44" s="32" t="s">
        <v>447</v>
      </c>
      <c r="F44" s="33" t="s">
        <v>626</v>
      </c>
      <c r="G44" s="55" t="n">
        <v>100</v>
      </c>
      <c r="H44" s="33" t="n">
        <v>4</v>
      </c>
      <c r="I44" s="34" t="n">
        <v>1.05</v>
      </c>
      <c r="J44" s="35" t="s">
        <v>276</v>
      </c>
      <c r="K44" s="72" t="n">
        <v>250</v>
      </c>
      <c r="L44" s="72" t="n">
        <v>20</v>
      </c>
      <c r="M44" s="36" t="n">
        <v>272500</v>
      </c>
      <c r="N44" s="36" t="n">
        <v>34598</v>
      </c>
      <c r="O44" s="28" t="n">
        <f aca="false">IF(AND(F44="Active",G44&lt;100),1,0)</f>
        <v>0</v>
      </c>
      <c r="P44" s="10" t="n">
        <f aca="false">IF(AND(O44=1,G44&gt;=99,H44&gt;0),1,0)</f>
        <v>0</v>
      </c>
      <c r="Q44" s="10" t="n">
        <f aca="false">IF(AND(O44=1,G44&lt;99,H44&gt;0),1,0)</f>
        <v>0</v>
      </c>
      <c r="R44" s="10" t="n">
        <f aca="false">IF(AND(O44=1,J44="是",P44=0,Q44=0),1,0)</f>
        <v>0</v>
      </c>
      <c r="S44" s="10" t="n">
        <f aca="false">IF(AND(O44=1,I44&lt;&gt;"",I44&lt;0.6),1,0)</f>
        <v>0</v>
      </c>
      <c r="T44" s="10" t="n">
        <f aca="false">IF(AND(O44=1,K44&gt;0,L44=0),1,0)</f>
        <v>0</v>
      </c>
      <c r="U44" s="10" t="n">
        <f aca="false">IF(O44=1,IF(M44&gt;0,IF(N44/M44&gt;1.5,1,0),0),0)</f>
        <v>0</v>
      </c>
      <c r="V44" s="28" t="n">
        <f aca="false">SUM(P44:U44)</f>
        <v>0</v>
      </c>
      <c r="W44" s="28" t="str">
        <f aca="false">IF(V44=0,"—",IF(P44=1,"結案延宕",IF(Q44=1,"逾期",IF(R44=1,"即將異常",IF(S44=1,"進度落後",IF(T44=1,"工時未登錄","預算超支"))))))</f>
        <v>—</v>
      </c>
    </row>
    <row r="45" customFormat="false" ht="15" hidden="false" customHeight="false" outlineLevel="0" collapsed="false">
      <c r="A45" s="10" t="n">
        <v>41</v>
      </c>
      <c r="B45" s="24" t="s">
        <v>656</v>
      </c>
      <c r="C45" s="32" t="s">
        <v>657</v>
      </c>
      <c r="D45" s="32" t="s">
        <v>275</v>
      </c>
      <c r="E45" s="32" t="s">
        <v>462</v>
      </c>
      <c r="F45" s="33" t="s">
        <v>626</v>
      </c>
      <c r="G45" s="55" t="n">
        <v>100</v>
      </c>
      <c r="H45" s="33" t="n">
        <v>3</v>
      </c>
      <c r="I45" s="34" t="n">
        <v>0.87</v>
      </c>
      <c r="J45" s="35" t="s">
        <v>276</v>
      </c>
      <c r="K45" s="72" t="n">
        <v>184</v>
      </c>
      <c r="L45" s="72" t="n">
        <v>215.7</v>
      </c>
      <c r="M45" s="36" t="n">
        <v>237360</v>
      </c>
      <c r="N45" s="36" t="n">
        <v>257931</v>
      </c>
      <c r="O45" s="28" t="n">
        <f aca="false">IF(AND(F45="Active",G45&lt;100),1,0)</f>
        <v>0</v>
      </c>
      <c r="P45" s="10" t="n">
        <f aca="false">IF(AND(O45=1,G45&gt;=99,H45&gt;0),1,0)</f>
        <v>0</v>
      </c>
      <c r="Q45" s="10" t="n">
        <f aca="false">IF(AND(O45=1,G45&lt;99,H45&gt;0),1,0)</f>
        <v>0</v>
      </c>
      <c r="R45" s="10" t="n">
        <f aca="false">IF(AND(O45=1,J45="是",P45=0,Q45=0),1,0)</f>
        <v>0</v>
      </c>
      <c r="S45" s="10" t="n">
        <f aca="false">IF(AND(O45=1,I45&lt;&gt;"",I45&lt;0.6),1,0)</f>
        <v>0</v>
      </c>
      <c r="T45" s="10" t="n">
        <f aca="false">IF(AND(O45=1,K45&gt;0,L45=0),1,0)</f>
        <v>0</v>
      </c>
      <c r="U45" s="10" t="n">
        <f aca="false">IF(O45=1,IF(M45&gt;0,IF(N45/M45&gt;1.5,1,0),0),0)</f>
        <v>0</v>
      </c>
      <c r="V45" s="28" t="n">
        <f aca="false">SUM(P45:U45)</f>
        <v>0</v>
      </c>
      <c r="W45" s="28" t="str">
        <f aca="false">IF(V45=0,"—",IF(P45=1,"結案延宕",IF(Q45=1,"逾期",IF(R45=1,"即將異常",IF(S45=1,"進度落後",IF(T45=1,"工時未登錄","預算超支"))))))</f>
        <v>—</v>
      </c>
    </row>
    <row r="46" customFormat="false" ht="15" hidden="false" customHeight="false" outlineLevel="0" collapsed="false">
      <c r="A46" s="10" t="n">
        <v>42</v>
      </c>
      <c r="B46" s="24" t="s">
        <v>658</v>
      </c>
      <c r="C46" s="31" t="s">
        <v>659</v>
      </c>
      <c r="D46" s="32" t="s">
        <v>297</v>
      </c>
      <c r="E46" s="32" t="s">
        <v>447</v>
      </c>
      <c r="F46" s="33" t="s">
        <v>626</v>
      </c>
      <c r="G46" s="55" t="n">
        <v>100</v>
      </c>
      <c r="H46" s="33" t="n">
        <v>1</v>
      </c>
      <c r="I46" s="34" t="n">
        <v>1.04</v>
      </c>
      <c r="J46" s="35" t="s">
        <v>276</v>
      </c>
      <c r="K46" s="72" t="n">
        <v>306</v>
      </c>
      <c r="L46" s="72" t="n">
        <v>264</v>
      </c>
      <c r="M46" s="36" t="n">
        <v>747540</v>
      </c>
      <c r="N46" s="36" t="n">
        <v>967567</v>
      </c>
      <c r="O46" s="28" t="n">
        <f aca="false">IF(AND(F46="Active",G46&lt;100),1,0)</f>
        <v>0</v>
      </c>
      <c r="P46" s="10" t="n">
        <f aca="false">IF(AND(O46=1,G46&gt;=99,H46&gt;0),1,0)</f>
        <v>0</v>
      </c>
      <c r="Q46" s="10" t="n">
        <f aca="false">IF(AND(O46=1,G46&lt;99,H46&gt;0),1,0)</f>
        <v>0</v>
      </c>
      <c r="R46" s="10" t="n">
        <f aca="false">IF(AND(O46=1,J46="是",P46=0,Q46=0),1,0)</f>
        <v>0</v>
      </c>
      <c r="S46" s="10" t="n">
        <f aca="false">IF(AND(O46=1,I46&lt;&gt;"",I46&lt;0.6),1,0)</f>
        <v>0</v>
      </c>
      <c r="T46" s="10" t="n">
        <f aca="false">IF(AND(O46=1,K46&gt;0,L46=0),1,0)</f>
        <v>0</v>
      </c>
      <c r="U46" s="10" t="n">
        <f aca="false">IF(O46=1,IF(M46&gt;0,IF(N46/M46&gt;1.5,1,0),0),0)</f>
        <v>0</v>
      </c>
      <c r="V46" s="28" t="n">
        <f aca="false">SUM(P46:U46)</f>
        <v>0</v>
      </c>
      <c r="W46" s="28" t="str">
        <f aca="false">IF(V46=0,"—",IF(P46=1,"結案延宕",IF(Q46=1,"逾期",IF(R46=1,"即將異常",IF(S46=1,"進度落後",IF(T46=1,"工時未登錄","預算超支"))))))</f>
        <v>—</v>
      </c>
    </row>
    <row r="47" customFormat="false" ht="15" hidden="false" customHeight="false" outlineLevel="0" collapsed="false">
      <c r="A47" s="10" t="n">
        <v>43</v>
      </c>
      <c r="B47" s="24" t="s">
        <v>660</v>
      </c>
      <c r="C47" s="31" t="s">
        <v>661</v>
      </c>
      <c r="D47" s="32" t="s">
        <v>297</v>
      </c>
      <c r="E47" s="32" t="s">
        <v>447</v>
      </c>
      <c r="F47" s="33" t="s">
        <v>626</v>
      </c>
      <c r="G47" s="55" t="n">
        <v>100</v>
      </c>
      <c r="H47" s="33" t="n">
        <v>0</v>
      </c>
      <c r="I47" s="34" t="n">
        <v>1.02</v>
      </c>
      <c r="J47" s="35" t="s">
        <v>276</v>
      </c>
      <c r="K47" s="72" t="n">
        <v>0</v>
      </c>
      <c r="L47" s="72" t="n">
        <v>88</v>
      </c>
      <c r="M47" s="36" t="n">
        <v>0</v>
      </c>
      <c r="N47" s="36" t="n">
        <v>79392</v>
      </c>
      <c r="O47" s="28" t="n">
        <f aca="false">IF(AND(F47="Active",G47&lt;100),1,0)</f>
        <v>0</v>
      </c>
      <c r="P47" s="10" t="n">
        <f aca="false">IF(AND(O47=1,G47&gt;=99,H47&gt;0),1,0)</f>
        <v>0</v>
      </c>
      <c r="Q47" s="10" t="n">
        <f aca="false">IF(AND(O47=1,G47&lt;99,H47&gt;0),1,0)</f>
        <v>0</v>
      </c>
      <c r="R47" s="10" t="n">
        <f aca="false">IF(AND(O47=1,J47="是",P47=0,Q47=0),1,0)</f>
        <v>0</v>
      </c>
      <c r="S47" s="10" t="n">
        <f aca="false">IF(AND(O47=1,I47&lt;&gt;"",I47&lt;0.6),1,0)</f>
        <v>0</v>
      </c>
      <c r="T47" s="10" t="n">
        <f aca="false">IF(AND(O47=1,K47&gt;0,L47=0),1,0)</f>
        <v>0</v>
      </c>
      <c r="U47" s="10" t="n">
        <f aca="false">IF(O47=1,IF(M47&gt;0,IF(N47/M47&gt;1.5,1,0),0),0)</f>
        <v>0</v>
      </c>
      <c r="V47" s="28" t="n">
        <f aca="false">SUM(P47:U47)</f>
        <v>0</v>
      </c>
      <c r="W47" s="28" t="str">
        <f aca="false">IF(V47=0,"—",IF(P47=1,"結案延宕",IF(Q47=1,"逾期",IF(R47=1,"即將異常",IF(S47=1,"進度落後",IF(T47=1,"工時未登錄","預算超支"))))))</f>
        <v>—</v>
      </c>
    </row>
    <row r="48" customFormat="false" ht="15" hidden="false" customHeight="false" outlineLevel="0" collapsed="false">
      <c r="A48" s="10" t="n">
        <v>44</v>
      </c>
      <c r="B48" s="24" t="s">
        <v>662</v>
      </c>
      <c r="C48" s="31" t="s">
        <v>663</v>
      </c>
      <c r="D48" s="32" t="s">
        <v>285</v>
      </c>
      <c r="E48" s="32" t="s">
        <v>470</v>
      </c>
      <c r="F48" s="33" t="s">
        <v>626</v>
      </c>
      <c r="G48" s="55" t="n">
        <v>100</v>
      </c>
      <c r="H48" s="33" t="n">
        <v>0</v>
      </c>
      <c r="I48" s="34" t="n">
        <v>1.4</v>
      </c>
      <c r="J48" s="35" t="s">
        <v>276</v>
      </c>
      <c r="K48" s="72" t="n">
        <v>0</v>
      </c>
      <c r="L48" s="72" t="n">
        <v>20.5</v>
      </c>
      <c r="M48" s="36" t="n">
        <v>0</v>
      </c>
      <c r="N48" s="36" t="n">
        <v>51218</v>
      </c>
      <c r="O48" s="28" t="n">
        <f aca="false">IF(AND(F48="Active",G48&lt;100),1,0)</f>
        <v>0</v>
      </c>
      <c r="P48" s="10" t="n">
        <f aca="false">IF(AND(O48=1,G48&gt;=99,H48&gt;0),1,0)</f>
        <v>0</v>
      </c>
      <c r="Q48" s="10" t="n">
        <f aca="false">IF(AND(O48=1,G48&lt;99,H48&gt;0),1,0)</f>
        <v>0</v>
      </c>
      <c r="R48" s="10" t="n">
        <f aca="false">IF(AND(O48=1,J48="是",P48=0,Q48=0),1,0)</f>
        <v>0</v>
      </c>
      <c r="S48" s="10" t="n">
        <f aca="false">IF(AND(O48=1,I48&lt;&gt;"",I48&lt;0.6),1,0)</f>
        <v>0</v>
      </c>
      <c r="T48" s="10" t="n">
        <f aca="false">IF(AND(O48=1,K48&gt;0,L48=0),1,0)</f>
        <v>0</v>
      </c>
      <c r="U48" s="10" t="n">
        <f aca="false">IF(O48=1,IF(M48&gt;0,IF(N48/M48&gt;1.5,1,0),0),0)</f>
        <v>0</v>
      </c>
      <c r="V48" s="28" t="n">
        <f aca="false">SUM(P48:U48)</f>
        <v>0</v>
      </c>
      <c r="W48" s="28" t="str">
        <f aca="false">IF(V48=0,"—",IF(P48=1,"結案延宕",IF(Q48=1,"逾期",IF(R48=1,"即將異常",IF(S48=1,"進度落後",IF(T48=1,"工時未登錄","預算超支"))))))</f>
        <v>—</v>
      </c>
    </row>
    <row r="49" customFormat="false" ht="15" hidden="false" customHeight="false" outlineLevel="0" collapsed="false">
      <c r="A49" s="37"/>
      <c r="B49" s="6" t="s">
        <v>358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7" t="n">
        <f aca="false">SUM(O5:O48)</f>
        <v>25</v>
      </c>
      <c r="P49" s="7" t="n">
        <f aca="false">SUM(P5:P48)</f>
        <v>0</v>
      </c>
      <c r="Q49" s="7" t="n">
        <f aca="false">SUM(Q5:Q48)</f>
        <v>13</v>
      </c>
      <c r="R49" s="7" t="n">
        <f aca="false">SUM(R5:R48)</f>
        <v>6</v>
      </c>
      <c r="S49" s="7" t="n">
        <f aca="false">SUM(S5:S48)</f>
        <v>22</v>
      </c>
      <c r="T49" s="7" t="n">
        <f aca="false">SUM(T5:T48)</f>
        <v>4</v>
      </c>
      <c r="U49" s="7" t="n">
        <f aca="false">SUM(U5:U48)</f>
        <v>4</v>
      </c>
      <c r="V49" s="7" t="n">
        <f aca="false">SUM(V5:V48)</f>
        <v>49</v>
      </c>
      <c r="W49" s="7" t="str">
        <f aca="false">COUNTIF(W5:W48,"&lt;&gt;—")&amp;" 件異常"</f>
        <v>23 件異常</v>
      </c>
    </row>
    <row r="51" customFormat="false" ht="15" hidden="false" customHeight="false" outlineLevel="0" collapsed="false">
      <c r="A51" s="12" t="s">
        <v>497</v>
      </c>
    </row>
    <row r="52" customFormat="false" ht="15" hidden="false" customHeight="false" outlineLevel="0" collapsed="false">
      <c r="A52" s="6" t="s">
        <v>498</v>
      </c>
      <c r="C52" s="7" t="s">
        <v>499</v>
      </c>
      <c r="D52" s="7" t="s">
        <v>500</v>
      </c>
      <c r="E52" s="7" t="s">
        <v>501</v>
      </c>
    </row>
    <row r="53" customFormat="false" ht="15" hidden="false" customHeight="false" outlineLevel="0" collapsed="false">
      <c r="A53" s="23" t="s">
        <v>664</v>
      </c>
      <c r="B53" s="23"/>
      <c r="C53" s="10" t="n">
        <f aca="false">COUNTA(B5:B48)</f>
        <v>44</v>
      </c>
      <c r="D53" s="10" t="n">
        <v>44</v>
      </c>
      <c r="E53" s="28" t="str">
        <f aca="false">IF(C53=D53,"✓ 通過","✗ 不符")</f>
        <v>✓ 通過</v>
      </c>
    </row>
    <row r="54" customFormat="false" ht="15" hidden="false" customHeight="false" outlineLevel="0" collapsed="false">
      <c r="A54" s="23" t="s">
        <v>665</v>
      </c>
      <c r="B54" s="23"/>
      <c r="C54" s="10" t="n">
        <f aca="false">O49</f>
        <v>25</v>
      </c>
      <c r="D54" s="10" t="n">
        <v>25</v>
      </c>
      <c r="E54" s="28" t="str">
        <f aca="false">IF(C54=D54,"✓ 通過","✗ 不符")</f>
        <v>✓ 通過</v>
      </c>
    </row>
    <row r="55" customFormat="false" ht="15" hidden="false" customHeight="false" outlineLevel="0" collapsed="false">
      <c r="A55" s="23" t="s">
        <v>666</v>
      </c>
      <c r="B55" s="23"/>
      <c r="C55" s="10" t="n">
        <f aca="false">COUNTA(B5:B48)-O49</f>
        <v>19</v>
      </c>
      <c r="D55" s="10" t="n">
        <v>19</v>
      </c>
      <c r="E55" s="28" t="str">
        <f aca="false">IF(C55=D55,"✓ 通過","✗ 不符")</f>
        <v>✓ 通過</v>
      </c>
    </row>
    <row r="56" customFormat="false" ht="15" hidden="false" customHeight="false" outlineLevel="0" collapsed="false">
      <c r="A56" s="23" t="s">
        <v>667</v>
      </c>
      <c r="B56" s="23"/>
      <c r="C56" s="10" t="n">
        <f aca="false">COUNTIF(W5:W48,"&lt;&gt;—")</f>
        <v>23</v>
      </c>
      <c r="D56" s="10" t="n">
        <v>23</v>
      </c>
      <c r="E56" s="28" t="str">
        <f aca="false">IF(C56=D56,"✓ 通過","✗ 不符")</f>
        <v>✓ 通過</v>
      </c>
    </row>
    <row r="57" customFormat="false" ht="15" hidden="false" customHeight="false" outlineLevel="0" collapsed="false">
      <c r="A57" s="23" t="s">
        <v>668</v>
      </c>
      <c r="B57" s="23"/>
      <c r="C57" s="10" t="n">
        <f aca="false">COUNTIF(W5:W48,"逾期")</f>
        <v>13</v>
      </c>
      <c r="D57" s="10" t="n">
        <v>13</v>
      </c>
      <c r="E57" s="28" t="str">
        <f aca="false">IF(C57=D57,"✓ 通過","✗ 不符")</f>
        <v>✓ 通過</v>
      </c>
    </row>
    <row r="58" customFormat="false" ht="15" hidden="false" customHeight="false" outlineLevel="0" collapsed="false">
      <c r="A58" s="23" t="s">
        <v>669</v>
      </c>
      <c r="B58" s="23"/>
      <c r="C58" s="10" t="n">
        <f aca="false">COUNTIF(W5:W48,"即將異常")</f>
        <v>6</v>
      </c>
      <c r="D58" s="10" t="n">
        <v>6</v>
      </c>
      <c r="E58" s="28" t="str">
        <f aca="false">IF(C58=D58,"✓ 通過","✗ 不符")</f>
        <v>✓ 通過</v>
      </c>
    </row>
    <row r="59" customFormat="false" ht="15" hidden="false" customHeight="false" outlineLevel="0" collapsed="false">
      <c r="A59" s="23" t="s">
        <v>670</v>
      </c>
      <c r="B59" s="23"/>
      <c r="C59" s="10" t="n">
        <f aca="false">COUNTIF(W5:W48,"進度落後")</f>
        <v>4</v>
      </c>
      <c r="D59" s="10" t="n">
        <v>4</v>
      </c>
      <c r="E59" s="28" t="str">
        <f aca="false">IF(C59=D59,"✓ 通過","✗ 不符")</f>
        <v>✓ 通過</v>
      </c>
    </row>
    <row r="60" customFormat="false" ht="15" hidden="false" customHeight="false" outlineLevel="0" collapsed="false">
      <c r="A60" s="23" t="s">
        <v>671</v>
      </c>
      <c r="B60" s="23"/>
      <c r="C60" s="10" t="n">
        <f aca="false">V49</f>
        <v>49</v>
      </c>
      <c r="D60" s="10" t="n">
        <v>49</v>
      </c>
      <c r="E60" s="28" t="str">
        <f aca="false">IF(C60=D60,"✓ 通過","✗ 不符")</f>
        <v>✓ 通過</v>
      </c>
    </row>
  </sheetData>
  <mergeCells count="8">
    <mergeCell ref="A53:B53"/>
    <mergeCell ref="A54:B54"/>
    <mergeCell ref="A55:B55"/>
    <mergeCell ref="A56:B56"/>
    <mergeCell ref="A57:B57"/>
    <mergeCell ref="A58:B58"/>
    <mergeCell ref="A59:B59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38"/>
  </cols>
  <sheetData>
    <row r="1" customFormat="false" ht="23.1" hidden="false" customHeight="false" outlineLevel="0" collapsed="false">
      <c r="A1" s="14" t="s">
        <v>672</v>
      </c>
    </row>
    <row r="2" customFormat="false" ht="15" hidden="false" customHeight="false" outlineLevel="0" collapsed="false">
      <c r="A2" s="15" t="s">
        <v>673</v>
      </c>
    </row>
    <row r="4" customFormat="false" ht="30" hidden="false" customHeight="true" outlineLevel="0" collapsed="false">
      <c r="A4" s="16" t="s">
        <v>674</v>
      </c>
      <c r="B4" s="16" t="s">
        <v>675</v>
      </c>
      <c r="C4" s="16" t="s">
        <v>54</v>
      </c>
      <c r="D4" s="16" t="s">
        <v>676</v>
      </c>
      <c r="E4" s="16" t="s">
        <v>677</v>
      </c>
      <c r="F4" s="30" t="s">
        <v>678</v>
      </c>
    </row>
    <row r="5" customFormat="false" ht="25.5" hidden="false" customHeight="true" outlineLevel="0" collapsed="false">
      <c r="A5" s="73" t="s">
        <v>679</v>
      </c>
      <c r="B5" s="19" t="s">
        <v>260</v>
      </c>
      <c r="C5" s="17" t="s">
        <v>61</v>
      </c>
      <c r="D5" s="19" t="s">
        <v>680</v>
      </c>
      <c r="E5" s="17" t="s">
        <v>681</v>
      </c>
      <c r="F5" s="17" t="s">
        <v>682</v>
      </c>
    </row>
    <row r="6" customFormat="false" ht="25.5" hidden="false" customHeight="true" outlineLevel="0" collapsed="false">
      <c r="A6" s="73" t="s">
        <v>679</v>
      </c>
      <c r="B6" s="19" t="s">
        <v>219</v>
      </c>
      <c r="C6" s="17" t="s">
        <v>61</v>
      </c>
      <c r="D6" s="19" t="s">
        <v>683</v>
      </c>
      <c r="E6" s="19" t="s">
        <v>684</v>
      </c>
      <c r="F6" s="19" t="s">
        <v>685</v>
      </c>
    </row>
    <row r="7" customFormat="false" ht="25.5" hidden="false" customHeight="true" outlineLevel="0" collapsed="false">
      <c r="A7" s="73" t="s">
        <v>679</v>
      </c>
      <c r="B7" s="19" t="s">
        <v>686</v>
      </c>
      <c r="C7" s="17" t="s">
        <v>61</v>
      </c>
      <c r="D7" s="19" t="s">
        <v>687</v>
      </c>
      <c r="E7" s="19" t="s">
        <v>688</v>
      </c>
      <c r="F7" s="19" t="s">
        <v>689</v>
      </c>
    </row>
    <row r="8" customFormat="false" ht="25.5" hidden="false" customHeight="true" outlineLevel="0" collapsed="false">
      <c r="A8" s="73" t="s">
        <v>679</v>
      </c>
      <c r="B8" s="19" t="s">
        <v>66</v>
      </c>
      <c r="C8" s="17" t="s">
        <v>61</v>
      </c>
      <c r="D8" s="19" t="s">
        <v>690</v>
      </c>
      <c r="E8" s="19" t="s">
        <v>691</v>
      </c>
      <c r="F8" s="17" t="s">
        <v>692</v>
      </c>
    </row>
    <row r="9" customFormat="false" ht="25.5" hidden="false" customHeight="true" outlineLevel="0" collapsed="false">
      <c r="A9" s="73" t="s">
        <v>679</v>
      </c>
      <c r="B9" s="17" t="s">
        <v>71</v>
      </c>
      <c r="C9" s="17" t="s">
        <v>61</v>
      </c>
      <c r="D9" s="19" t="s">
        <v>693</v>
      </c>
      <c r="E9" s="17" t="s">
        <v>694</v>
      </c>
      <c r="F9" s="19" t="s">
        <v>695</v>
      </c>
    </row>
    <row r="10" customFormat="false" ht="25.5" hidden="false" customHeight="true" outlineLevel="0" collapsed="false">
      <c r="A10" s="73" t="s">
        <v>679</v>
      </c>
      <c r="B10" s="19" t="s">
        <v>76</v>
      </c>
      <c r="C10" s="19" t="s">
        <v>77</v>
      </c>
      <c r="D10" s="19" t="s">
        <v>696</v>
      </c>
      <c r="E10" s="19" t="s">
        <v>104</v>
      </c>
      <c r="F10" s="19" t="s">
        <v>697</v>
      </c>
    </row>
    <row r="11" customFormat="false" ht="25.5" hidden="false" customHeight="true" outlineLevel="0" collapsed="false">
      <c r="A11" s="73" t="s">
        <v>679</v>
      </c>
      <c r="B11" s="19" t="s">
        <v>226</v>
      </c>
      <c r="C11" s="19" t="s">
        <v>698</v>
      </c>
      <c r="D11" s="17" t="s">
        <v>699</v>
      </c>
      <c r="E11" s="17" t="s">
        <v>700</v>
      </c>
      <c r="F11" s="19" t="s">
        <v>701</v>
      </c>
    </row>
    <row r="12" customFormat="false" ht="25.5" hidden="false" customHeight="true" outlineLevel="0" collapsed="false">
      <c r="A12" s="73" t="s">
        <v>679</v>
      </c>
      <c r="B12" s="19" t="s">
        <v>88</v>
      </c>
      <c r="C12" s="19" t="s">
        <v>77</v>
      </c>
      <c r="D12" s="19" t="s">
        <v>107</v>
      </c>
      <c r="E12" s="19" t="s">
        <v>702</v>
      </c>
      <c r="F12" s="17" t="s">
        <v>703</v>
      </c>
    </row>
    <row r="13" customFormat="false" ht="25.5" hidden="false" customHeight="true" outlineLevel="0" collapsed="false">
      <c r="A13" s="73" t="s">
        <v>704</v>
      </c>
      <c r="B13" s="19" t="s">
        <v>705</v>
      </c>
      <c r="C13" s="17" t="s">
        <v>61</v>
      </c>
      <c r="D13" s="19" t="s">
        <v>706</v>
      </c>
      <c r="E13" s="19" t="s">
        <v>707</v>
      </c>
      <c r="F13" s="17" t="s">
        <v>708</v>
      </c>
    </row>
    <row r="14" customFormat="false" ht="25.5" hidden="false" customHeight="true" outlineLevel="0" collapsed="false">
      <c r="A14" s="73" t="s">
        <v>704</v>
      </c>
      <c r="B14" s="19" t="s">
        <v>709</v>
      </c>
      <c r="C14" s="17" t="s">
        <v>710</v>
      </c>
      <c r="D14" s="19" t="s">
        <v>711</v>
      </c>
      <c r="E14" s="19" t="s">
        <v>712</v>
      </c>
      <c r="F14" s="19" t="s">
        <v>713</v>
      </c>
    </row>
    <row r="15" customFormat="false" ht="25.5" hidden="false" customHeight="true" outlineLevel="0" collapsed="false">
      <c r="A15" s="73" t="s">
        <v>714</v>
      </c>
      <c r="B15" s="19" t="s">
        <v>715</v>
      </c>
      <c r="C15" s="17" t="s">
        <v>137</v>
      </c>
      <c r="D15" s="19" t="s">
        <v>716</v>
      </c>
      <c r="E15" s="17" t="s">
        <v>717</v>
      </c>
      <c r="F15" s="19" t="s">
        <v>718</v>
      </c>
    </row>
    <row r="16" customFormat="false" ht="25.5" hidden="false" customHeight="true" outlineLevel="0" collapsed="false">
      <c r="A16" s="73" t="s">
        <v>714</v>
      </c>
      <c r="B16" s="19" t="s">
        <v>719</v>
      </c>
      <c r="C16" s="17" t="s">
        <v>137</v>
      </c>
      <c r="D16" s="19" t="s">
        <v>720</v>
      </c>
      <c r="E16" s="19" t="s">
        <v>721</v>
      </c>
      <c r="F16" s="17" t="s">
        <v>722</v>
      </c>
    </row>
    <row r="17" customFormat="false" ht="25.5" hidden="false" customHeight="true" outlineLevel="0" collapsed="false">
      <c r="A17" s="73" t="s">
        <v>714</v>
      </c>
      <c r="B17" s="19" t="s">
        <v>723</v>
      </c>
      <c r="C17" s="17" t="s">
        <v>137</v>
      </c>
      <c r="D17" s="19" t="s">
        <v>724</v>
      </c>
      <c r="E17" s="19" t="s">
        <v>725</v>
      </c>
      <c r="F17" s="19" t="s">
        <v>726</v>
      </c>
    </row>
    <row r="18" customFormat="false" ht="25.5" hidden="false" customHeight="true" outlineLevel="0" collapsed="false">
      <c r="A18" s="73" t="s">
        <v>714</v>
      </c>
      <c r="B18" s="19" t="s">
        <v>727</v>
      </c>
      <c r="C18" s="17" t="s">
        <v>137</v>
      </c>
      <c r="D18" s="19" t="s">
        <v>728</v>
      </c>
      <c r="E18" s="19" t="s">
        <v>729</v>
      </c>
      <c r="F18" s="17" t="s">
        <v>730</v>
      </c>
    </row>
    <row r="19" customFormat="false" ht="25.5" hidden="false" customHeight="true" outlineLevel="0" collapsed="false">
      <c r="A19" s="73" t="s">
        <v>714</v>
      </c>
      <c r="B19" s="19" t="s">
        <v>372</v>
      </c>
      <c r="C19" s="19" t="s">
        <v>731</v>
      </c>
      <c r="D19" s="17" t="s">
        <v>16</v>
      </c>
      <c r="E19" s="17" t="s">
        <v>732</v>
      </c>
      <c r="F19" s="19" t="s">
        <v>733</v>
      </c>
    </row>
    <row r="20" customFormat="false" ht="25.5" hidden="false" customHeight="true" outlineLevel="0" collapsed="false">
      <c r="A20" s="73" t="s">
        <v>714</v>
      </c>
      <c r="B20" s="19" t="s">
        <v>155</v>
      </c>
      <c r="C20" s="19" t="s">
        <v>395</v>
      </c>
      <c r="D20" s="17" t="s">
        <v>16</v>
      </c>
      <c r="E20" s="19" t="s">
        <v>734</v>
      </c>
      <c r="F20" s="17" t="s">
        <v>735</v>
      </c>
    </row>
    <row r="21" customFormat="false" ht="25.5" hidden="false" customHeight="true" outlineLevel="0" collapsed="false">
      <c r="A21" s="73" t="s">
        <v>736</v>
      </c>
      <c r="B21" s="19" t="s">
        <v>737</v>
      </c>
      <c r="C21" s="19" t="s">
        <v>174</v>
      </c>
      <c r="D21" s="19" t="s">
        <v>738</v>
      </c>
      <c r="E21" s="19" t="s">
        <v>739</v>
      </c>
      <c r="F21" s="19" t="s">
        <v>740</v>
      </c>
    </row>
    <row r="23" customFormat="false" ht="15" hidden="false" customHeight="false" outlineLevel="0" collapsed="false">
      <c r="A23" s="12" t="s">
        <v>741</v>
      </c>
    </row>
    <row r="24" customFormat="false" ht="15" hidden="false" customHeight="false" outlineLevel="0" collapsed="false">
      <c r="A24" s="13" t="s">
        <v>742</v>
      </c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13" t="s">
        <v>743</v>
      </c>
      <c r="B25" s="13"/>
      <c r="C25" s="13"/>
      <c r="D25" s="13"/>
      <c r="E25" s="13"/>
      <c r="F25" s="13"/>
    </row>
    <row r="26" customFormat="false" ht="15" hidden="false" customHeight="false" outlineLevel="0" collapsed="false">
      <c r="A26" s="13" t="s">
        <v>744</v>
      </c>
      <c r="B26" s="13"/>
      <c r="C26" s="13"/>
      <c r="D26" s="13"/>
      <c r="E26" s="13"/>
      <c r="F26" s="13"/>
    </row>
    <row r="27" customFormat="false" ht="15" hidden="false" customHeight="false" outlineLevel="0" collapsed="false">
      <c r="A27" s="13" t="s">
        <v>745</v>
      </c>
      <c r="B27" s="13"/>
      <c r="C27" s="13"/>
      <c r="D27" s="13"/>
      <c r="E27" s="13"/>
      <c r="F27" s="13"/>
    </row>
  </sheetData>
  <mergeCells count="4"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2026-08-17T01:13:59Z</dcterms:created>
  <dc:creator>openpyxl</dc:creator>
  <dc:description/>
  <dc:language>en-US</dc:language>
  <cp:lastModifiedBy/>
  <dcterms:modified xsi:type="dcterms:W3CDTF">2026-08-17T01:14:00Z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