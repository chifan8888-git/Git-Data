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521\"/>
    </mc:Choice>
  </mc:AlternateContent>
  <xr:revisionPtr revIDLastSave="0" documentId="13_ncr:1_{DA0B0F49-7F3F-4ED5-99FF-4B17CB4EDC97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2" i="8" l="1"/>
  <c r="U32" i="8"/>
  <c r="R32" i="8"/>
  <c r="Q32" i="8"/>
  <c r="N32" i="8"/>
  <c r="M32" i="8"/>
  <c r="J32" i="8"/>
  <c r="I32" i="8"/>
  <c r="V31" i="8"/>
  <c r="U31" i="8"/>
  <c r="R31" i="8"/>
  <c r="Q31" i="8"/>
  <c r="N31" i="8"/>
  <c r="M31" i="8"/>
  <c r="J31" i="8"/>
  <c r="I31" i="8"/>
  <c r="V30" i="8"/>
  <c r="U30" i="8"/>
  <c r="R30" i="8"/>
  <c r="Q30" i="8"/>
  <c r="N30" i="8"/>
  <c r="M30" i="8"/>
  <c r="J30" i="8"/>
  <c r="I30" i="8"/>
  <c r="V29" i="8"/>
  <c r="U29" i="8"/>
  <c r="R29" i="8"/>
  <c r="Q29" i="8"/>
  <c r="N29" i="8"/>
  <c r="M29" i="8"/>
  <c r="J29" i="8"/>
  <c r="I29" i="8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14" i="1" l="1"/>
  <c r="K12" i="1"/>
  <c r="W16" i="8"/>
  <c r="O15" i="8"/>
  <c r="K14" i="8"/>
  <c r="E14" i="8"/>
  <c r="F14" i="8" l="1"/>
  <c r="G14" i="8" s="1"/>
  <c r="O14" i="8"/>
  <c r="K16" i="8"/>
  <c r="F16" i="8" s="1"/>
  <c r="S15" i="8"/>
  <c r="S14" i="8"/>
  <c r="S16" i="8"/>
  <c r="O16" i="8"/>
  <c r="E15" i="8"/>
  <c r="K15" i="8"/>
  <c r="F15" i="8" s="1"/>
  <c r="W15" i="8"/>
  <c r="W14" i="8"/>
  <c r="E16" i="8"/>
  <c r="K13" i="1"/>
  <c r="E32" i="8"/>
  <c r="K27" i="1"/>
  <c r="G15" i="8" l="1"/>
  <c r="G16" i="8"/>
  <c r="O32" i="8"/>
  <c r="W32" i="8"/>
  <c r="S32" i="8"/>
  <c r="K32" i="8"/>
  <c r="F32" i="8"/>
  <c r="G32" i="8" s="1"/>
  <c r="E31" i="8" l="1"/>
  <c r="W31" i="8" l="1"/>
  <c r="S31" i="8"/>
  <c r="K31" i="8"/>
  <c r="O31" i="8"/>
  <c r="K26" i="1"/>
  <c r="C49" i="1"/>
  <c r="D49" i="1"/>
  <c r="F31" i="8" l="1"/>
  <c r="G31" i="8" s="1"/>
  <c r="C48" i="1"/>
  <c r="D48" i="1"/>
  <c r="C47" i="1" l="1"/>
  <c r="C51" i="1" s="1"/>
  <c r="D47" i="1"/>
  <c r="D51" i="1" l="1"/>
  <c r="W26" i="8" l="1"/>
  <c r="S21" i="8"/>
  <c r="S10" i="8"/>
  <c r="S26" i="8"/>
  <c r="O21" i="8"/>
  <c r="K13" i="8"/>
  <c r="O26" i="8"/>
  <c r="O18" i="8"/>
  <c r="K10" i="8"/>
  <c r="K26" i="8"/>
  <c r="F26" i="8" s="1"/>
  <c r="W20" i="8"/>
  <c r="S12" i="8"/>
  <c r="K23" i="8"/>
  <c r="W17" i="8"/>
  <c r="K28" i="8"/>
  <c r="W22" i="8"/>
  <c r="W11" i="8"/>
  <c r="O30" i="8"/>
  <c r="O22" i="8"/>
  <c r="S19" i="8"/>
  <c r="O11" i="8"/>
  <c r="O27" i="8"/>
  <c r="K22" i="8"/>
  <c r="W29" i="8"/>
  <c r="S13" i="8"/>
  <c r="F22" i="8" l="1"/>
  <c r="S23" i="8"/>
  <c r="W18" i="8"/>
  <c r="K11" i="8"/>
  <c r="F11" i="8" s="1"/>
  <c r="S18" i="8"/>
  <c r="W23" i="8"/>
  <c r="S25" i="8"/>
  <c r="O29" i="8"/>
  <c r="W24" i="8"/>
  <c r="O20" i="8"/>
  <c r="K27" i="8"/>
  <c r="F27" i="8" s="1"/>
  <c r="K24" i="8"/>
  <c r="O19" i="8"/>
  <c r="O25" i="8"/>
  <c r="K9" i="8"/>
  <c r="O17" i="8"/>
  <c r="W28" i="8"/>
  <c r="K17" i="8"/>
  <c r="F17" i="8" s="1"/>
  <c r="O13" i="8"/>
  <c r="F13" i="8" s="1"/>
  <c r="S30" i="8"/>
  <c r="W13" i="8"/>
  <c r="S11" i="8"/>
  <c r="W19" i="8"/>
  <c r="O12" i="8"/>
  <c r="W27" i="8"/>
  <c r="S24" i="8"/>
  <c r="S28" i="8"/>
  <c r="W21" i="8"/>
  <c r="S9" i="8"/>
  <c r="K12" i="8"/>
  <c r="S17" i="8"/>
  <c r="K20" i="8"/>
  <c r="F20" i="8" s="1"/>
  <c r="S22" i="8"/>
  <c r="K25" i="8"/>
  <c r="F25" i="8" s="1"/>
  <c r="S27" i="8"/>
  <c r="K30" i="8"/>
  <c r="F30" i="8" s="1"/>
  <c r="O9" i="8"/>
  <c r="F9" i="8" s="1"/>
  <c r="K29" i="8"/>
  <c r="O10" i="8"/>
  <c r="F10" i="8" s="1"/>
  <c r="W10" i="8"/>
  <c r="W9" i="8"/>
  <c r="W12" i="8"/>
  <c r="K19" i="8"/>
  <c r="S20" i="8"/>
  <c r="K18" i="8"/>
  <c r="F18" i="8" s="1"/>
  <c r="K21" i="8"/>
  <c r="F21" i="8" s="1"/>
  <c r="O24" i="8"/>
  <c r="W30" i="8"/>
  <c r="O28" i="8"/>
  <c r="F28" i="8" s="1"/>
  <c r="W25" i="8"/>
  <c r="O23" i="8"/>
  <c r="F23" i="8" s="1"/>
  <c r="S29" i="8"/>
  <c r="F29" i="8" l="1"/>
  <c r="F19" i="8"/>
  <c r="F24" i="8"/>
  <c r="F12" i="8"/>
  <c r="E28" i="8" l="1"/>
  <c r="G28" i="8" s="1"/>
  <c r="E30" i="8" l="1"/>
  <c r="G30" i="8" s="1"/>
  <c r="E26" i="8"/>
  <c r="G26" i="8" s="1"/>
  <c r="E27" i="8"/>
  <c r="G27" i="8" s="1"/>
  <c r="E25" i="8"/>
  <c r="G25" i="8" s="1"/>
  <c r="E19" i="8"/>
  <c r="G19" i="8" s="1"/>
  <c r="E23" i="8"/>
  <c r="G23" i="8" s="1"/>
  <c r="E11" i="8"/>
  <c r="G11" i="8" s="1"/>
  <c r="E20" i="8"/>
  <c r="G20" i="8" s="1"/>
  <c r="E10" i="8"/>
  <c r="G10" i="8" s="1"/>
  <c r="E24" i="8"/>
  <c r="G24" i="8" s="1"/>
  <c r="E17" i="8"/>
  <c r="G17" i="8" s="1"/>
  <c r="E12" i="8"/>
  <c r="G12" i="8" s="1"/>
  <c r="E18" i="8"/>
  <c r="G18" i="8" s="1"/>
  <c r="E29" i="8"/>
  <c r="G29" i="8" s="1"/>
  <c r="E13" i="8"/>
  <c r="G13" i="8" s="1"/>
  <c r="E22" i="8"/>
  <c r="G22" i="8" s="1"/>
  <c r="E9" i="8"/>
  <c r="G9" i="8" s="1"/>
  <c r="E21" i="8"/>
  <c r="G21" i="8" s="1"/>
  <c r="K20" i="1" l="1"/>
  <c r="K25" i="1"/>
  <c r="K15" i="1"/>
  <c r="K7" i="1"/>
  <c r="K6" i="1"/>
  <c r="K8" i="1"/>
  <c r="K9" i="1"/>
  <c r="K18" i="1"/>
  <c r="K11" i="1"/>
  <c r="K24" i="1"/>
  <c r="K16" i="1"/>
  <c r="K5" i="1"/>
  <c r="K21" i="1"/>
  <c r="K19" i="1"/>
  <c r="K4" i="1"/>
  <c r="K10" i="1"/>
  <c r="K23" i="1"/>
  <c r="K17" i="1"/>
  <c r="K22" i="1"/>
  <c r="M12" i="1" l="1"/>
  <c r="M18" i="1"/>
  <c r="M22" i="1"/>
  <c r="M15" i="1"/>
  <c r="M13" i="1" l="1"/>
  <c r="M24" i="1"/>
  <c r="M23" i="1"/>
  <c r="M26" i="1"/>
  <c r="M10" i="1"/>
  <c r="M27" i="1"/>
  <c r="M14" i="1" l="1"/>
  <c r="M25" i="1"/>
  <c r="M21" i="1"/>
  <c r="M9" i="1" l="1"/>
  <c r="M8" i="1"/>
  <c r="M20" i="1"/>
  <c r="M16" i="1" l="1"/>
  <c r="M7" i="1" l="1"/>
  <c r="M6" i="1"/>
  <c r="M17" i="1" l="1"/>
  <c r="M5" i="1" l="1"/>
  <c r="M4" i="1"/>
  <c r="M11" i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<sst xmlns="http://schemas.openxmlformats.org/spreadsheetml/2006/main" count="544" uniqueCount="254">
  <si>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</si>
  <si>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</si>
  <si>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</si>
  <si>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</si>
  <si>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</si>
  <si>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</si>
  <si>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</si>
  <si>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</si>
  <si>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</si>
  <si>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</si>
  <si>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</si>
  <si>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</si>
  <si>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</si>
  <si>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</si>
  <si>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</si>
  <si>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</si>
  <si>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</si>
  <si>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</si>
  <si>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</si>
  <si>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</si>
  <si>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</si>
  <si>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</si>
  <si>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</si>
  <si>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</si>
  <si>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</si>
  <si>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</si>
  <si>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</si>
  <si>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</si>
  <si>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</si>
  <si>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</si>
  <si>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</si>
  <si>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</si>
  <si>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</si>
  <si>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</si>
  <si>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</si>
  <si>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</si>
  <si>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</si>
  <si>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</si>
  <si>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</si>
  <si>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</si>
  <si>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</si>
  <si>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</si>
  <si>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</si>
  <si>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</si>
  <si>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</si>
  <si>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</si>
  <si>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</si>
  <si>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</si>
  <si>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</si>
  <si>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</si>
  <si>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</si>
  <si>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</si>
  <si>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</si>
  <si>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</si>
  <si>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</si>
  <si>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</si>
  <si>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</si>
  <si>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</si>
  <si>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</si>
  <si>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</si>
  <si>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</si>
  <si>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</si>
  <si>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</si>
  <si>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</si>
  <si>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</si>
  <si>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</si>
  <si>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</si>
  <si>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</si>
  <si>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</si>
  <si>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</si>
  <si>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</si>
  <si>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</si>
  <si>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</si>
  <si>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</si>
  <si>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</si>
  <si>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</si>
  <si>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</si>
  <si>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</si>
  <si>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</si>
  <si>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</si>
  <si>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</si>
  <si>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</si>
  <si>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</si>
  <si>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</si>
  <si>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</si>
  <si>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</si>
  <si>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</si>
  <si>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</si>
  <si>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</si>
  <si>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</si>
  <si>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</si>
  <si>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</si>
  <si>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</si>
  <si>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</si>
  <si>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</si>
  <si>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</si>
  <si>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</si>
  <si>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</si>
  <si>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</si>
  <si>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</si>
  <si>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</si>
  <si>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</si>
  <si>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</si>
  <si>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</si>
  <si>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</si>
  <si>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</si>
  <si>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</si>
  <si>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</si>
  <si>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</si>
  <si>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</si>
  <si>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</si>
  <si>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</si>
  <si>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</si>
  <si>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</si>
  <si>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</si>
  <si>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</si>
  <si>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</si>
  <si>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</si>
  <si>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</si>
  <si>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</si>
  <si>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</si>
  <si>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</si>
  <si>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</si>
  <si>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</si>
  <si>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</si>
  <si>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</si>
  <si>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</si>
  <si>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</si>
  <si>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</si>
  <si>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</si>
  <si>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</si>
  <si>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</si>
  <si>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</si>
  <si>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</si>
  <si>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</si>
  <si>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</si>
  <si>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</si>
  <si>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</si>
  <si>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</si>
  <si>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</si>
  <si>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</si>
  <si>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</si>
  <si>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</si>
  <si>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</si>
  <si>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</si>
  <si>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</si>
  <si>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</si>
  <si>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</si>
  <si>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</si>
  <si>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</si>
  <si>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</si>
  <si>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</si>
  <si>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</si>
  <si>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</si>
  <si>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</si>
  <si>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</si>
  <si>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</si>
  <si>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</si>
  <si>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</si>
  <si>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</si>
  <si>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</si>
  <si>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</si>
  <si>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</si>
  <si>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</si>
  <si>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</si>
  <si>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</si>
  <si>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</si>
  <si>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</si>
  <si>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</si>
  <si>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</si>
  <si>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</si>
  <si>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</si>
  <si>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</si>
  <si>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</si>
  <si>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</si>
  <si>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</si>
  <si>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</si>
  <si>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2026/01/20</t>
  </si>
  <si>
    <t>2026/02/02</t>
  </si>
  <si>
    <t>2025/12/07</t>
  </si>
  <si>
    <t>D260102R1</t>
  </si>
  <si>
    <t>D260103R1</t>
  </si>
  <si>
    <t>2026/03/05</t>
  </si>
  <si>
    <t>2026/03/18</t>
  </si>
  <si>
    <t>高級工程師</t>
  </si>
  <si>
    <t>70%：30%</t>
  </si>
  <si>
    <t>蘇哲弘</t>
  </si>
  <si>
    <t>2026/03/11</t>
  </si>
  <si>
    <t>2026/03/12</t>
  </si>
  <si>
    <t>電子半成品 EOM</t>
  </si>
  <si>
    <t>2026/03/13</t>
  </si>
  <si>
    <t>2026/03/16</t>
  </si>
  <si>
    <t xml:space="preserve">2026/02/12/軟/韌體設計/蕭金椿/30%_x000D_
2026/03/17/軟/韌體審查單/蕭金椿/0%_x000D_
</t>
  </si>
  <si>
    <t>2026/03/20</t>
  </si>
  <si>
    <t>2026/03/19</t>
  </si>
  <si>
    <t>2026/04/17</t>
  </si>
  <si>
    <t>2026/03/23</t>
  </si>
  <si>
    <t>2026/04/07</t>
  </si>
  <si>
    <t>K250501R2</t>
  </si>
  <si>
    <t xml:space="preserve">2026/03/17/機構半成品 EOM/葉宏政/0%_x000D_
2026/05/22/機構開模/葉宏政/0%_x000D_
</t>
  </si>
  <si>
    <t xml:space="preserve">一體型電磁流量計北美多重防爆認證_x000D_
</t>
  </si>
  <si>
    <t xml:space="preserve">  </t>
  </si>
  <si>
    <t xml:space="preserve">EPH水量計型式認證技術規範CNPA49第4版結構驗證與改善_x000D_
軌道型顯示器夾管式超音波流量計_x000D_
精巧型電磁流量計_x000D_
</t>
  </si>
  <si>
    <t>非生產性質的跨部門協助</t>
  </si>
  <si>
    <t>1.非專案類工時，比例超過預設值。</t>
  </si>
  <si>
    <t>D260401R1</t>
  </si>
  <si>
    <t>專案延遲246天</t>
  </si>
  <si>
    <t>專案延遲133天</t>
  </si>
  <si>
    <t>專案延遲129天</t>
  </si>
  <si>
    <t>專案延遲109天</t>
  </si>
  <si>
    <t>專案延遲60天</t>
  </si>
  <si>
    <t>D260402R1</t>
  </si>
  <si>
    <t>D260403R1</t>
  </si>
  <si>
    <t>D260501R1</t>
  </si>
  <si>
    <t>EPU2超音波流量計優化</t>
  </si>
  <si>
    <t>輔助生產(設備,檢工治模具)</t>
  </si>
  <si>
    <t>其他</t>
  </si>
  <si>
    <t>會議</t>
  </si>
  <si>
    <t>2026/05/21 13:57</t>
  </si>
  <si>
    <t>一體式夾管超音波流量計(DN25)[RD4]</t>
  </si>
  <si>
    <t>休假</t>
  </si>
  <si>
    <t>[測試]同任務掛2個以上的負責人</t>
  </si>
  <si>
    <t>DVT-QA產品驗證</t>
  </si>
  <si>
    <t>開案計劃</t>
  </si>
  <si>
    <t>硬體改善</t>
  </si>
  <si>
    <t>軟韌體改善</t>
  </si>
  <si>
    <t>機構改善</t>
  </si>
  <si>
    <t>製程改善</t>
  </si>
  <si>
    <t>工程試製階段</t>
  </si>
  <si>
    <t xml:space="preserve">2026/05/21/開案會議紀錄/黃胤綸/0%_x000D_
</t>
  </si>
  <si>
    <t xml:space="preserve">2026/05/21/硬體改善完成/黃胤綸/0%_x000D_
2026/05/21/電路板上R222的電阻與U31的IC損壞分析改善/陳俊儒/0%_x000D_
</t>
  </si>
  <si>
    <t xml:space="preserve">2026/05/21/韌體改善完成/黃胤綸/0%_x000D_
</t>
  </si>
  <si>
    <t xml:space="preserve">2026/05/21/結構改善完成/黃胤綸/0%_x000D_
</t>
  </si>
  <si>
    <t xml:space="preserve">2026/05/21/製程改善完成/黃胤綸/0%_x000D_
</t>
  </si>
  <si>
    <t>專案延遲324天</t>
  </si>
  <si>
    <t>專案延遲308天</t>
  </si>
  <si>
    <t>專案延遲282天</t>
  </si>
  <si>
    <t>專案延遲253天</t>
  </si>
  <si>
    <t>專案延遲241天</t>
  </si>
  <si>
    <t>專案延遲220天</t>
  </si>
  <si>
    <t>專案延遲140天</t>
  </si>
  <si>
    <t>專案延遲136天</t>
  </si>
  <si>
    <t>研發開案企劃書+預算書 (ISO表單：QR-C-07)</t>
  </si>
  <si>
    <t>專案延遲128天</t>
  </si>
  <si>
    <t>專案延遲119天</t>
  </si>
  <si>
    <t>專案延遲116天</t>
  </si>
  <si>
    <t>樣品系統驗證,測試及問題解決(軟體/硬體/機構整合)</t>
  </si>
  <si>
    <t>專案延遲78天</t>
  </si>
  <si>
    <t>專案延遲72天</t>
  </si>
  <si>
    <t>專案延遲70天</t>
  </si>
  <si>
    <t>專案延遲67天</t>
  </si>
  <si>
    <t>成品 EBOM(含零件庫存清單、採購建議書)</t>
  </si>
  <si>
    <t>開立內聯單請廠務進行PCBA打件 (基本：A:20套 / K:50套 / M:100套，需在專案會議再次確認)</t>
  </si>
  <si>
    <t>專案延遲64天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</si>
</sst>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8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5" fillId="0" borderId="0">
      <alignment vertical="center"/>
    </xf>
    <xf numFmtId="0" fontId="25" fillId="0" borderId="0"/>
    <xf numFmtId="0" fontId="21" fillId="0" borderId="2">
      <alignment horizontal="center" vertical="center"/>
    </xf>
  </cellStyleXfs>
  <cellXfs count="195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0" fontId="18" fillId="0" borderId="2" xfId="25" applyNumberFormat="1" applyFont="1" applyBorder="1">
      <alignment horizontal="center" vertical="center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5" fillId="0" borderId="0" xfId="55" applyFont="1">
      <alignment vertical="center"/>
    </xf>
    <xf numFmtId="0" fontId="25" fillId="0" borderId="0" xfId="56" applyFont="1"/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 wrapText="1"/>
    </xf>
    <xf numFmtId="49" fontId="21" fillId="0" borderId="2" xfId="57" applyNumberFormat="1" applyFont="1" applyBorder="1">
      <alignment horizontal="center" vertical="center"/>
    </xf>
    <xf numFmtId="176" fontId="22" fillId="0" borderId="2" xfId="52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9" fillId="15" borderId="2" xfId="26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22" fillId="0" borderId="2" xfId="35" applyNumberFormat="1" applyFont="1" applyBorder="1">
      <alignment horizontal="center" vertical="center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5" fillId="0" borderId="30" xfId="23" applyFont="1" applyBorder="1">
      <alignment horizontal="left" vertical="center"/>
    </xf>
    <xf numFmtId="0" fontId="19" fillId="5" borderId="4" xfId="49" applyFont="1" applyBorder="1">
      <alignment horizontal="center" vertical="center"/>
    </xf>
    <xf numFmtId="0" fontId="19" fillId="5" borderId="5" xfId="49" applyFont="1" applyBorder="1">
      <alignment horizontal="center" vertical="center"/>
    </xf>
    <xf numFmtId="0" fontId="19" fillId="5" borderId="3" xfId="49" applyFont="1" applyBorder="1">
      <alignment horizontal="center" vertical="center"/>
    </xf>
    <xf numFmtId="0" fontId="20" fillId="0" borderId="29" xfId="50" applyFont="1" applyBorder="1">
      <alignment horizontal="center" vertical="center"/>
    </xf>
    <xf numFmtId="49" fontId="20" fillId="0" borderId="29" xfId="50" applyNumberFormat="1" applyFont="1" applyBorder="1">
      <alignment horizontal="center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25" fillId="0" borderId="0" xfId="56" applyFont="1"/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20" fillId="0" borderId="29" xfId="7" applyFont="1" applyBorder="1" applyAlignment="1">
      <alignment horizontal="center" vertical="center" wrapText="1"/>
    </xf>
    <xf numFmtId="0" fontId="20" fillId="0" borderId="31" xfId="7" applyFont="1" applyBorder="1" applyAlignment="1">
      <alignment horizontal="center" vertical="center" wrapText="1"/>
    </xf>
    <xf numFmtId="0" fontId="20" fillId="0" borderId="31" xfId="50" applyFont="1" applyBorder="1">
      <alignment horizontal="center" vertical="center"/>
    </xf>
    <xf numFmtId="0" fontId="20" fillId="0" borderId="32" xfId="7" applyFont="1" applyBorder="1" applyAlignment="1">
      <alignment horizontal="center" vertical="center" wrapText="1"/>
    </xf>
    <xf numFmtId="0" fontId="20" fillId="0" borderId="32" xfId="50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30" fillId="0" borderId="0" xfId="0" applyFont="1" applyAlignment="1">
      <alignment horizontal="left" wrapText="1"/>
    </xf>
  </cellXfs>
  <cellStyles count="58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7" xr:uid="{6CDF7D6A-53F8-4069-A6AF-BC3B28B83001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15391_NoWrapText" xfId="56" xr:uid="{C97C6A86-625B-45FC-BDF6-2F51FE459744}"/>
    <cellStyle name="工時統計表_xl65391_NoWrapText" xfId="55" xr:uid="{74F73768-56AA-481B-B8B1-3549DE6FF4E9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5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46156</v>
          </cell>
          <cell r="C1">
            <v>46162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46137</v>
          </cell>
          <cell r="I4" t="str">
            <v/>
          </cell>
          <cell r="J4">
            <v>575</v>
          </cell>
          <cell r="K4">
            <v>124</v>
          </cell>
          <cell r="L4">
            <v>34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28.5</v>
          </cell>
          <cell r="L5">
            <v>16.5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417</v>
          </cell>
          <cell r="K6">
            <v>1597</v>
          </cell>
          <cell r="L6">
            <v>12</v>
          </cell>
          <cell r="M6" t="str">
            <v>專案即將異常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46111.666666666664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10">
          <cell r="A10" t="str">
            <v>技術中心</v>
          </cell>
        </row>
        <row r="11">
          <cell r="A11" t="str">
            <v>專案編號</v>
          </cell>
          <cell r="B11" t="str">
            <v>專案名稱</v>
          </cell>
          <cell r="D11" t="str">
            <v>專案負責人</v>
          </cell>
          <cell r="E11" t="str">
            <v>專案狀態</v>
          </cell>
          <cell r="F11" t="str">
            <v>預計起始日</v>
          </cell>
          <cell r="G11" t="str">
            <v>預計完成日</v>
          </cell>
          <cell r="H11" t="str">
            <v>實際開始日</v>
          </cell>
          <cell r="I11" t="str">
            <v>實際完成日</v>
          </cell>
          <cell r="J11" t="str">
            <v>預計設工時</v>
          </cell>
          <cell r="K11" t="str">
            <v>實際設計工時</v>
          </cell>
          <cell r="M11" t="str">
            <v>專案是否異常</v>
          </cell>
        </row>
        <row r="12">
          <cell r="A12" t="str">
            <v>D260102R1</v>
          </cell>
          <cell r="B12" t="str">
            <v>2026年程式碼審查1st</v>
          </cell>
          <cell r="C12" t="str">
            <v>技術中心</v>
          </cell>
          <cell r="D12" t="str">
            <v>蕭金椿</v>
          </cell>
          <cell r="E12" t="str">
            <v>Active</v>
          </cell>
          <cell r="F12">
            <v>46040.666666666664</v>
          </cell>
          <cell r="G12">
            <v>46140.666666666664</v>
          </cell>
          <cell r="H12">
            <v>46066</v>
          </cell>
          <cell r="I12" t="str">
            <v/>
          </cell>
          <cell r="J12">
            <v>530</v>
          </cell>
          <cell r="K12">
            <v>555</v>
          </cell>
          <cell r="M12" t="str">
            <v>專案延遲 23 天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專案即將異常</v>
          </cell>
        </row>
        <row r="15">
          <cell r="A15" t="str">
            <v>RD1</v>
          </cell>
        </row>
        <row r="16">
          <cell r="A16" t="str">
            <v>專案編號</v>
          </cell>
          <cell r="B16" t="str">
            <v>專案名稱</v>
          </cell>
          <cell r="D16" t="str">
            <v>專案負責人</v>
          </cell>
          <cell r="E16" t="str">
            <v>專案狀態</v>
          </cell>
          <cell r="F16" t="str">
            <v>預計起始日</v>
          </cell>
          <cell r="G16" t="str">
            <v>預計完成日</v>
          </cell>
          <cell r="H16" t="str">
            <v>實際開始日</v>
          </cell>
          <cell r="I16" t="str">
            <v>實際完成日</v>
          </cell>
          <cell r="J16" t="str">
            <v>預計設工時</v>
          </cell>
          <cell r="K16" t="str">
            <v>實際設計工時</v>
          </cell>
          <cell r="L16" t="str">
            <v>本週投入設工</v>
          </cell>
          <cell r="M16" t="str">
            <v>專案是否異常</v>
          </cell>
        </row>
        <row r="17">
          <cell r="A17" t="str">
            <v>D260403R1</v>
          </cell>
          <cell r="B17" t="str">
            <v>熱質流量開關優化</v>
          </cell>
          <cell r="C17" t="str">
            <v>研一部</v>
          </cell>
          <cell r="D17" t="str">
            <v>張良琪</v>
          </cell>
          <cell r="E17" t="str">
            <v>Active</v>
          </cell>
          <cell r="F17">
            <v>46138.666666666664</v>
          </cell>
          <cell r="G17">
            <v>46232.666666666664</v>
          </cell>
          <cell r="H17" t="str">
            <v/>
          </cell>
          <cell r="I17" t="str">
            <v/>
          </cell>
          <cell r="J17">
            <v>1094</v>
          </cell>
          <cell r="K17">
            <v>55.5</v>
          </cell>
          <cell r="L17">
            <v>16</v>
          </cell>
          <cell r="M17" t="str">
            <v/>
          </cell>
        </row>
        <row r="18">
          <cell r="A18" t="str">
            <v>K240801R2</v>
          </cell>
          <cell r="B18" t="str">
            <v>PCB濕製程用插入式壓力感測器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45641.666666666664</v>
          </cell>
          <cell r="G18">
            <v>45807.666666666664</v>
          </cell>
          <cell r="H18">
            <v>45524</v>
          </cell>
          <cell r="I18" t="str">
            <v/>
          </cell>
          <cell r="J18">
            <v>1146</v>
          </cell>
          <cell r="K18">
            <v>3311.2</v>
          </cell>
          <cell r="L18">
            <v>16.5</v>
          </cell>
          <cell r="M18" t="str">
            <v>專案延遲 356 天</v>
          </cell>
        </row>
        <row r="19">
          <cell r="A19" t="str">
            <v>D250802R1</v>
          </cell>
          <cell r="B19" t="str">
            <v>申請量桶量槽製作資格</v>
          </cell>
          <cell r="C19" t="str">
            <v>研一部</v>
          </cell>
          <cell r="D19" t="str">
            <v>何昆達</v>
          </cell>
          <cell r="E19" t="str">
            <v>Closed</v>
          </cell>
          <cell r="F19">
            <v>45886.666666666664</v>
          </cell>
          <cell r="G19">
            <v>46049.666666666664</v>
          </cell>
          <cell r="H19">
            <v>45887</v>
          </cell>
          <cell r="I19">
            <v>46052</v>
          </cell>
          <cell r="J19">
            <v>184</v>
          </cell>
          <cell r="K19">
            <v>215.7</v>
          </cell>
          <cell r="L19" t="str">
            <v>未投入</v>
          </cell>
          <cell r="M19" t="str">
            <v/>
          </cell>
        </row>
        <row r="21">
          <cell r="A21" t="str">
            <v>RD2</v>
          </cell>
        </row>
        <row r="22">
          <cell r="A22" t="str">
            <v>專案編號</v>
          </cell>
          <cell r="B22" t="str">
            <v>專案名稱</v>
          </cell>
          <cell r="D22" t="str">
            <v>專案負責人</v>
          </cell>
          <cell r="E22" t="str">
            <v>專案狀態</v>
          </cell>
          <cell r="F22" t="str">
            <v>預計起始日</v>
          </cell>
          <cell r="G22" t="str">
            <v>預計完成日</v>
          </cell>
          <cell r="H22" t="str">
            <v>實際開始日</v>
          </cell>
          <cell r="I22" t="str">
            <v>實際完成日</v>
          </cell>
          <cell r="J22" t="str">
            <v>預計設工時</v>
          </cell>
          <cell r="K22" t="str">
            <v>實際設計工時</v>
          </cell>
          <cell r="L22" t="str">
            <v>本週投入設工</v>
          </cell>
          <cell r="M22" t="str">
            <v>專案是否異常</v>
          </cell>
        </row>
        <row r="23">
          <cell r="A23" t="str">
            <v>D250101R1</v>
          </cell>
          <cell r="B23" t="str">
            <v>AI冷卻系統數位通訊溫度偵測器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45669.666666666664</v>
          </cell>
          <cell r="G23">
            <v>45776.666666666664</v>
          </cell>
          <cell r="H23">
            <v>45670</v>
          </cell>
          <cell r="I23" t="str">
            <v/>
          </cell>
          <cell r="J23">
            <v>795</v>
          </cell>
          <cell r="K23">
            <v>1485.5</v>
          </cell>
          <cell r="L23">
            <v>4</v>
          </cell>
          <cell r="M23" t="str">
            <v>專案延遲 387 天</v>
          </cell>
        </row>
        <row r="24">
          <cell r="A24" t="str">
            <v>M250201C1</v>
          </cell>
          <cell r="B24" t="str">
            <v>工業爆炸環境防爆型音叉感測器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45713.666666666664</v>
          </cell>
          <cell r="G24">
            <v>45922.666666666664</v>
          </cell>
          <cell r="H24">
            <v>45713</v>
          </cell>
          <cell r="I24" t="str">
            <v/>
          </cell>
          <cell r="J24">
            <v>709</v>
          </cell>
          <cell r="K24">
            <v>1169</v>
          </cell>
          <cell r="L24">
            <v>1</v>
          </cell>
          <cell r="M24" t="str">
            <v>專案延遲 241 天</v>
          </cell>
        </row>
        <row r="25">
          <cell r="A25" t="str">
            <v>M251001R1</v>
          </cell>
          <cell r="B25" t="str">
            <v>SDX緊湊型光電開關設計</v>
          </cell>
          <cell r="C25" t="str">
            <v>研二部</v>
          </cell>
          <cell r="D25" t="str">
            <v>彭志豪</v>
          </cell>
          <cell r="E25" t="str">
            <v>Active</v>
          </cell>
          <cell r="F25">
            <v>45966.666666666664</v>
          </cell>
          <cell r="G25">
            <v>46128.666666666664</v>
          </cell>
          <cell r="H25">
            <v>45950</v>
          </cell>
          <cell r="I25" t="str">
            <v/>
          </cell>
          <cell r="J25">
            <v>419</v>
          </cell>
          <cell r="K25">
            <v>1752.5</v>
          </cell>
          <cell r="L25">
            <v>74</v>
          </cell>
          <cell r="M25" t="str">
            <v>專案延遲 35 天</v>
          </cell>
        </row>
        <row r="26">
          <cell r="A26" t="str">
            <v>D250702R1</v>
          </cell>
          <cell r="B26" t="str">
            <v>2025年度-硬體模組化專案</v>
          </cell>
          <cell r="C26" t="str">
            <v>研二部</v>
          </cell>
          <cell r="D26" t="str">
            <v>黃胤綸</v>
          </cell>
          <cell r="E26" t="str">
            <v>Closed</v>
          </cell>
          <cell r="F26">
            <v>45657.666666666664</v>
          </cell>
          <cell r="G26">
            <v>46021.666666666664</v>
          </cell>
          <cell r="H26">
            <v>45847</v>
          </cell>
          <cell r="I26">
            <v>46076</v>
          </cell>
          <cell r="J26">
            <v>448</v>
          </cell>
          <cell r="K26">
            <v>589.6</v>
          </cell>
          <cell r="L26" t="str">
            <v>未投入</v>
          </cell>
          <cell r="M26" t="str">
            <v/>
          </cell>
        </row>
        <row r="28">
          <cell r="A28" t="str">
            <v>RD3</v>
          </cell>
        </row>
        <row r="29">
          <cell r="A29" t="str">
            <v>專案編號</v>
          </cell>
          <cell r="B29" t="str">
            <v>專案名稱</v>
          </cell>
          <cell r="D29" t="str">
            <v>專案負責人</v>
          </cell>
          <cell r="E29" t="str">
            <v>專案狀態</v>
          </cell>
          <cell r="F29" t="str">
            <v>預計起始日</v>
          </cell>
          <cell r="G29" t="str">
            <v>預計完成日</v>
          </cell>
          <cell r="H29" t="str">
            <v>實際開始日</v>
          </cell>
          <cell r="I29" t="str">
            <v>實際完成日</v>
          </cell>
          <cell r="J29" t="str">
            <v>預計設工時</v>
          </cell>
          <cell r="K29" t="str">
            <v>實際設計工時</v>
          </cell>
          <cell r="L29" t="str">
            <v>本週投入設工</v>
          </cell>
          <cell r="M29" t="str">
            <v>專案是否異常</v>
          </cell>
        </row>
        <row r="30">
          <cell r="A30" t="str">
            <v>D260501R1</v>
          </cell>
          <cell r="B30" t="str">
            <v>[測試]同任務掛2個以上的負責人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46148.666666666664</v>
          </cell>
          <cell r="G30">
            <v>46188.666666666664</v>
          </cell>
          <cell r="H30" t="str">
            <v/>
          </cell>
          <cell r="I30" t="str">
            <v/>
          </cell>
          <cell r="J30">
            <v>194</v>
          </cell>
          <cell r="K30">
            <v>0</v>
          </cell>
          <cell r="L30" t="str">
            <v>未投入</v>
          </cell>
          <cell r="M30" t="str">
            <v/>
          </cell>
        </row>
        <row r="31">
          <cell r="A31" t="str">
            <v>K251101R1</v>
          </cell>
          <cell r="B31" t="str">
            <v>精巧型電磁流量計</v>
          </cell>
          <cell r="C31" t="str">
            <v>研三部</v>
          </cell>
          <cell r="D31" t="str">
            <v>魏暉恩</v>
          </cell>
          <cell r="E31" t="str">
            <v>Active</v>
          </cell>
          <cell r="F31">
            <v>46022.666666666664</v>
          </cell>
          <cell r="G31">
            <v>46257.666666666664</v>
          </cell>
          <cell r="H31">
            <v>45943</v>
          </cell>
          <cell r="I31" t="str">
            <v/>
          </cell>
          <cell r="J31">
            <v>2113</v>
          </cell>
          <cell r="K31">
            <v>1338.5</v>
          </cell>
          <cell r="L31">
            <v>49.5</v>
          </cell>
          <cell r="M31" t="str">
            <v/>
          </cell>
        </row>
        <row r="32">
          <cell r="A32" t="str">
            <v>M250301R1</v>
          </cell>
          <cell r="B32" t="str">
            <v>軌道型顯示器夾管式超音波流量計</v>
          </cell>
          <cell r="C32" t="str">
            <v>研三部</v>
          </cell>
          <cell r="D32" t="str">
            <v>陳俊儒</v>
          </cell>
          <cell r="E32" t="str">
            <v>Active</v>
          </cell>
          <cell r="F32">
            <v>45747.666666666664</v>
          </cell>
          <cell r="G32">
            <v>46008.666666666664</v>
          </cell>
          <cell r="H32">
            <v>45748</v>
          </cell>
          <cell r="I32" t="str">
            <v/>
          </cell>
          <cell r="J32">
            <v>722</v>
          </cell>
          <cell r="K32">
            <v>1308.0999999999999</v>
          </cell>
          <cell r="L32" t="str">
            <v>未投入</v>
          </cell>
          <cell r="M32" t="str">
            <v>專案延遲 155 天</v>
          </cell>
        </row>
        <row r="33">
          <cell r="A33" t="str">
            <v>D250803R1</v>
          </cell>
          <cell r="B33" t="str">
            <v>台大超音波探頭貼合技術技轉案</v>
          </cell>
          <cell r="C33" t="str">
            <v>研三部</v>
          </cell>
          <cell r="D33" t="str">
            <v>陳俊儒</v>
          </cell>
          <cell r="E33" t="str">
            <v>Closed</v>
          </cell>
          <cell r="F33">
            <v>45900.666666666664</v>
          </cell>
          <cell r="G33">
            <v>45988.666666666664</v>
          </cell>
          <cell r="H33">
            <v>45939</v>
          </cell>
          <cell r="I33">
            <v>46030</v>
          </cell>
          <cell r="J33" t="str">
            <v>未登入</v>
          </cell>
          <cell r="K33">
            <v>253.5</v>
          </cell>
          <cell r="L33" t="str">
            <v>未投入</v>
          </cell>
          <cell r="M33" t="str">
            <v/>
          </cell>
        </row>
        <row r="34">
          <cell r="A34" t="str">
            <v>M240704R1</v>
          </cell>
          <cell r="B34" t="str">
            <v>一體式夾管超音波流量計(DN25)[RD4]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45536.666666666664</v>
          </cell>
          <cell r="G34">
            <v>45755.666666666664</v>
          </cell>
          <cell r="H34">
            <v>45537</v>
          </cell>
          <cell r="I34">
            <v>46078</v>
          </cell>
          <cell r="J34">
            <v>1896</v>
          </cell>
          <cell r="K34">
            <v>7748.1</v>
          </cell>
          <cell r="L34">
            <v>4</v>
          </cell>
          <cell r="M34" t="str">
            <v/>
          </cell>
        </row>
        <row r="36">
          <cell r="A36" t="str">
            <v>產品開發</v>
          </cell>
        </row>
        <row r="37">
          <cell r="A37" t="str">
            <v>專案編號</v>
          </cell>
          <cell r="B37" t="str">
            <v>專案名稱</v>
          </cell>
          <cell r="D37" t="str">
            <v>專案負責人</v>
          </cell>
          <cell r="E37" t="str">
            <v>專案狀態</v>
          </cell>
          <cell r="F37" t="str">
            <v>預計起始日</v>
          </cell>
          <cell r="G37" t="str">
            <v>預計完成日</v>
          </cell>
          <cell r="H37" t="str">
            <v>實際開始日</v>
          </cell>
          <cell r="I37" t="str">
            <v>實際完成日</v>
          </cell>
          <cell r="J37" t="str">
            <v>預計設工時</v>
          </cell>
          <cell r="K37" t="str">
            <v>實際設計工時</v>
          </cell>
          <cell r="L37" t="str">
            <v>本週投入設工</v>
          </cell>
          <cell r="M37" t="str">
            <v>專案是否異常</v>
          </cell>
        </row>
        <row r="38">
          <cell r="A38" t="str">
            <v>D240902R1</v>
          </cell>
          <cell r="B38" t="str">
            <v>EPH結構改善與提升生產良率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45557.666666666664</v>
          </cell>
          <cell r="G38">
            <v>45620.666666666664</v>
          </cell>
          <cell r="H38">
            <v>45558</v>
          </cell>
          <cell r="I38" t="str">
            <v/>
          </cell>
          <cell r="J38">
            <v>220</v>
          </cell>
          <cell r="K38">
            <v>1039</v>
          </cell>
          <cell r="L38" t="str">
            <v>未投入</v>
          </cell>
          <cell r="M38" t="str">
            <v>專案延遲 543 天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840</v>
          </cell>
          <cell r="K39">
            <v>1779.5</v>
          </cell>
          <cell r="L39">
            <v>44</v>
          </cell>
          <cell r="M39" t="str">
            <v/>
          </cell>
        </row>
        <row r="40">
          <cell r="A40" t="str">
            <v>K251001R1</v>
          </cell>
          <cell r="B40" t="str">
            <v>EPH水量計型式認證技術規範CNPA49第4版結構驗證與改善</v>
          </cell>
          <cell r="C40" t="str">
            <v>產品開發</v>
          </cell>
          <cell r="D40" t="str">
            <v>王瀚霆</v>
          </cell>
          <cell r="E40" t="str">
            <v>Active</v>
          </cell>
          <cell r="F40">
            <v>45985.666666666664</v>
          </cell>
          <cell r="G40">
            <v>46202.666666666664</v>
          </cell>
          <cell r="H40">
            <v>46036</v>
          </cell>
          <cell r="I40" t="str">
            <v/>
          </cell>
          <cell r="J40">
            <v>1011</v>
          </cell>
          <cell r="K40">
            <v>85</v>
          </cell>
          <cell r="L40">
            <v>15.5</v>
          </cell>
          <cell r="M40" t="str">
            <v>專案即將異常</v>
          </cell>
        </row>
        <row r="41">
          <cell r="A41" t="str">
            <v>M240804R1</v>
          </cell>
          <cell r="B41" t="str">
            <v>PVD二口二位閥展型(DN15、DN20)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45529.666666666664</v>
          </cell>
          <cell r="G41">
            <v>45896.666666666664</v>
          </cell>
          <cell r="H41">
            <v>45531</v>
          </cell>
          <cell r="I41" t="str">
            <v/>
          </cell>
          <cell r="J41">
            <v>532</v>
          </cell>
          <cell r="K41">
            <v>1351</v>
          </cell>
          <cell r="L41">
            <v>5</v>
          </cell>
          <cell r="M41" t="str">
            <v>專案延遲 267 天</v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16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87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128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57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G260401I1</v>
          </cell>
          <cell r="B58" t="str">
            <v>SE電源座保護殼+電源板壓合治具</v>
          </cell>
          <cell r="C58" t="str">
            <v>自動化</v>
          </cell>
          <cell r="D58" t="str">
            <v>羅友彥</v>
          </cell>
          <cell r="E58" t="str">
            <v>Active</v>
          </cell>
          <cell r="F58">
            <v>46140.666666666664</v>
          </cell>
          <cell r="G58">
            <v>46170.666666666664</v>
          </cell>
          <cell r="H58">
            <v>46140</v>
          </cell>
          <cell r="I58" t="str">
            <v/>
          </cell>
          <cell r="J58" t="str">
            <v>未登入</v>
          </cell>
          <cell r="K58">
            <v>17.5</v>
          </cell>
          <cell r="L58">
            <v>6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51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1326</v>
          </cell>
          <cell r="L60">
            <v>6</v>
          </cell>
          <cell r="M60" t="str">
            <v>專案延遲 77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140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50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46163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46163</v>
          </cell>
          <cell r="Q6">
            <v>605</v>
          </cell>
          <cell r="R6">
            <v>0.97</v>
          </cell>
          <cell r="S6" t="str">
            <v>專案延遲 543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25.5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46163</v>
          </cell>
          <cell r="Q7">
            <v>493</v>
          </cell>
          <cell r="R7">
            <v>0.96</v>
          </cell>
          <cell r="S7" t="str">
            <v>專案延遲 387 天</v>
          </cell>
          <cell r="U7">
            <v>695</v>
          </cell>
          <cell r="V7">
            <v>1485.5</v>
          </cell>
          <cell r="W7">
            <v>795</v>
          </cell>
          <cell r="X7">
            <v>1485.5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703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46163</v>
          </cell>
          <cell r="Q8">
            <v>290</v>
          </cell>
          <cell r="R8">
            <v>0.64</v>
          </cell>
          <cell r="S8" t="str">
            <v>專案延遲 16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46163</v>
          </cell>
          <cell r="Q9">
            <v>290</v>
          </cell>
          <cell r="R9">
            <v>0.87</v>
          </cell>
          <cell r="S9" t="str">
            <v>專案延遲 87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46163</v>
          </cell>
          <cell r="Q10">
            <v>293</v>
          </cell>
          <cell r="R10">
            <v>0.69</v>
          </cell>
          <cell r="S10" t="str">
            <v>專案延遲 128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46163</v>
          </cell>
          <cell r="Q11">
            <v>97</v>
          </cell>
          <cell r="R11">
            <v>0.59</v>
          </cell>
          <cell r="S11" t="str">
            <v>專案延遲 23 天</v>
          </cell>
          <cell r="U11">
            <v>530</v>
          </cell>
          <cell r="V11">
            <v>555</v>
          </cell>
          <cell r="W11">
            <v>530</v>
          </cell>
          <cell r="X11">
            <v>555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72</v>
          </cell>
          <cell r="AK11">
            <v>170</v>
          </cell>
          <cell r="AL11">
            <v>91</v>
          </cell>
          <cell r="AM11">
            <v>120</v>
          </cell>
          <cell r="AN11">
            <v>108</v>
          </cell>
          <cell r="AO11">
            <v>120</v>
          </cell>
          <cell r="AP11">
            <v>90</v>
          </cell>
          <cell r="AQ11">
            <v>120</v>
          </cell>
          <cell r="AR11">
            <v>194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46163</v>
          </cell>
          <cell r="Q12">
            <v>1183</v>
          </cell>
          <cell r="R12">
            <v>0.54</v>
          </cell>
          <cell r="S12" t="str">
            <v>專案即將異常</v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(D260401R1)  倉溫物料雙感測器+FineLink優化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121</v>
          </cell>
          <cell r="K13">
            <v>46203.416666666664</v>
          </cell>
          <cell r="L13">
            <v>46227.616666666661</v>
          </cell>
          <cell r="M13">
            <v>46137</v>
          </cell>
          <cell r="N13" t="str">
            <v/>
          </cell>
          <cell r="O13" t="str">
            <v/>
          </cell>
          <cell r="P13">
            <v>46163</v>
          </cell>
          <cell r="Q13">
            <v>26</v>
          </cell>
          <cell r="R13">
            <v>0.14000000000000001</v>
          </cell>
          <cell r="S13" t="str">
            <v/>
          </cell>
          <cell r="U13">
            <v>405</v>
          </cell>
          <cell r="V13">
            <v>124</v>
          </cell>
          <cell r="W13">
            <v>575</v>
          </cell>
          <cell r="X13">
            <v>124</v>
          </cell>
          <cell r="Y13">
            <v>30</v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285</v>
          </cell>
          <cell r="AF13">
            <v>114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90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>
            <v>10</v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>
            <v>120</v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>
            <v>50</v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D260402R1</v>
          </cell>
          <cell r="C14" t="str">
            <v>音叉式開關優化</v>
          </cell>
          <cell r="D14" t="str">
            <v>(D260402R1)  音叉式開關優化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152</v>
          </cell>
          <cell r="K14">
            <v>46226.666666666664</v>
          </cell>
          <cell r="L14">
            <v>46257.066666666666</v>
          </cell>
          <cell r="M14">
            <v>0</v>
          </cell>
          <cell r="N14" t="str">
            <v/>
          </cell>
          <cell r="O14" t="str">
            <v/>
          </cell>
          <cell r="P14">
            <v>46163</v>
          </cell>
          <cell r="Q14">
            <v>46163</v>
          </cell>
          <cell r="R14">
            <v>0</v>
          </cell>
          <cell r="S14" t="str">
            <v/>
          </cell>
          <cell r="U14">
            <v>245</v>
          </cell>
          <cell r="V14">
            <v>28.5</v>
          </cell>
          <cell r="W14">
            <v>245</v>
          </cell>
          <cell r="X14">
            <v>28.5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>
            <v>180</v>
          </cell>
          <cell r="AF14">
            <v>20</v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50</v>
          </cell>
          <cell r="AR14">
            <v>5</v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15</v>
          </cell>
          <cell r="BT14">
            <v>3.5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D260403R1</v>
          </cell>
          <cell r="C15" t="str">
            <v>熱質流量開關優化</v>
          </cell>
          <cell r="D15" t="str">
            <v>(D260403R1)  熱質流量開關優化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94</v>
          </cell>
          <cell r="K15">
            <v>46209.166666666664</v>
          </cell>
          <cell r="L15">
            <v>46227.966666666667</v>
          </cell>
          <cell r="M15">
            <v>0</v>
          </cell>
          <cell r="N15" t="str">
            <v/>
          </cell>
          <cell r="O15" t="str">
            <v/>
          </cell>
          <cell r="P15">
            <v>46163</v>
          </cell>
          <cell r="Q15">
            <v>46163</v>
          </cell>
          <cell r="R15">
            <v>0</v>
          </cell>
          <cell r="S15" t="str">
            <v/>
          </cell>
          <cell r="U15">
            <v>730</v>
          </cell>
          <cell r="V15">
            <v>55.5</v>
          </cell>
          <cell r="W15">
            <v>1094</v>
          </cell>
          <cell r="X15">
            <v>55.5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>
            <v>120</v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>
            <v>120</v>
          </cell>
          <cell r="AR15" t="str">
            <v/>
          </cell>
          <cell r="AS15">
            <v>66</v>
          </cell>
          <cell r="AT15">
            <v>37.5</v>
          </cell>
          <cell r="AU15" t="str">
            <v/>
          </cell>
          <cell r="AV15" t="str">
            <v/>
          </cell>
          <cell r="AW15">
            <v>256</v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>
            <v>168</v>
          </cell>
          <cell r="BT15">
            <v>18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120</v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D260501R1</v>
          </cell>
          <cell r="C16" t="str">
            <v>[測試]同任務掛2個以上的負責人</v>
          </cell>
          <cell r="D16" t="str">
            <v>(D260501R1)  [測試]同任務掛2個以上的負責人</v>
          </cell>
          <cell r="E16" t="str">
            <v>研三部</v>
          </cell>
          <cell r="F16" t="str">
            <v>陳俊儒</v>
          </cell>
          <cell r="G16" t="str">
            <v>Active</v>
          </cell>
          <cell r="H16">
            <v>46148.666666666664</v>
          </cell>
          <cell r="I16">
            <v>46188.666666666664</v>
          </cell>
          <cell r="J16">
            <v>40</v>
          </cell>
          <cell r="K16">
            <v>46178.666666666664</v>
          </cell>
          <cell r="L16">
            <v>46186.666666666664</v>
          </cell>
          <cell r="M16">
            <v>0</v>
          </cell>
          <cell r="N16" t="str">
            <v/>
          </cell>
          <cell r="O16" t="str">
            <v/>
          </cell>
          <cell r="P16">
            <v>46163</v>
          </cell>
          <cell r="Q16">
            <v>46163</v>
          </cell>
          <cell r="R16">
            <v>0.22</v>
          </cell>
          <cell r="S16" t="str">
            <v/>
          </cell>
          <cell r="U16">
            <v>110</v>
          </cell>
          <cell r="V16">
            <v>0</v>
          </cell>
          <cell r="W16">
            <v>194</v>
          </cell>
          <cell r="X16">
            <v>0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>
            <v>58</v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>
            <v>52</v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G260401I1</v>
          </cell>
          <cell r="C17" t="str">
            <v>SE電源座保護殼+電源板壓合治具</v>
          </cell>
          <cell r="D17" t="str">
            <v>(G260401I1)  SE電源座保護殼+電源板壓合治具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46140.666666666664</v>
          </cell>
          <cell r="I17">
            <v>46170.666666666664</v>
          </cell>
          <cell r="J17">
            <v>30</v>
          </cell>
          <cell r="K17">
            <v>46163.166666666664</v>
          </cell>
          <cell r="L17">
            <v>46169.166666666664</v>
          </cell>
          <cell r="M17">
            <v>46140</v>
          </cell>
          <cell r="N17" t="str">
            <v/>
          </cell>
          <cell r="O17" t="str">
            <v/>
          </cell>
          <cell r="P17">
            <v>46163</v>
          </cell>
          <cell r="Q17">
            <v>23</v>
          </cell>
          <cell r="R17">
            <v>0.93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17.5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17.5</v>
          </cell>
          <cell r="DS17" t="str">
            <v/>
          </cell>
          <cell r="DT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46163</v>
          </cell>
          <cell r="Q18">
            <v>504</v>
          </cell>
          <cell r="R18">
            <v>0.4</v>
          </cell>
          <cell r="S18" t="str">
            <v>專案延遲 51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>
            <v>38</v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400</v>
          </cell>
          <cell r="CP18" t="str">
            <v/>
          </cell>
          <cell r="CQ18" t="str">
            <v/>
          </cell>
          <cell r="CR18" t="str">
            <v/>
          </cell>
          <cell r="CS18">
            <v>200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46086.666666666664</v>
          </cell>
          <cell r="J19">
            <v>616</v>
          </cell>
          <cell r="K19">
            <v>45932.666666666664</v>
          </cell>
          <cell r="L19">
            <v>46055.866666666661</v>
          </cell>
          <cell r="M19">
            <v>45481</v>
          </cell>
          <cell r="N19" t="str">
            <v/>
          </cell>
          <cell r="O19" t="str">
            <v/>
          </cell>
          <cell r="P19">
            <v>46163</v>
          </cell>
          <cell r="Q19">
            <v>682</v>
          </cell>
          <cell r="R19">
            <v>0.8</v>
          </cell>
          <cell r="S19" t="str">
            <v>專案延遲 77 天</v>
          </cell>
          <cell r="U19">
            <v>108</v>
          </cell>
          <cell r="V19">
            <v>1326</v>
          </cell>
          <cell r="W19">
            <v>728</v>
          </cell>
          <cell r="X19">
            <v>1326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>
            <v>25</v>
          </cell>
          <cell r="AM19" t="str">
            <v/>
          </cell>
          <cell r="AN19" t="str">
            <v/>
          </cell>
          <cell r="AO19" t="str">
            <v/>
          </cell>
          <cell r="AP19">
            <v>8</v>
          </cell>
          <cell r="AQ19" t="str">
            <v/>
          </cell>
          <cell r="AR19" t="str">
            <v/>
          </cell>
          <cell r="AS19" t="str">
            <v/>
          </cell>
          <cell r="AT19">
            <v>1007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>
            <v>100</v>
          </cell>
          <cell r="CD19">
            <v>28</v>
          </cell>
          <cell r="CE19" t="str">
            <v/>
          </cell>
          <cell r="CF19" t="str">
            <v/>
          </cell>
          <cell r="CG19" t="str">
            <v/>
          </cell>
          <cell r="CH19">
            <v>59.5</v>
          </cell>
          <cell r="CI19" t="str">
            <v/>
          </cell>
          <cell r="CJ19" t="str">
            <v/>
          </cell>
          <cell r="CK19" t="str">
            <v/>
          </cell>
          <cell r="CL19">
            <v>198.5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>
            <v>300</v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20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443</v>
          </cell>
          <cell r="K20">
            <v>45912.916666666664</v>
          </cell>
          <cell r="L20">
            <v>46001.516666666663</v>
          </cell>
          <cell r="M20">
            <v>45597</v>
          </cell>
          <cell r="N20" t="str">
            <v/>
          </cell>
          <cell r="O20" t="str">
            <v/>
          </cell>
          <cell r="P20">
            <v>46163</v>
          </cell>
          <cell r="Q20">
            <v>566</v>
          </cell>
          <cell r="R20">
            <v>0.75</v>
          </cell>
          <cell r="S20" t="str">
            <v>專案延遲 140 天</v>
          </cell>
          <cell r="U20">
            <v>48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>
            <v>8</v>
          </cell>
          <cell r="BM20" t="str">
            <v/>
          </cell>
          <cell r="BN20">
            <v>16</v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>
            <v>40</v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>
            <v>30</v>
          </cell>
          <cell r="CP20" t="str">
            <v/>
          </cell>
          <cell r="CQ20" t="str">
            <v/>
          </cell>
          <cell r="CR20" t="str">
            <v/>
          </cell>
          <cell r="CS20">
            <v>150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(K240801C1)  TS認證查核點-設備監控保護裝置(防爆燈拉繩開關125VDC)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585</v>
          </cell>
          <cell r="K21">
            <v>45965.416666666664</v>
          </cell>
          <cell r="L21">
            <v>46082.416666666664</v>
          </cell>
          <cell r="M21">
            <v>45533</v>
          </cell>
          <cell r="N21" t="str">
            <v/>
          </cell>
          <cell r="O21" t="str">
            <v/>
          </cell>
          <cell r="P21">
            <v>46163</v>
          </cell>
          <cell r="Q21">
            <v>630</v>
          </cell>
          <cell r="R21">
            <v>1</v>
          </cell>
          <cell r="S21" t="str">
            <v/>
          </cell>
          <cell r="U21" t="str">
            <v>未登入</v>
          </cell>
          <cell r="V21">
            <v>0</v>
          </cell>
          <cell r="W21">
            <v>37</v>
          </cell>
          <cell r="X21">
            <v>0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31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46163</v>
          </cell>
          <cell r="Q22">
            <v>639</v>
          </cell>
          <cell r="R22">
            <v>0.95</v>
          </cell>
          <cell r="S22" t="str">
            <v>專案延遲 356 天</v>
          </cell>
          <cell r="U22">
            <v>846</v>
          </cell>
          <cell r="V22">
            <v>3311.2</v>
          </cell>
          <cell r="W22">
            <v>1146</v>
          </cell>
          <cell r="X22">
            <v>3311.2</v>
          </cell>
          <cell r="Y22">
            <v>20</v>
          </cell>
          <cell r="Z22">
            <v>71.3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316</v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216</v>
          </cell>
          <cell r="AT22">
            <v>348.4</v>
          </cell>
          <cell r="AU22" t="str">
            <v/>
          </cell>
          <cell r="AV22">
            <v>103.5</v>
          </cell>
          <cell r="AW22">
            <v>440</v>
          </cell>
          <cell r="AX22">
            <v>613.5</v>
          </cell>
          <cell r="AY22" t="str">
            <v/>
          </cell>
          <cell r="AZ22">
            <v>104</v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30.5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>
            <v>160</v>
          </cell>
          <cell r="CD22">
            <v>96</v>
          </cell>
          <cell r="CE22" t="str">
            <v/>
          </cell>
          <cell r="CF22">
            <v>1077.5</v>
          </cell>
          <cell r="CG22">
            <v>10</v>
          </cell>
          <cell r="CH22">
            <v>491.5</v>
          </cell>
          <cell r="CI22" t="str">
            <v/>
          </cell>
          <cell r="CJ22" t="str">
            <v/>
          </cell>
          <cell r="CK22" t="str">
            <v/>
          </cell>
          <cell r="CL22">
            <v>21</v>
          </cell>
          <cell r="CM22" t="str">
            <v/>
          </cell>
          <cell r="CN22">
            <v>38</v>
          </cell>
          <cell r="CO22">
            <v>20</v>
          </cell>
          <cell r="CP22" t="str">
            <v/>
          </cell>
          <cell r="CQ22" t="str">
            <v/>
          </cell>
          <cell r="CR22" t="str">
            <v/>
          </cell>
          <cell r="CS22">
            <v>160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>
            <v>60</v>
          </cell>
          <cell r="CZ22" t="str">
            <v/>
          </cell>
          <cell r="DA22">
            <v>60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46163</v>
          </cell>
          <cell r="Q23">
            <v>150</v>
          </cell>
          <cell r="R23">
            <v>0.16</v>
          </cell>
          <cell r="S23" t="str">
            <v/>
          </cell>
          <cell r="U23">
            <v>461</v>
          </cell>
          <cell r="V23">
            <v>1765</v>
          </cell>
          <cell r="W23">
            <v>840</v>
          </cell>
          <cell r="X23">
            <v>1779.5</v>
          </cell>
          <cell r="Y23">
            <v>14</v>
          </cell>
          <cell r="Z23">
            <v>110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>
            <v>8</v>
          </cell>
          <cell r="AK23" t="str">
            <v/>
          </cell>
          <cell r="AL23" t="str">
            <v/>
          </cell>
          <cell r="AM23" t="str">
            <v/>
          </cell>
          <cell r="AN23">
            <v>472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>
            <v>38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8</v>
          </cell>
          <cell r="BC23" t="str">
            <v/>
          </cell>
          <cell r="BD23">
            <v>279.5</v>
          </cell>
          <cell r="BE23">
            <v>96</v>
          </cell>
          <cell r="BF23">
            <v>255.5</v>
          </cell>
          <cell r="BG23" t="str">
            <v/>
          </cell>
          <cell r="BH23">
            <v>232.5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>
            <v>351</v>
          </cell>
          <cell r="BT23">
            <v>359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>
            <v>2.5</v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>
            <v>124</v>
          </cell>
          <cell r="CV23" t="str">
            <v/>
          </cell>
          <cell r="CW23" t="str">
            <v/>
          </cell>
          <cell r="CX23" t="str">
            <v/>
          </cell>
          <cell r="CY23">
            <v>40</v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5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46163</v>
          </cell>
          <cell r="Q24">
            <v>127</v>
          </cell>
          <cell r="R24">
            <v>0.01</v>
          </cell>
          <cell r="S24" t="str">
            <v>專案即將異常</v>
          </cell>
          <cell r="U24">
            <v>558</v>
          </cell>
          <cell r="V24">
            <v>85</v>
          </cell>
          <cell r="W24">
            <v>1011</v>
          </cell>
          <cell r="X24">
            <v>85</v>
          </cell>
          <cell r="Y24">
            <v>4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>
            <v>46</v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>
            <v>2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6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>
            <v>56</v>
          </cell>
          <cell r="CH24" t="str">
            <v/>
          </cell>
          <cell r="CI24" t="str">
            <v/>
          </cell>
          <cell r="CJ24" t="str">
            <v/>
          </cell>
          <cell r="CK24">
            <v>122</v>
          </cell>
          <cell r="CL24">
            <v>27</v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>
            <v>124</v>
          </cell>
          <cell r="CV24" t="str">
            <v/>
          </cell>
          <cell r="CW24" t="str">
            <v/>
          </cell>
          <cell r="CX24" t="str">
            <v/>
          </cell>
          <cell r="CY24">
            <v>40</v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46163</v>
          </cell>
          <cell r="Q25">
            <v>220</v>
          </cell>
          <cell r="R25">
            <v>0.14000000000000001</v>
          </cell>
          <cell r="S25" t="str">
            <v/>
          </cell>
          <cell r="U25">
            <v>1361</v>
          </cell>
          <cell r="V25">
            <v>1338.5</v>
          </cell>
          <cell r="W25">
            <v>2113</v>
          </cell>
          <cell r="X25">
            <v>1338.5</v>
          </cell>
          <cell r="Y25">
            <v>40</v>
          </cell>
          <cell r="Z25">
            <v>106.5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>
            <v>191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>
            <v>2</v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>
            <v>1281</v>
          </cell>
          <cell r="BL25">
            <v>562</v>
          </cell>
          <cell r="BM25" t="str">
            <v/>
          </cell>
          <cell r="BN25">
            <v>28</v>
          </cell>
          <cell r="BO25" t="str">
            <v/>
          </cell>
          <cell r="BP25">
            <v>64</v>
          </cell>
          <cell r="BQ25">
            <v>40</v>
          </cell>
          <cell r="BR25">
            <v>276</v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106</v>
          </cell>
          <cell r="CK25" t="str">
            <v/>
          </cell>
          <cell r="CL25">
            <v>3</v>
          </cell>
          <cell r="CM25" t="str">
            <v/>
          </cell>
          <cell r="CN25" t="str">
            <v/>
          </cell>
          <cell r="CO25">
            <v>368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>
            <v>192</v>
          </cell>
          <cell r="CZ25" t="str">
            <v/>
          </cell>
          <cell r="DA25" t="str">
            <v/>
          </cell>
          <cell r="DB25" t="str">
            <v/>
          </cell>
          <cell r="DC25">
            <v>8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>
            <v>184</v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46163</v>
          </cell>
          <cell r="Q26">
            <v>566</v>
          </cell>
          <cell r="R26">
            <v>0.52</v>
          </cell>
          <cell r="S26" t="str">
            <v>專案延遲 50 天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>
            <v>30</v>
          </cell>
          <cell r="BB26">
            <v>26</v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>
            <v>53</v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>
            <v>3</v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7</v>
          </cell>
          <cell r="CI26" t="str">
            <v/>
          </cell>
          <cell r="CJ26" t="str">
            <v/>
          </cell>
          <cell r="CK26" t="str">
            <v/>
          </cell>
          <cell r="CL26">
            <v>18.5</v>
          </cell>
          <cell r="CM26" t="str">
            <v/>
          </cell>
          <cell r="CN26" t="str">
            <v/>
          </cell>
          <cell r="CO26">
            <v>400</v>
          </cell>
          <cell r="CP26" t="str">
            <v/>
          </cell>
          <cell r="CQ26" t="str">
            <v/>
          </cell>
          <cell r="CR26" t="str">
            <v/>
          </cell>
          <cell r="CS26">
            <v>200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>
            <v>50</v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(M240703P1)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46216.666666666664</v>
          </cell>
          <cell r="J27">
            <v>139</v>
          </cell>
          <cell r="K27">
            <v>46181.916666666664</v>
          </cell>
          <cell r="L27">
            <v>46209.716666666667</v>
          </cell>
          <cell r="M27">
            <v>46083</v>
          </cell>
          <cell r="N27" t="str">
            <v/>
          </cell>
          <cell r="O27" t="str">
            <v/>
          </cell>
          <cell r="P27">
            <v>46163</v>
          </cell>
          <cell r="Q27">
            <v>80</v>
          </cell>
          <cell r="R27">
            <v>0.4</v>
          </cell>
          <cell r="S27" t="str">
            <v/>
          </cell>
          <cell r="U27">
            <v>35</v>
          </cell>
          <cell r="V27">
            <v>0</v>
          </cell>
          <cell r="W27">
            <v>693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>
            <v>35</v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>
            <v>220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46163</v>
          </cell>
          <cell r="Q28">
            <v>202</v>
          </cell>
          <cell r="R28">
            <v>0.56000000000000005</v>
          </cell>
          <cell r="S28" t="str">
            <v>專案延遲 57 天</v>
          </cell>
          <cell r="U28">
            <v>10</v>
          </cell>
          <cell r="V28">
            <v>0</v>
          </cell>
          <cell r="W28">
            <v>648</v>
          </cell>
          <cell r="X28">
            <v>0</v>
          </cell>
          <cell r="Y28">
            <v>10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>
            <v>638</v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46163</v>
          </cell>
          <cell r="Q29">
            <v>632</v>
          </cell>
          <cell r="R29">
            <v>0.87</v>
          </cell>
          <cell r="S29" t="str">
            <v>專案延遲 267 天</v>
          </cell>
          <cell r="U29">
            <v>510</v>
          </cell>
          <cell r="V29">
            <v>1351</v>
          </cell>
          <cell r="W29">
            <v>532</v>
          </cell>
          <cell r="X29">
            <v>1351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1</v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>
            <v>506</v>
          </cell>
          <cell r="BR29">
            <v>1102</v>
          </cell>
          <cell r="BS29" t="str">
            <v/>
          </cell>
          <cell r="BT29">
            <v>7</v>
          </cell>
          <cell r="BU29" t="str">
            <v/>
          </cell>
          <cell r="BV29" t="str">
            <v/>
          </cell>
          <cell r="BW29" t="str">
            <v/>
          </cell>
          <cell r="BX29">
            <v>141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94</v>
          </cell>
          <cell r="CI29" t="str">
            <v/>
          </cell>
          <cell r="CJ29" t="str">
            <v/>
          </cell>
          <cell r="CK29" t="str">
            <v/>
          </cell>
          <cell r="CL29">
            <v>6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>
            <v>10</v>
          </cell>
          <cell r="CV29" t="str">
            <v/>
          </cell>
          <cell r="CW29" t="str">
            <v/>
          </cell>
          <cell r="CX29" t="str">
            <v/>
          </cell>
          <cell r="CY29">
            <v>8</v>
          </cell>
          <cell r="CZ29" t="str">
            <v/>
          </cell>
          <cell r="DA29" t="str">
            <v/>
          </cell>
          <cell r="DB29" t="str">
            <v/>
          </cell>
          <cell r="DC29">
            <v>4</v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46163</v>
          </cell>
          <cell r="Q30">
            <v>450</v>
          </cell>
          <cell r="R30">
            <v>0.36</v>
          </cell>
          <cell r="S30" t="str">
            <v>專案延遲 241 天</v>
          </cell>
          <cell r="U30">
            <v>649</v>
          </cell>
          <cell r="V30">
            <v>1169</v>
          </cell>
          <cell r="W30">
            <v>709</v>
          </cell>
          <cell r="X30">
            <v>1169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>
            <v>328</v>
          </cell>
          <cell r="BB30">
            <v>312.5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>
            <v>165</v>
          </cell>
          <cell r="BH30">
            <v>199.5</v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40</v>
          </cell>
          <cell r="BT30">
            <v>603.5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44</v>
          </cell>
          <cell r="CM30" t="str">
            <v/>
          </cell>
          <cell r="CN30" t="str">
            <v/>
          </cell>
          <cell r="CO30">
            <v>60</v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46163</v>
          </cell>
          <cell r="Q31">
            <v>436</v>
          </cell>
          <cell r="R31">
            <v>0.63</v>
          </cell>
          <cell r="S31" t="str">
            <v>專案即將異常</v>
          </cell>
          <cell r="U31">
            <v>337</v>
          </cell>
          <cell r="V31">
            <v>1597</v>
          </cell>
          <cell r="W31">
            <v>417</v>
          </cell>
          <cell r="X31">
            <v>1597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189</v>
          </cell>
          <cell r="AH31">
            <v>566.5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>
            <v>16</v>
          </cell>
          <cell r="BJ31">
            <v>191</v>
          </cell>
          <cell r="BK31" t="str">
            <v/>
          </cell>
          <cell r="BL31">
            <v>7.5</v>
          </cell>
          <cell r="BM31" t="str">
            <v/>
          </cell>
          <cell r="BN31" t="str">
            <v/>
          </cell>
          <cell r="BO31">
            <v>124</v>
          </cell>
          <cell r="BP31">
            <v>210</v>
          </cell>
          <cell r="BQ31">
            <v>8</v>
          </cell>
          <cell r="BR31">
            <v>500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9</v>
          </cell>
          <cell r="CI31" t="str">
            <v/>
          </cell>
          <cell r="CJ31" t="str">
            <v/>
          </cell>
          <cell r="CK31" t="str">
            <v/>
          </cell>
          <cell r="CL31">
            <v>6.5</v>
          </cell>
          <cell r="CM31" t="str">
            <v/>
          </cell>
          <cell r="CN31" t="str">
            <v/>
          </cell>
          <cell r="CO31">
            <v>80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46163</v>
          </cell>
          <cell r="Q32">
            <v>415</v>
          </cell>
          <cell r="R32">
            <v>0.56000000000000005</v>
          </cell>
          <cell r="S32" t="str">
            <v>專案延遲 155 天</v>
          </cell>
          <cell r="U32">
            <v>534</v>
          </cell>
          <cell r="V32">
            <v>1308.0999999999999</v>
          </cell>
          <cell r="W32">
            <v>722</v>
          </cell>
          <cell r="X32">
            <v>1308.0999999999999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>
            <v>2</v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>
            <v>304</v>
          </cell>
          <cell r="BJ32">
            <v>33.5</v>
          </cell>
          <cell r="BK32">
            <v>222</v>
          </cell>
          <cell r="BL32">
            <v>5</v>
          </cell>
          <cell r="BM32" t="str">
            <v/>
          </cell>
          <cell r="BN32" t="str">
            <v/>
          </cell>
          <cell r="BO32" t="str">
            <v/>
          </cell>
          <cell r="BP32">
            <v>470</v>
          </cell>
          <cell r="BQ32" t="str">
            <v/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>
            <v>8</v>
          </cell>
          <cell r="BZ32">
            <v>380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>
            <v>2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>
            <v>152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>
            <v>16</v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>
            <v>4</v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M251001R1</v>
          </cell>
          <cell r="C33" t="str">
            <v>SDX緊湊型光電開關設計</v>
          </cell>
          <cell r="D33" t="str">
            <v>(M251001R1)  SDX緊湊型光電開關設計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46163</v>
          </cell>
          <cell r="Q33">
            <v>213</v>
          </cell>
          <cell r="R33">
            <v>0.65</v>
          </cell>
          <cell r="S33" t="str">
            <v>專案延遲 35 天</v>
          </cell>
          <cell r="U33">
            <v>319</v>
          </cell>
          <cell r="V33">
            <v>1752.5</v>
          </cell>
          <cell r="W33">
            <v>419</v>
          </cell>
          <cell r="X33">
            <v>1752.5</v>
          </cell>
          <cell r="Y33">
            <v>2</v>
          </cell>
          <cell r="Z33">
            <v>89.5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182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>
            <v>20</v>
          </cell>
          <cell r="BC33">
            <v>108</v>
          </cell>
          <cell r="BD33">
            <v>235.5</v>
          </cell>
          <cell r="BE33">
            <v>125</v>
          </cell>
          <cell r="BF33">
            <v>734</v>
          </cell>
          <cell r="BG33" t="str">
            <v/>
          </cell>
          <cell r="BH33">
            <v>129.5</v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8.5</v>
          </cell>
          <cell r="BS33" t="str">
            <v/>
          </cell>
          <cell r="BT33">
            <v>138.5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>
            <v>120</v>
          </cell>
          <cell r="CI33" t="str">
            <v/>
          </cell>
          <cell r="CJ33">
            <v>33.5</v>
          </cell>
          <cell r="CK33">
            <v>24</v>
          </cell>
          <cell r="CL33">
            <v>61.5</v>
          </cell>
          <cell r="CM33" t="str">
            <v/>
          </cell>
          <cell r="CN33" t="str">
            <v/>
          </cell>
          <cell r="CO33">
            <v>60</v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>
            <v>40</v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 t="str">
            <v/>
          </cell>
          <cell r="AZ34" t="str">
            <v/>
          </cell>
          <cell r="BA34" t="str">
            <v/>
          </cell>
          <cell r="BB34">
            <v>34</v>
          </cell>
          <cell r="BC34">
            <v>40</v>
          </cell>
          <cell r="BD34">
            <v>9.5</v>
          </cell>
          <cell r="BE34">
            <v>40</v>
          </cell>
          <cell r="BF34">
            <v>43.5</v>
          </cell>
          <cell r="BG34">
            <v>40</v>
          </cell>
          <cell r="BH34">
            <v>74</v>
          </cell>
          <cell r="BI34" t="str">
            <v/>
          </cell>
          <cell r="BJ34" t="str">
            <v/>
          </cell>
          <cell r="BK34">
            <v>40</v>
          </cell>
          <cell r="BL34">
            <v>57.5</v>
          </cell>
          <cell r="BM34">
            <v>40</v>
          </cell>
          <cell r="BN34">
            <v>16</v>
          </cell>
          <cell r="BO34">
            <v>24</v>
          </cell>
          <cell r="BP34">
            <v>48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>
            <v>40</v>
          </cell>
          <cell r="CD34">
            <v>34</v>
          </cell>
          <cell r="CE34" t="str">
            <v/>
          </cell>
          <cell r="CF34">
            <v>5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40</v>
          </cell>
          <cell r="CN34">
            <v>33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(D250802R1)  申請量桶量槽製作資格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163</v>
          </cell>
          <cell r="M36">
            <v>45887</v>
          </cell>
          <cell r="N36">
            <v>46052</v>
          </cell>
          <cell r="O36">
            <v>165</v>
          </cell>
          <cell r="P36">
            <v>46052</v>
          </cell>
          <cell r="Q36">
            <v>165</v>
          </cell>
          <cell r="R36">
            <v>1</v>
          </cell>
          <cell r="S36" t="str">
            <v/>
          </cell>
          <cell r="U36">
            <v>184</v>
          </cell>
          <cell r="V36">
            <v>215.7</v>
          </cell>
          <cell r="W36">
            <v>184</v>
          </cell>
          <cell r="X36">
            <v>215.7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>
            <v>23.700000000000003</v>
          </cell>
          <cell r="AU36">
            <v>184</v>
          </cell>
          <cell r="AV36">
            <v>192</v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46</v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>
            <v>16</v>
          </cell>
          <cell r="BO37" t="str">
            <v/>
          </cell>
          <cell r="BP37">
            <v>159.5</v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</row>
        <row r="41">
          <cell r="B41" t="str">
            <v>K250501R1</v>
          </cell>
          <cell r="C41" t="str">
            <v>C級奧多曼電子水表先期研究</v>
          </cell>
          <cell r="D41" t="str">
            <v>(K250501R1)  C級奧多曼電子水表先期研究</v>
          </cell>
          <cell r="E41" t="str">
            <v>產品開發</v>
          </cell>
          <cell r="F41" t="str">
            <v>鄭貫中</v>
          </cell>
          <cell r="G41" t="str">
            <v>Closed</v>
          </cell>
          <cell r="H41">
            <v>45816.666666666664</v>
          </cell>
          <cell r="I41">
            <v>45883.666666666664</v>
          </cell>
          <cell r="J41">
            <v>67</v>
          </cell>
          <cell r="M41">
            <v>45811</v>
          </cell>
          <cell r="N41">
            <v>46063</v>
          </cell>
          <cell r="O41">
            <v>252</v>
          </cell>
          <cell r="P41">
            <v>46063</v>
          </cell>
          <cell r="Q41">
            <v>252</v>
          </cell>
          <cell r="R41">
            <v>1</v>
          </cell>
          <cell r="S41" t="str">
            <v/>
          </cell>
          <cell r="U41">
            <v>462</v>
          </cell>
          <cell r="V41">
            <v>855</v>
          </cell>
          <cell r="W41">
            <v>462</v>
          </cell>
          <cell r="X41">
            <v>855</v>
          </cell>
          <cell r="Y41" t="str">
            <v/>
          </cell>
          <cell r="Z41">
            <v>2</v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>
            <v>1</v>
          </cell>
          <cell r="BC41" t="str">
            <v/>
          </cell>
          <cell r="BD41">
            <v>111</v>
          </cell>
          <cell r="BE41">
            <v>70</v>
          </cell>
          <cell r="BF41">
            <v>166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>
            <v>37</v>
          </cell>
          <cell r="BS41">
            <v>328</v>
          </cell>
          <cell r="BT41">
            <v>393</v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>
            <v>55.5</v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>
            <v>64</v>
          </cell>
          <cell r="CH41">
            <v>52.5</v>
          </cell>
          <cell r="CI41" t="str">
            <v/>
          </cell>
          <cell r="CJ41">
            <v>34</v>
          </cell>
          <cell r="CK41" t="str">
            <v/>
          </cell>
          <cell r="CL41">
            <v>3</v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B42" t="str">
            <v>M240704R1</v>
          </cell>
          <cell r="C42" t="str">
            <v>一體式夾管超音波流量計(DN25)[RD4]</v>
          </cell>
          <cell r="D42" t="str">
            <v>(M240704R1)  一體式夾管超音波流量計(DN25)[RD4]</v>
          </cell>
          <cell r="E42" t="str">
            <v>研三部</v>
          </cell>
          <cell r="F42" t="str">
            <v>陳俊儒</v>
          </cell>
          <cell r="G42" t="str">
            <v>Closed</v>
          </cell>
          <cell r="H42">
            <v>45536.666666666664</v>
          </cell>
          <cell r="I42">
            <v>45755.666666666664</v>
          </cell>
          <cell r="J42">
            <v>219</v>
          </cell>
          <cell r="M42">
            <v>45537</v>
          </cell>
          <cell r="N42">
            <v>46078</v>
          </cell>
          <cell r="O42">
            <v>541</v>
          </cell>
          <cell r="P42">
            <v>46078</v>
          </cell>
          <cell r="Q42">
            <v>541</v>
          </cell>
          <cell r="R42">
            <v>1</v>
          </cell>
          <cell r="S42" t="str">
            <v/>
          </cell>
          <cell r="U42">
            <v>1792</v>
          </cell>
          <cell r="V42">
            <v>7748.1</v>
          </cell>
          <cell r="W42">
            <v>1896</v>
          </cell>
          <cell r="X42">
            <v>7748.1</v>
          </cell>
          <cell r="Y42">
            <v>80</v>
          </cell>
          <cell r="Z42">
            <v>126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>
            <v>12</v>
          </cell>
          <cell r="AF42" t="str">
            <v/>
          </cell>
          <cell r="AG42" t="str">
            <v/>
          </cell>
          <cell r="AH42">
            <v>272.5</v>
          </cell>
          <cell r="AI42" t="str">
            <v/>
          </cell>
          <cell r="AJ42" t="str">
            <v/>
          </cell>
          <cell r="AK42" t="str">
            <v/>
          </cell>
          <cell r="AL42">
            <v>85</v>
          </cell>
          <cell r="AM42">
            <v>320</v>
          </cell>
          <cell r="AN42">
            <v>920</v>
          </cell>
          <cell r="AO42">
            <v>360</v>
          </cell>
          <cell r="AP42">
            <v>1808</v>
          </cell>
          <cell r="AQ42">
            <v>40</v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8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>
            <v>8</v>
          </cell>
          <cell r="BJ42">
            <v>460.6</v>
          </cell>
          <cell r="BK42">
            <v>284</v>
          </cell>
          <cell r="BL42">
            <v>728</v>
          </cell>
          <cell r="BM42">
            <v>480</v>
          </cell>
          <cell r="BN42">
            <v>2742</v>
          </cell>
          <cell r="BO42" t="str">
            <v/>
          </cell>
          <cell r="BP42">
            <v>98.5</v>
          </cell>
          <cell r="BQ42" t="str">
            <v/>
          </cell>
          <cell r="BR42">
            <v>7.5</v>
          </cell>
          <cell r="BS42" t="str">
            <v/>
          </cell>
          <cell r="BT42">
            <v>75.5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>
            <v>9</v>
          </cell>
          <cell r="CI42" t="str">
            <v/>
          </cell>
          <cell r="CJ42" t="str">
            <v/>
          </cell>
          <cell r="CK42">
            <v>208</v>
          </cell>
          <cell r="CL42">
            <v>406.5</v>
          </cell>
          <cell r="CM42" t="str">
            <v/>
          </cell>
          <cell r="CN42" t="str">
            <v/>
          </cell>
          <cell r="CO42">
            <v>16</v>
          </cell>
          <cell r="CP42" t="str">
            <v/>
          </cell>
          <cell r="CQ42">
            <v>80</v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>
            <v>8</v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B43" t="str">
            <v>M251201C1</v>
          </cell>
          <cell r="C43" t="str">
            <v>GPX 申請UL-61010認證</v>
          </cell>
          <cell r="D43" t="str">
            <v>(M251201C1)  GPX 申請UL-61010認證</v>
          </cell>
          <cell r="E43" t="str">
            <v>研發一處</v>
          </cell>
          <cell r="F43" t="str">
            <v>賴慶樺</v>
          </cell>
          <cell r="G43" t="str">
            <v>Closed</v>
          </cell>
          <cell r="H43">
            <v>46019.666666666664</v>
          </cell>
          <cell r="I43">
            <v>46111.666666666664</v>
          </cell>
          <cell r="J43">
            <v>92</v>
          </cell>
          <cell r="M43">
            <v>46024</v>
          </cell>
          <cell r="N43">
            <v>46112</v>
          </cell>
          <cell r="O43">
            <v>88</v>
          </cell>
          <cell r="P43">
            <v>46112</v>
          </cell>
          <cell r="Q43">
            <v>88</v>
          </cell>
          <cell r="R43">
            <v>1</v>
          </cell>
          <cell r="S43" t="str">
            <v/>
          </cell>
          <cell r="U43">
            <v>306</v>
          </cell>
          <cell r="V43">
            <v>264</v>
          </cell>
          <cell r="W43">
            <v>306</v>
          </cell>
          <cell r="X43">
            <v>264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306</v>
          </cell>
          <cell r="AF43">
            <v>264</v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46163</v>
          </cell>
          <cell r="Q44">
            <v>46163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46163</v>
          </cell>
          <cell r="Q45">
            <v>46163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46163</v>
          </cell>
          <cell r="Q46">
            <v>46163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46163</v>
          </cell>
          <cell r="Q47">
            <v>46163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46163</v>
          </cell>
          <cell r="Q48">
            <v>46163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46163</v>
          </cell>
          <cell r="Q49">
            <v>46163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46163</v>
          </cell>
          <cell r="Q50">
            <v>46163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46163</v>
          </cell>
          <cell r="Q51">
            <v>46163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46163</v>
          </cell>
          <cell r="Q52">
            <v>46163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46163</v>
          </cell>
          <cell r="Q53">
            <v>46163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蘇漢城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蘇漢城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蘇漢城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蘇漢城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蘇漢城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M260301R1</v>
          </cell>
          <cell r="J1290" t="str">
            <v>賴慶樺</v>
          </cell>
          <cell r="N1290">
            <v>46114</v>
          </cell>
          <cell r="P1290">
            <v>16</v>
          </cell>
        </row>
        <row r="1291">
          <cell r="A1291" t="str">
            <v>M260302R1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D260401R1</v>
          </cell>
          <cell r="J1292" t="str">
            <v>賴慶樺</v>
          </cell>
          <cell r="N1292">
            <v>46182</v>
          </cell>
          <cell r="P1292">
            <v>50</v>
          </cell>
        </row>
        <row r="1293">
          <cell r="A1293" t="str">
            <v>M260301R1</v>
          </cell>
          <cell r="J1293" t="str">
            <v>賴慶樺</v>
          </cell>
          <cell r="N1293">
            <v>46125</v>
          </cell>
          <cell r="P1293">
            <v>30</v>
          </cell>
        </row>
        <row r="1294">
          <cell r="A1294" t="str">
            <v>M260301R1</v>
          </cell>
          <cell r="J1294" t="str">
            <v>賴慶樺</v>
          </cell>
          <cell r="N1294">
            <v>46147</v>
          </cell>
          <cell r="P1294">
            <v>30</v>
          </cell>
        </row>
        <row r="1295">
          <cell r="A1295" t="str">
            <v>M260301R1</v>
          </cell>
          <cell r="J1295" t="str">
            <v>賴慶樺</v>
          </cell>
          <cell r="N1295">
            <v>46161</v>
          </cell>
          <cell r="P1295">
            <v>80</v>
          </cell>
        </row>
        <row r="1296">
          <cell r="A1296" t="str">
            <v>M260302R1</v>
          </cell>
          <cell r="J1296" t="str">
            <v>賴慶樺</v>
          </cell>
          <cell r="N1296">
            <v>46125</v>
          </cell>
          <cell r="P1296">
            <v>30</v>
          </cell>
        </row>
        <row r="1297">
          <cell r="A1297" t="str">
            <v>M260302R1</v>
          </cell>
          <cell r="J1297" t="str">
            <v>賴慶樺</v>
          </cell>
          <cell r="N1297">
            <v>46147</v>
          </cell>
          <cell r="P1297">
            <v>30</v>
          </cell>
        </row>
        <row r="1298">
          <cell r="A1298" t="str">
            <v>M260401C1</v>
          </cell>
          <cell r="J1298" t="str">
            <v>賴慶樺</v>
          </cell>
          <cell r="N1298">
            <v>46125</v>
          </cell>
          <cell r="P1298">
            <v>10</v>
          </cell>
        </row>
        <row r="1299">
          <cell r="A1299" t="str">
            <v>M260401C1</v>
          </cell>
          <cell r="J1299" t="str">
            <v>賴慶樺</v>
          </cell>
          <cell r="N1299">
            <v>46125</v>
          </cell>
          <cell r="P1299">
            <v>20</v>
          </cell>
        </row>
        <row r="1300">
          <cell r="A1300" t="str">
            <v>M260401C1</v>
          </cell>
          <cell r="J1300" t="str">
            <v>賴慶樺</v>
          </cell>
          <cell r="N1300">
            <v>46126</v>
          </cell>
          <cell r="P1300">
            <v>10</v>
          </cell>
        </row>
        <row r="1301">
          <cell r="A1301" t="str">
            <v>M260401C1</v>
          </cell>
          <cell r="J1301" t="str">
            <v>賴慶樺</v>
          </cell>
          <cell r="N1301">
            <v>46133</v>
          </cell>
          <cell r="P1301">
            <v>20</v>
          </cell>
        </row>
        <row r="1302">
          <cell r="A1302" t="str">
            <v>D260102R1</v>
          </cell>
          <cell r="J1302" t="str">
            <v>李奕澔</v>
          </cell>
          <cell r="N1302">
            <v>46127</v>
          </cell>
          <cell r="P1302">
            <v>40</v>
          </cell>
        </row>
        <row r="1303">
          <cell r="A1303" t="str">
            <v>D250301R1</v>
          </cell>
          <cell r="J1303" t="str">
            <v>汪佳凯</v>
          </cell>
          <cell r="N1303">
            <v>46132</v>
          </cell>
          <cell r="P1303">
            <v>30</v>
          </cell>
        </row>
        <row r="1304">
          <cell r="A1304" t="str">
            <v>M240703P1</v>
          </cell>
          <cell r="J1304" t="str">
            <v>蘇漢城</v>
          </cell>
          <cell r="N1304">
            <v>46134</v>
          </cell>
          <cell r="P1304">
            <v>65</v>
          </cell>
        </row>
        <row r="1305">
          <cell r="A1305" t="str">
            <v>M251001R1</v>
          </cell>
          <cell r="J1305" t="str">
            <v>彭志豪</v>
          </cell>
          <cell r="N1305">
            <v>46122</v>
          </cell>
          <cell r="P1305">
            <v>4</v>
          </cell>
        </row>
        <row r="1306">
          <cell r="A1306" t="str">
            <v>D260401R1</v>
          </cell>
          <cell r="J1306" t="str">
            <v>羅友彥</v>
          </cell>
          <cell r="N1306">
            <v>46167</v>
          </cell>
          <cell r="P1306">
            <v>20</v>
          </cell>
        </row>
        <row r="1307">
          <cell r="A1307" t="str">
            <v>D260401R1</v>
          </cell>
          <cell r="J1307" t="str">
            <v>賴慶樺</v>
          </cell>
          <cell r="N1307">
            <v>46196</v>
          </cell>
          <cell r="P1307">
            <v>20</v>
          </cell>
        </row>
        <row r="1308">
          <cell r="A1308" t="str">
            <v>M260301R1</v>
          </cell>
          <cell r="J1308" t="str">
            <v>賴慶樺</v>
          </cell>
          <cell r="N1308">
            <v>46167</v>
          </cell>
          <cell r="P1308">
            <v>80</v>
          </cell>
        </row>
        <row r="1309">
          <cell r="A1309" t="str">
            <v>M260302R1</v>
          </cell>
          <cell r="J1309" t="str">
            <v>賴慶樺</v>
          </cell>
          <cell r="N1309">
            <v>46167</v>
          </cell>
          <cell r="P1309">
            <v>80</v>
          </cell>
        </row>
        <row r="1310">
          <cell r="A1310" t="str">
            <v>M260302R1</v>
          </cell>
          <cell r="J1310" t="str">
            <v>賴慶樺</v>
          </cell>
          <cell r="N1310">
            <v>46167</v>
          </cell>
          <cell r="P1310">
            <v>100</v>
          </cell>
        </row>
        <row r="1311">
          <cell r="A1311" t="str">
            <v>M260401C1</v>
          </cell>
          <cell r="J1311" t="str">
            <v>賴慶樺</v>
          </cell>
          <cell r="N1311">
            <v>46129</v>
          </cell>
          <cell r="P1311">
            <v>5</v>
          </cell>
        </row>
        <row r="1312">
          <cell r="A1312" t="str">
            <v>M251001R1</v>
          </cell>
          <cell r="J1312" t="str">
            <v>彭志豪</v>
          </cell>
          <cell r="N1312">
            <v>46126</v>
          </cell>
          <cell r="P1312">
            <v>4</v>
          </cell>
        </row>
        <row r="1313">
          <cell r="A1313" t="str">
            <v>M251001R1</v>
          </cell>
          <cell r="J1313" t="str">
            <v>彭志豪</v>
          </cell>
          <cell r="N1313">
            <v>46129</v>
          </cell>
          <cell r="P1313">
            <v>8</v>
          </cell>
        </row>
        <row r="1314">
          <cell r="A1314" t="str">
            <v>D260102R1</v>
          </cell>
          <cell r="J1314" t="str">
            <v>蕭金椿</v>
          </cell>
          <cell r="N1314">
            <v>46134</v>
          </cell>
          <cell r="P1314">
            <v>40</v>
          </cell>
        </row>
        <row r="1315">
          <cell r="A1315" t="str">
            <v>K251101R1</v>
          </cell>
          <cell r="J1315" t="str">
            <v>魏暉恩</v>
          </cell>
          <cell r="N1315">
            <v>46132</v>
          </cell>
          <cell r="P1315">
            <v>8</v>
          </cell>
        </row>
        <row r="1316">
          <cell r="A1316" t="str">
            <v>M260301R1</v>
          </cell>
          <cell r="J1316" t="str">
            <v>賴慶樺</v>
          </cell>
          <cell r="N1316">
            <v>46160</v>
          </cell>
          <cell r="P1316">
            <v>16</v>
          </cell>
        </row>
        <row r="1317">
          <cell r="A1317" t="str">
            <v>M260301R1</v>
          </cell>
          <cell r="J1317" t="str">
            <v>王琇眉</v>
          </cell>
          <cell r="N1317">
            <v>46160</v>
          </cell>
          <cell r="P1317">
            <v>20</v>
          </cell>
        </row>
        <row r="1318">
          <cell r="A1318" t="str">
            <v>M260401C1</v>
          </cell>
          <cell r="J1318" t="str">
            <v>葉宏政</v>
          </cell>
          <cell r="N1318">
            <v>46136</v>
          </cell>
          <cell r="P1318">
            <v>20</v>
          </cell>
        </row>
        <row r="1319">
          <cell r="A1319" t="str">
            <v>M260401C1</v>
          </cell>
          <cell r="J1319" t="str">
            <v>賴慶樺</v>
          </cell>
          <cell r="N1319">
            <v>46136</v>
          </cell>
          <cell r="P1319">
            <v>20</v>
          </cell>
        </row>
        <row r="1320">
          <cell r="A1320" t="str">
            <v>D250301R1</v>
          </cell>
          <cell r="J1320" t="str">
            <v>汪佳凯</v>
          </cell>
          <cell r="N1320">
            <v>46135</v>
          </cell>
          <cell r="P1320">
            <v>10</v>
          </cell>
        </row>
        <row r="1321">
          <cell r="A1321" t="str">
            <v>K251101R1</v>
          </cell>
          <cell r="J1321" t="str">
            <v>魏暉恩</v>
          </cell>
          <cell r="N1321">
            <v>46135</v>
          </cell>
          <cell r="P1321">
            <v>21</v>
          </cell>
        </row>
        <row r="1322">
          <cell r="A1322" t="str">
            <v>D260102R1</v>
          </cell>
          <cell r="J1322" t="str">
            <v>蕭金椿</v>
          </cell>
          <cell r="N1322">
            <v>46141</v>
          </cell>
          <cell r="P1322">
            <v>40</v>
          </cell>
        </row>
        <row r="1323">
          <cell r="A1323" t="str">
            <v>K251001R1</v>
          </cell>
          <cell r="J1323" t="str">
            <v>許慧芝</v>
          </cell>
          <cell r="N1323">
            <v>46147</v>
          </cell>
          <cell r="P1323">
            <v>4</v>
          </cell>
        </row>
        <row r="1324">
          <cell r="A1324" t="str">
            <v>K251001R1</v>
          </cell>
          <cell r="J1324" t="str">
            <v>何昆達</v>
          </cell>
          <cell r="N1324">
            <v>46163</v>
          </cell>
          <cell r="P1324">
            <v>8</v>
          </cell>
        </row>
        <row r="1325">
          <cell r="A1325" t="str">
            <v>M240703P1</v>
          </cell>
          <cell r="J1325" t="str">
            <v>王琇眉</v>
          </cell>
          <cell r="N1325">
            <v>46177</v>
          </cell>
          <cell r="P1325">
            <v>220</v>
          </cell>
        </row>
        <row r="1326">
          <cell r="A1326" t="str">
            <v>D250301R1</v>
          </cell>
          <cell r="J1326" t="str">
            <v>汪佳凯</v>
          </cell>
          <cell r="N1326">
            <v>46148</v>
          </cell>
          <cell r="P1326">
            <v>10</v>
          </cell>
        </row>
        <row r="1327">
          <cell r="A1327" t="str">
            <v>D260403R1</v>
          </cell>
          <cell r="J1327" t="str">
            <v>張良琪</v>
          </cell>
          <cell r="N1327">
            <v>46136</v>
          </cell>
          <cell r="P1327">
            <v>0</v>
          </cell>
        </row>
        <row r="1328">
          <cell r="A1328" t="str">
            <v>D260404R1</v>
          </cell>
          <cell r="J1328">
            <v>0</v>
          </cell>
          <cell r="N1328">
            <v>46136</v>
          </cell>
          <cell r="P1328">
            <v>0</v>
          </cell>
        </row>
        <row r="1329">
          <cell r="A1329" t="str">
            <v>D260406R1</v>
          </cell>
          <cell r="J1329">
            <v>0</v>
          </cell>
          <cell r="N1329">
            <v>46136</v>
          </cell>
          <cell r="P1329">
            <v>0</v>
          </cell>
        </row>
        <row r="1330">
          <cell r="A1330" t="str">
            <v>K251101R1</v>
          </cell>
          <cell r="J1330" t="str">
            <v>王琇眉</v>
          </cell>
          <cell r="N1330">
            <v>46169</v>
          </cell>
          <cell r="P1330">
            <v>184</v>
          </cell>
        </row>
        <row r="1331">
          <cell r="A1331" t="str">
            <v>K251101R1</v>
          </cell>
          <cell r="J1331" t="str">
            <v>吳志嘉</v>
          </cell>
          <cell r="N1331">
            <v>46169</v>
          </cell>
          <cell r="P1331">
            <v>184</v>
          </cell>
        </row>
        <row r="1332">
          <cell r="A1332" t="str">
            <v>K251101R1</v>
          </cell>
          <cell r="J1332" t="str">
            <v>魏暉恩</v>
          </cell>
          <cell r="N1332">
            <v>46150</v>
          </cell>
          <cell r="P1332">
            <v>80</v>
          </cell>
        </row>
        <row r="1333">
          <cell r="A1333" t="str">
            <v>D260403R1</v>
          </cell>
          <cell r="J1333" t="str">
            <v>張良琪</v>
          </cell>
          <cell r="N1333">
            <v>46156</v>
          </cell>
          <cell r="P1333">
            <v>50</v>
          </cell>
        </row>
        <row r="1334">
          <cell r="A1334" t="str">
            <v>D260404R1</v>
          </cell>
          <cell r="J1334">
            <v>0</v>
          </cell>
          <cell r="N1334">
            <v>46142</v>
          </cell>
          <cell r="P1334">
            <v>0</v>
          </cell>
        </row>
        <row r="1335">
          <cell r="A1335" t="str">
            <v>D260405R1</v>
          </cell>
          <cell r="J1335" t="str">
            <v>蘇哲弘</v>
          </cell>
          <cell r="N1335">
            <v>46139</v>
          </cell>
          <cell r="P1335">
            <v>8</v>
          </cell>
        </row>
        <row r="1336">
          <cell r="A1336" t="str">
            <v>D260406R1</v>
          </cell>
          <cell r="J1336">
            <v>0</v>
          </cell>
          <cell r="N1336">
            <v>46139</v>
          </cell>
          <cell r="P1336">
            <v>8</v>
          </cell>
        </row>
        <row r="1337">
          <cell r="A1337" t="str">
            <v>M260401C1</v>
          </cell>
          <cell r="J1337" t="str">
            <v>葉宏政</v>
          </cell>
          <cell r="N1337">
            <v>46146</v>
          </cell>
          <cell r="P1337">
            <v>20</v>
          </cell>
        </row>
        <row r="1338">
          <cell r="A1338" t="str">
            <v>M260401C1</v>
          </cell>
          <cell r="J1338" t="str">
            <v>賴慶樺</v>
          </cell>
          <cell r="N1338">
            <v>46146</v>
          </cell>
          <cell r="P1338">
            <v>10</v>
          </cell>
        </row>
        <row r="1339">
          <cell r="A1339" t="str">
            <v>M260401C1</v>
          </cell>
          <cell r="J1339" t="str">
            <v>賴慶樺</v>
          </cell>
          <cell r="N1339">
            <v>46153</v>
          </cell>
          <cell r="P1339">
            <v>20</v>
          </cell>
        </row>
        <row r="1340">
          <cell r="A1340" t="str">
            <v>D260401R1</v>
          </cell>
          <cell r="J1340" t="str">
            <v>賴慶樺</v>
          </cell>
          <cell r="N1340">
            <v>46154</v>
          </cell>
          <cell r="P1340">
            <v>10</v>
          </cell>
        </row>
        <row r="1341">
          <cell r="A1341" t="str">
            <v>D260401R1</v>
          </cell>
          <cell r="J1341" t="str">
            <v>賴慶樺</v>
          </cell>
          <cell r="N1341">
            <v>46154</v>
          </cell>
          <cell r="P1341">
            <v>20</v>
          </cell>
        </row>
        <row r="1342">
          <cell r="A1342" t="str">
            <v>D260405R1</v>
          </cell>
          <cell r="J1342" t="str">
            <v>蘇哲弘</v>
          </cell>
          <cell r="N1342">
            <v>46206</v>
          </cell>
          <cell r="P1342">
            <v>376</v>
          </cell>
        </row>
        <row r="1343">
          <cell r="A1343" t="str">
            <v>D260405R1</v>
          </cell>
          <cell r="J1343" t="str">
            <v>蘇哲弘</v>
          </cell>
          <cell r="N1343">
            <v>46140</v>
          </cell>
          <cell r="P1343">
            <v>8</v>
          </cell>
        </row>
        <row r="1344">
          <cell r="A1344" t="str">
            <v>D260406R1</v>
          </cell>
          <cell r="J1344">
            <v>0</v>
          </cell>
          <cell r="N1344">
            <v>46140</v>
          </cell>
          <cell r="P1344">
            <v>8</v>
          </cell>
        </row>
        <row r="1345">
          <cell r="A1345" t="str">
            <v>D260102R1</v>
          </cell>
          <cell r="J1345" t="str">
            <v>蕭金椿</v>
          </cell>
          <cell r="N1345">
            <v>46141</v>
          </cell>
          <cell r="P1345">
            <v>10</v>
          </cell>
        </row>
        <row r="1346">
          <cell r="A1346" t="str">
            <v>D260406R1</v>
          </cell>
          <cell r="J1346">
            <v>0</v>
          </cell>
          <cell r="N1346">
            <v>46142</v>
          </cell>
          <cell r="P1346">
            <v>8</v>
          </cell>
        </row>
        <row r="1347">
          <cell r="A1347" t="str">
            <v>D260406R1</v>
          </cell>
          <cell r="J1347">
            <v>0</v>
          </cell>
          <cell r="N1347">
            <v>46148</v>
          </cell>
          <cell r="P1347">
            <v>20</v>
          </cell>
        </row>
        <row r="1348">
          <cell r="A1348" t="str">
            <v>D260406R1</v>
          </cell>
          <cell r="J1348">
            <v>0</v>
          </cell>
          <cell r="N1348">
            <v>46155</v>
          </cell>
          <cell r="P1348">
            <v>40</v>
          </cell>
        </row>
        <row r="1349">
          <cell r="A1349" t="str">
            <v>D260406R1</v>
          </cell>
          <cell r="J1349">
            <v>0</v>
          </cell>
          <cell r="N1349">
            <v>46169</v>
          </cell>
          <cell r="P1349">
            <v>40</v>
          </cell>
        </row>
        <row r="1350">
          <cell r="A1350" t="str">
            <v>D260406R1</v>
          </cell>
          <cell r="J1350">
            <v>0</v>
          </cell>
          <cell r="N1350">
            <v>46146</v>
          </cell>
          <cell r="P1350">
            <v>20</v>
          </cell>
        </row>
        <row r="1351">
          <cell r="A1351" t="str">
            <v>G260401I1</v>
          </cell>
          <cell r="J1351" t="str">
            <v>羅友彥</v>
          </cell>
          <cell r="N1351">
            <v>46141</v>
          </cell>
          <cell r="P1351">
            <v>0</v>
          </cell>
        </row>
        <row r="1352">
          <cell r="A1352" t="str">
            <v>G260401I1</v>
          </cell>
          <cell r="J1352" t="str">
            <v>羅友彥</v>
          </cell>
          <cell r="N1352">
            <v>46142</v>
          </cell>
          <cell r="P1352">
            <v>0</v>
          </cell>
        </row>
        <row r="1353">
          <cell r="A1353" t="str">
            <v>G260401I1</v>
          </cell>
          <cell r="J1353" t="str">
            <v>羅友彥</v>
          </cell>
          <cell r="N1353">
            <v>46142</v>
          </cell>
          <cell r="P1353">
            <v>0</v>
          </cell>
        </row>
        <row r="1354">
          <cell r="A1354" t="str">
            <v>M250301C1</v>
          </cell>
          <cell r="J1354" t="str">
            <v>陳威諭</v>
          </cell>
          <cell r="N1354">
            <v>46189</v>
          </cell>
          <cell r="P1354">
            <v>40</v>
          </cell>
        </row>
        <row r="1355">
          <cell r="A1355" t="str">
            <v>D260401R1</v>
          </cell>
          <cell r="J1355" t="str">
            <v>許慧芝</v>
          </cell>
          <cell r="N1355">
            <v>46157</v>
          </cell>
          <cell r="P1355">
            <v>20</v>
          </cell>
        </row>
        <row r="1356">
          <cell r="A1356" t="str">
            <v>D260401R1</v>
          </cell>
          <cell r="J1356" t="str">
            <v>張文魁</v>
          </cell>
          <cell r="N1356">
            <v>46157</v>
          </cell>
          <cell r="P1356">
            <v>20</v>
          </cell>
        </row>
        <row r="1357">
          <cell r="A1357" t="str">
            <v>D260401R1</v>
          </cell>
          <cell r="J1357" t="str">
            <v>張文魁</v>
          </cell>
          <cell r="N1357">
            <v>46157</v>
          </cell>
          <cell r="P1357">
            <v>20</v>
          </cell>
        </row>
        <row r="1358">
          <cell r="A1358" t="str">
            <v>D260401R1</v>
          </cell>
          <cell r="J1358" t="str">
            <v>張文魁</v>
          </cell>
          <cell r="N1358">
            <v>46157</v>
          </cell>
          <cell r="P1358">
            <v>20</v>
          </cell>
        </row>
        <row r="1359">
          <cell r="A1359" t="str">
            <v>D260401R1</v>
          </cell>
          <cell r="J1359" t="str">
            <v>羅友彥</v>
          </cell>
          <cell r="N1359">
            <v>46202</v>
          </cell>
          <cell r="P1359">
            <v>30</v>
          </cell>
        </row>
        <row r="1360">
          <cell r="A1360" t="str">
            <v>D260404R1</v>
          </cell>
          <cell r="J1360">
            <v>0</v>
          </cell>
          <cell r="N1360">
            <v>46146</v>
          </cell>
          <cell r="P1360">
            <v>0</v>
          </cell>
        </row>
        <row r="1361">
          <cell r="A1361" t="str">
            <v>D260404R1</v>
          </cell>
          <cell r="J1361">
            <v>0</v>
          </cell>
          <cell r="N1361">
            <v>46146</v>
          </cell>
          <cell r="P1361">
            <v>0</v>
          </cell>
        </row>
        <row r="1362">
          <cell r="A1362" t="str">
            <v>D260404R1</v>
          </cell>
          <cell r="J1362">
            <v>0</v>
          </cell>
          <cell r="N1362">
            <v>46146</v>
          </cell>
          <cell r="P1362">
            <v>0</v>
          </cell>
        </row>
        <row r="1363">
          <cell r="A1363" t="str">
            <v>D260404R1</v>
          </cell>
          <cell r="J1363">
            <v>0</v>
          </cell>
          <cell r="N1363">
            <v>46146</v>
          </cell>
          <cell r="P1363">
            <v>0</v>
          </cell>
        </row>
        <row r="1364">
          <cell r="A1364" t="str">
            <v>D260404R1</v>
          </cell>
          <cell r="J1364">
            <v>0</v>
          </cell>
          <cell r="N1364">
            <v>46146</v>
          </cell>
          <cell r="P1364">
            <v>0</v>
          </cell>
        </row>
        <row r="1365">
          <cell r="A1365" t="str">
            <v>D260404R1</v>
          </cell>
          <cell r="J1365">
            <v>0</v>
          </cell>
          <cell r="N1365">
            <v>46146</v>
          </cell>
          <cell r="P1365">
            <v>0</v>
          </cell>
        </row>
        <row r="1366">
          <cell r="A1366" t="str">
            <v>D260404R1</v>
          </cell>
          <cell r="J1366">
            <v>0</v>
          </cell>
          <cell r="N1366">
            <v>46146</v>
          </cell>
          <cell r="P1366">
            <v>0</v>
          </cell>
        </row>
        <row r="1367">
          <cell r="A1367" t="str">
            <v>D260404R1</v>
          </cell>
          <cell r="J1367">
            <v>0</v>
          </cell>
          <cell r="N1367">
            <v>46146</v>
          </cell>
          <cell r="P1367">
            <v>0</v>
          </cell>
        </row>
        <row r="1368">
          <cell r="A1368" t="str">
            <v>D260404R1</v>
          </cell>
          <cell r="J1368">
            <v>0</v>
          </cell>
          <cell r="N1368">
            <v>46146</v>
          </cell>
          <cell r="P1368">
            <v>0</v>
          </cell>
        </row>
        <row r="1369">
          <cell r="A1369" t="str">
            <v>D260405R1</v>
          </cell>
          <cell r="J1369" t="str">
            <v>張政崙</v>
          </cell>
          <cell r="N1369">
            <v>46176</v>
          </cell>
          <cell r="P1369">
            <v>184</v>
          </cell>
        </row>
        <row r="1370">
          <cell r="A1370" t="str">
            <v>D260405R1</v>
          </cell>
          <cell r="J1370" t="str">
            <v>蘇漢城</v>
          </cell>
          <cell r="N1370">
            <v>46157</v>
          </cell>
          <cell r="P1370">
            <v>80</v>
          </cell>
        </row>
        <row r="1371">
          <cell r="A1371" t="str">
            <v>D260405R1</v>
          </cell>
          <cell r="J1371" t="str">
            <v>葉宏政</v>
          </cell>
          <cell r="N1371">
            <v>46206</v>
          </cell>
          <cell r="P1371">
            <v>352</v>
          </cell>
        </row>
        <row r="1372">
          <cell r="A1372" t="str">
            <v>M251201C2</v>
          </cell>
          <cell r="J1372">
            <v>0</v>
          </cell>
          <cell r="N1372">
            <v>46190</v>
          </cell>
          <cell r="P1372">
            <v>40</v>
          </cell>
        </row>
        <row r="1373">
          <cell r="A1373" t="str">
            <v>D260402R1</v>
          </cell>
          <cell r="J1373" t="str">
            <v>賴慶樺</v>
          </cell>
          <cell r="N1373">
            <v>46160</v>
          </cell>
          <cell r="P1373">
            <v>20</v>
          </cell>
        </row>
        <row r="1374">
          <cell r="A1374" t="str">
            <v>D260404R1</v>
          </cell>
          <cell r="J1374">
            <v>0</v>
          </cell>
          <cell r="N1374">
            <v>46147</v>
          </cell>
          <cell r="P1374">
            <v>0</v>
          </cell>
        </row>
        <row r="1375">
          <cell r="A1375" t="str">
            <v>D260404R1</v>
          </cell>
          <cell r="J1375">
            <v>0</v>
          </cell>
          <cell r="N1375">
            <v>46150</v>
          </cell>
          <cell r="P1375">
            <v>0</v>
          </cell>
        </row>
        <row r="1376">
          <cell r="A1376" t="str">
            <v>D260406R1</v>
          </cell>
          <cell r="J1376">
            <v>0</v>
          </cell>
          <cell r="N1376">
            <v>46147</v>
          </cell>
          <cell r="P1376">
            <v>4</v>
          </cell>
        </row>
        <row r="1377">
          <cell r="A1377" t="str">
            <v>G260401I1</v>
          </cell>
          <cell r="J1377" t="str">
            <v>羅友彥</v>
          </cell>
          <cell r="N1377">
            <v>46147</v>
          </cell>
          <cell r="P1377">
            <v>0</v>
          </cell>
        </row>
        <row r="1378">
          <cell r="A1378" t="str">
            <v>D260402R1</v>
          </cell>
          <cell r="J1378" t="str">
            <v>賴慶樺</v>
          </cell>
          <cell r="N1378">
            <v>46155</v>
          </cell>
          <cell r="P1378">
            <v>10</v>
          </cell>
        </row>
        <row r="1379">
          <cell r="A1379" t="str">
            <v>D260404R1</v>
          </cell>
          <cell r="J1379">
            <v>0</v>
          </cell>
          <cell r="N1379">
            <v>46148</v>
          </cell>
          <cell r="P1379">
            <v>0</v>
          </cell>
        </row>
        <row r="1380">
          <cell r="A1380" t="str">
            <v>D260404R1</v>
          </cell>
          <cell r="J1380">
            <v>0</v>
          </cell>
          <cell r="N1380">
            <v>46148</v>
          </cell>
          <cell r="P1380">
            <v>8</v>
          </cell>
        </row>
        <row r="1381">
          <cell r="A1381" t="str">
            <v>D260406R1</v>
          </cell>
          <cell r="J1381">
            <v>0</v>
          </cell>
          <cell r="N1381">
            <v>46148</v>
          </cell>
          <cell r="P1381">
            <v>0</v>
          </cell>
        </row>
        <row r="1382">
          <cell r="A1382" t="str">
            <v>D260406R1</v>
          </cell>
          <cell r="J1382">
            <v>0</v>
          </cell>
          <cell r="N1382">
            <v>46149</v>
          </cell>
          <cell r="P1382">
            <v>8</v>
          </cell>
        </row>
        <row r="1383">
          <cell r="A1383" t="str">
            <v>D260501R1</v>
          </cell>
          <cell r="J1383" t="str">
            <v>黃胤綸</v>
          </cell>
          <cell r="N1383">
            <v>46148</v>
          </cell>
          <cell r="P1383">
            <v>0</v>
          </cell>
        </row>
        <row r="1384">
          <cell r="A1384" t="str">
            <v>D260404R1</v>
          </cell>
          <cell r="J1384">
            <v>0</v>
          </cell>
          <cell r="N1384">
            <v>46149</v>
          </cell>
          <cell r="P1384">
            <v>8</v>
          </cell>
        </row>
        <row r="1385">
          <cell r="A1385" t="str">
            <v>D260501R1</v>
          </cell>
          <cell r="J1385" t="str">
            <v>陳俊儒</v>
          </cell>
          <cell r="N1385">
            <v>46162</v>
          </cell>
          <cell r="P1385">
            <v>20</v>
          </cell>
        </row>
        <row r="1386">
          <cell r="A1386" t="str">
            <v>D260501R1</v>
          </cell>
          <cell r="J1386" t="str">
            <v>黃胤綸</v>
          </cell>
          <cell r="N1386">
            <v>46162</v>
          </cell>
          <cell r="P1386">
            <v>50</v>
          </cell>
        </row>
        <row r="1387">
          <cell r="A1387" t="str">
            <v>D260404R1</v>
          </cell>
          <cell r="J1387">
            <v>0</v>
          </cell>
          <cell r="N1387">
            <v>46150</v>
          </cell>
          <cell r="P1387">
            <v>8</v>
          </cell>
        </row>
        <row r="1388">
          <cell r="A1388" t="str">
            <v>D260406R1</v>
          </cell>
          <cell r="J1388">
            <v>0</v>
          </cell>
          <cell r="N1388">
            <v>46191</v>
          </cell>
          <cell r="P1388">
            <v>16</v>
          </cell>
        </row>
        <row r="1389">
          <cell r="A1389" t="str">
            <v>D260401R1</v>
          </cell>
          <cell r="J1389" t="str">
            <v>張文魁</v>
          </cell>
          <cell r="N1389">
            <v>46178</v>
          </cell>
          <cell r="P1389">
            <v>30</v>
          </cell>
        </row>
        <row r="1390">
          <cell r="A1390" t="str">
            <v>D260404R1</v>
          </cell>
          <cell r="J1390">
            <v>0</v>
          </cell>
          <cell r="N1390">
            <v>46153</v>
          </cell>
          <cell r="P1390">
            <v>8</v>
          </cell>
        </row>
        <row r="1391">
          <cell r="A1391" t="str">
            <v>D260405R1</v>
          </cell>
          <cell r="J1391" t="str">
            <v>王琇眉</v>
          </cell>
          <cell r="N1391">
            <v>46157</v>
          </cell>
          <cell r="P1391">
            <v>40</v>
          </cell>
        </row>
        <row r="1392">
          <cell r="A1392" t="str">
            <v>D260405R1</v>
          </cell>
          <cell r="J1392" t="str">
            <v>蘇哲弘</v>
          </cell>
          <cell r="N1392">
            <v>46153</v>
          </cell>
          <cell r="P1392">
            <v>4</v>
          </cell>
        </row>
        <row r="1393">
          <cell r="A1393" t="str">
            <v>G260401I1</v>
          </cell>
          <cell r="J1393" t="str">
            <v>羅友彥</v>
          </cell>
          <cell r="N1393">
            <v>46161</v>
          </cell>
          <cell r="P1393">
            <v>0</v>
          </cell>
        </row>
        <row r="1394">
          <cell r="A1394" t="str">
            <v>M260401C1</v>
          </cell>
          <cell r="J1394" t="str">
            <v>賴慶樺</v>
          </cell>
          <cell r="N1394">
            <v>46171</v>
          </cell>
          <cell r="P1394">
            <v>45</v>
          </cell>
        </row>
        <row r="1395">
          <cell r="A1395" t="str">
            <v>D260404R1</v>
          </cell>
          <cell r="J1395">
            <v>0</v>
          </cell>
          <cell r="N1395">
            <v>46154</v>
          </cell>
          <cell r="P1395">
            <v>4</v>
          </cell>
        </row>
        <row r="1396">
          <cell r="A1396" t="str">
            <v>D260404R1</v>
          </cell>
          <cell r="J1396">
            <v>0</v>
          </cell>
          <cell r="N1396">
            <v>46168</v>
          </cell>
          <cell r="P1396">
            <v>80</v>
          </cell>
        </row>
        <row r="1397">
          <cell r="A1397" t="str">
            <v>D260406R1</v>
          </cell>
          <cell r="J1397">
            <v>0</v>
          </cell>
          <cell r="N1397">
            <v>46155</v>
          </cell>
          <cell r="P1397">
            <v>0</v>
          </cell>
        </row>
        <row r="1398">
          <cell r="A1398" t="str">
            <v>D260502R1</v>
          </cell>
          <cell r="J1398">
            <v>0</v>
          </cell>
          <cell r="N1398">
            <v>46156</v>
          </cell>
          <cell r="P1398">
            <v>8</v>
          </cell>
        </row>
        <row r="1399">
          <cell r="A1399" t="str">
            <v>D260406R1</v>
          </cell>
          <cell r="J1399">
            <v>0</v>
          </cell>
          <cell r="N1399">
            <v>46175</v>
          </cell>
          <cell r="P1399">
            <v>16</v>
          </cell>
        </row>
        <row r="1400">
          <cell r="A1400" t="str">
            <v>D260103R1</v>
          </cell>
          <cell r="J1400" t="str">
            <v>蕭金椿</v>
          </cell>
          <cell r="N1400">
            <v>46171</v>
          </cell>
          <cell r="P1400">
            <v>88</v>
          </cell>
        </row>
        <row r="1401">
          <cell r="A1401" t="str">
            <v>D260403R1</v>
          </cell>
          <cell r="J1401" t="str">
            <v>張良琪</v>
          </cell>
          <cell r="N1401">
            <v>46157</v>
          </cell>
          <cell r="P1401">
            <v>8</v>
          </cell>
        </row>
        <row r="1402">
          <cell r="A1402" t="str">
            <v>D260502R1</v>
          </cell>
          <cell r="J1402">
            <v>0</v>
          </cell>
          <cell r="N1402">
            <v>46160</v>
          </cell>
          <cell r="P1402">
            <v>10</v>
          </cell>
        </row>
        <row r="1403">
          <cell r="A1403" t="str">
            <v>D260401R1</v>
          </cell>
          <cell r="J1403" t="str">
            <v>王琇眉</v>
          </cell>
          <cell r="N1403">
            <v>46171</v>
          </cell>
          <cell r="P1403">
            <v>20</v>
          </cell>
        </row>
        <row r="1404">
          <cell r="A1404" t="str">
            <v>D260401R1</v>
          </cell>
          <cell r="J1404" t="str">
            <v>王琇眉</v>
          </cell>
          <cell r="N1404">
            <v>46178</v>
          </cell>
          <cell r="P1404">
            <v>20</v>
          </cell>
        </row>
        <row r="1405">
          <cell r="A1405" t="str">
            <v>D260401R1</v>
          </cell>
          <cell r="J1405" t="str">
            <v>王琇眉</v>
          </cell>
          <cell r="N1405">
            <v>46171</v>
          </cell>
          <cell r="P1405">
            <v>20</v>
          </cell>
        </row>
        <row r="1406">
          <cell r="A1406" t="str">
            <v>D260401R1</v>
          </cell>
          <cell r="J1406" t="str">
            <v>賴慶樺</v>
          </cell>
          <cell r="N1406">
            <v>46171</v>
          </cell>
          <cell r="P1406">
            <v>20</v>
          </cell>
        </row>
        <row r="1407">
          <cell r="A1407" t="str">
            <v>D260402R1</v>
          </cell>
          <cell r="J1407" t="str">
            <v>賴慶樺</v>
          </cell>
          <cell r="N1407">
            <v>46171</v>
          </cell>
          <cell r="P1407">
            <v>10</v>
          </cell>
        </row>
        <row r="1408">
          <cell r="A1408" t="str">
            <v>D260403R1</v>
          </cell>
          <cell r="J1408" t="str">
            <v>王琇眉</v>
          </cell>
          <cell r="N1408">
            <v>46164</v>
          </cell>
          <cell r="P1408">
            <v>40</v>
          </cell>
        </row>
        <row r="1409">
          <cell r="A1409" t="str">
            <v>D260403R1</v>
          </cell>
          <cell r="J1409" t="str">
            <v>蕭金椿</v>
          </cell>
          <cell r="N1409">
            <v>46171</v>
          </cell>
          <cell r="P1409">
            <v>80</v>
          </cell>
        </row>
        <row r="1410">
          <cell r="A1410" t="str">
            <v>D260403R1</v>
          </cell>
          <cell r="J1410" t="str">
            <v>李奕澔</v>
          </cell>
          <cell r="N1410">
            <v>46171</v>
          </cell>
          <cell r="P1410">
            <v>80</v>
          </cell>
        </row>
        <row r="1411">
          <cell r="A1411" t="str">
            <v>D260403R1</v>
          </cell>
          <cell r="J1411" t="str">
            <v>鄭珅易</v>
          </cell>
          <cell r="N1411">
            <v>46171</v>
          </cell>
          <cell r="P1411">
            <v>80</v>
          </cell>
        </row>
        <row r="1412">
          <cell r="A1412" t="str">
            <v>D260403R1</v>
          </cell>
          <cell r="J1412" t="str">
            <v>蘇漢城</v>
          </cell>
          <cell r="N1412">
            <v>46164</v>
          </cell>
          <cell r="P1412">
            <v>40</v>
          </cell>
        </row>
        <row r="1413">
          <cell r="A1413" t="str">
            <v>D260403R1</v>
          </cell>
          <cell r="J1413" t="str">
            <v>鄭貫中</v>
          </cell>
          <cell r="N1413">
            <v>46178</v>
          </cell>
          <cell r="P1413">
            <v>80</v>
          </cell>
        </row>
        <row r="1414">
          <cell r="A1414" t="str">
            <v>D260405R1</v>
          </cell>
          <cell r="J1414" t="str">
            <v>蘇哲弘</v>
          </cell>
          <cell r="N1414">
            <v>46160</v>
          </cell>
          <cell r="P1414">
            <v>0</v>
          </cell>
        </row>
        <row r="1415">
          <cell r="A1415" t="str">
            <v>D260502R1</v>
          </cell>
          <cell r="J1415">
            <v>0</v>
          </cell>
          <cell r="N1415">
            <v>46167</v>
          </cell>
          <cell r="P1415">
            <v>20</v>
          </cell>
        </row>
        <row r="1416">
          <cell r="A1416" t="str">
            <v>D260502R1</v>
          </cell>
          <cell r="J1416">
            <v>0</v>
          </cell>
          <cell r="N1416">
            <v>46161</v>
          </cell>
          <cell r="P1416">
            <v>2</v>
          </cell>
        </row>
        <row r="1417">
          <cell r="A1417" t="str">
            <v>D260402R1</v>
          </cell>
          <cell r="J1417" t="str">
            <v>李奕澔</v>
          </cell>
          <cell r="N1417">
            <v>46204</v>
          </cell>
          <cell r="P1417">
            <v>50</v>
          </cell>
        </row>
        <row r="1418">
          <cell r="A1418" t="str">
            <v>D260402R1</v>
          </cell>
          <cell r="J1418" t="str">
            <v>鄭貫中</v>
          </cell>
          <cell r="N1418">
            <v>46189</v>
          </cell>
          <cell r="P1418">
            <v>15</v>
          </cell>
        </row>
        <row r="1419">
          <cell r="A1419" t="str">
            <v>G260401I1</v>
          </cell>
          <cell r="J1419" t="str">
            <v>羅友彥</v>
          </cell>
          <cell r="N1419">
            <v>46162</v>
          </cell>
          <cell r="P1419">
            <v>0</v>
          </cell>
        </row>
        <row r="1420">
          <cell r="A1420" t="str">
            <v>D260501R1</v>
          </cell>
          <cell r="J1420">
            <v>0</v>
          </cell>
          <cell r="N1420">
            <v>46163</v>
          </cell>
          <cell r="P1420">
            <v>0</v>
          </cell>
        </row>
        <row r="1421">
          <cell r="A1421" t="str">
            <v>D260501R1</v>
          </cell>
          <cell r="J1421">
            <v>0</v>
          </cell>
          <cell r="N1421">
            <v>46163</v>
          </cell>
          <cell r="P1421">
            <v>0</v>
          </cell>
        </row>
        <row r="1422">
          <cell r="A1422" t="str">
            <v>D260501R1</v>
          </cell>
          <cell r="J1422" t="str">
            <v>黃胤綸</v>
          </cell>
          <cell r="N1422">
            <v>46163</v>
          </cell>
          <cell r="P1422">
            <v>0</v>
          </cell>
        </row>
        <row r="1423">
          <cell r="A1423" t="str">
            <v>D260501R1</v>
          </cell>
          <cell r="J1423" t="str">
            <v>陳俊儒</v>
          </cell>
          <cell r="N1423">
            <v>46163</v>
          </cell>
          <cell r="P1423">
            <v>0</v>
          </cell>
        </row>
        <row r="1424">
          <cell r="A1424" t="str">
            <v>D260501R1</v>
          </cell>
          <cell r="J1424" t="str">
            <v>黃胤綸</v>
          </cell>
          <cell r="N1424">
            <v>46163</v>
          </cell>
          <cell r="P1424">
            <v>0</v>
          </cell>
        </row>
        <row r="1425">
          <cell r="A1425" t="str">
            <v>D260501R1</v>
          </cell>
          <cell r="J1425" t="str">
            <v>黃胤綸</v>
          </cell>
          <cell r="N1425">
            <v>46163</v>
          </cell>
          <cell r="P1425">
            <v>0</v>
          </cell>
        </row>
        <row r="1426">
          <cell r="A1426" t="str">
            <v>D260501R1</v>
          </cell>
          <cell r="J1426">
            <v>0</v>
          </cell>
          <cell r="N1426">
            <v>46163</v>
          </cell>
          <cell r="P1426">
            <v>0</v>
          </cell>
        </row>
        <row r="1427">
          <cell r="A1427" t="str">
            <v>D260501R1</v>
          </cell>
          <cell r="J1427" t="str">
            <v>黃胤綸</v>
          </cell>
          <cell r="N1427">
            <v>46163</v>
          </cell>
          <cell r="P1427">
            <v>0</v>
          </cell>
        </row>
        <row r="1428">
          <cell r="A1428" t="str">
            <v>D260501R1</v>
          </cell>
          <cell r="J1428">
            <v>0</v>
          </cell>
          <cell r="N1428">
            <v>46163</v>
          </cell>
          <cell r="P1428">
            <v>0</v>
          </cell>
        </row>
        <row r="1429">
          <cell r="A1429" t="str">
            <v>D260501R1</v>
          </cell>
          <cell r="J1429" t="str">
            <v>黃胤綸</v>
          </cell>
          <cell r="N1429">
            <v>46163</v>
          </cell>
          <cell r="P1429">
            <v>0</v>
          </cell>
        </row>
        <row r="1430">
          <cell r="A1430" t="str">
            <v>M250301C1</v>
          </cell>
          <cell r="J1430" t="str">
            <v>陳威諭</v>
          </cell>
          <cell r="N1430">
            <v>46171</v>
          </cell>
          <cell r="P1430">
            <v>4</v>
          </cell>
        </row>
        <row r="1431">
          <cell r="A1431" t="str">
            <v>M250301C1</v>
          </cell>
          <cell r="J1431" t="str">
            <v>陳威諭</v>
          </cell>
          <cell r="N1431">
            <v>46171</v>
          </cell>
          <cell r="P1431">
            <v>4</v>
          </cell>
        </row>
        <row r="1432">
          <cell r="A1432" t="str">
            <v>D260501R1</v>
          </cell>
          <cell r="J1432" t="str">
            <v>陳俊儒</v>
          </cell>
          <cell r="N1432">
            <v>46164</v>
          </cell>
          <cell r="P1432">
            <v>0</v>
          </cell>
        </row>
        <row r="1433">
          <cell r="A1433" t="str">
            <v>D260502R1</v>
          </cell>
          <cell r="J1433">
            <v>0</v>
          </cell>
          <cell r="N1433">
            <v>46167</v>
          </cell>
          <cell r="P1433">
            <v>8</v>
          </cell>
        </row>
        <row r="1434">
          <cell r="A1434" t="str">
            <v>D260502R1</v>
          </cell>
          <cell r="J1434">
            <v>0</v>
          </cell>
          <cell r="N1434">
            <v>46170</v>
          </cell>
          <cell r="P1434">
            <v>20</v>
          </cell>
        </row>
        <row r="1435">
          <cell r="A1435" t="str">
            <v>D260502R1</v>
          </cell>
          <cell r="J1435">
            <v>0</v>
          </cell>
          <cell r="N1435">
            <v>46177</v>
          </cell>
          <cell r="P1435">
            <v>30</v>
          </cell>
        </row>
        <row r="1436">
          <cell r="A1436" t="str">
            <v>D260502R1</v>
          </cell>
          <cell r="J1436">
            <v>0</v>
          </cell>
          <cell r="N1436">
            <v>46168</v>
          </cell>
          <cell r="P1436">
            <v>16</v>
          </cell>
        </row>
        <row r="1437">
          <cell r="A1437" t="str">
            <v>D260502R1</v>
          </cell>
          <cell r="J1437">
            <v>0</v>
          </cell>
          <cell r="N1437">
            <v>46167</v>
          </cell>
          <cell r="P1437">
            <v>10</v>
          </cell>
        </row>
        <row r="1438">
          <cell r="A1438" t="str">
            <v>D260502R1</v>
          </cell>
          <cell r="J1438">
            <v>0</v>
          </cell>
          <cell r="N1438">
            <v>46164</v>
          </cell>
          <cell r="P1438">
            <v>8</v>
          </cell>
        </row>
        <row r="1439">
          <cell r="A1439" t="str">
            <v>G260401I1</v>
          </cell>
          <cell r="J1439" t="str">
            <v>羅友彥</v>
          </cell>
          <cell r="N1439">
            <v>46164</v>
          </cell>
          <cell r="P1439">
            <v>0</v>
          </cell>
        </row>
        <row r="1440">
          <cell r="A1440" t="str">
            <v>K251001R1</v>
          </cell>
          <cell r="J1440" t="str">
            <v>陳義雄</v>
          </cell>
          <cell r="N1440">
            <v>46170</v>
          </cell>
          <cell r="P1440">
            <v>40</v>
          </cell>
        </row>
        <row r="1441">
          <cell r="A1441" t="str">
            <v>K251001R1</v>
          </cell>
          <cell r="J1441" t="str">
            <v>陳義雄</v>
          </cell>
          <cell r="N1441">
            <v>46177</v>
          </cell>
          <cell r="P1441">
            <v>80</v>
          </cell>
        </row>
        <row r="1442">
          <cell r="A1442" t="str">
            <v>K251001R1</v>
          </cell>
          <cell r="J1442" t="str">
            <v>陳義雄</v>
          </cell>
          <cell r="N1442">
            <v>46177</v>
          </cell>
          <cell r="P1442">
            <v>80</v>
          </cell>
        </row>
        <row r="1443">
          <cell r="A1443" t="str">
            <v>K251001R1</v>
          </cell>
          <cell r="J1443" t="str">
            <v>王瀚霆</v>
          </cell>
          <cell r="N1443">
            <v>46177</v>
          </cell>
          <cell r="P1443">
            <v>24</v>
          </cell>
        </row>
        <row r="1444">
          <cell r="A1444" t="str">
            <v>M251201C2</v>
          </cell>
          <cell r="J1444">
            <v>0</v>
          </cell>
          <cell r="N1444">
            <v>46174</v>
          </cell>
          <cell r="P1444">
            <v>4</v>
          </cell>
        </row>
        <row r="1445">
          <cell r="A1445" t="str">
            <v>M251201C2</v>
          </cell>
          <cell r="J1445">
            <v>0</v>
          </cell>
          <cell r="N1445">
            <v>46174</v>
          </cell>
          <cell r="P1445">
            <v>4</v>
          </cell>
        </row>
        <row r="1446">
          <cell r="A1446" t="str">
            <v>D260401R1</v>
          </cell>
          <cell r="J1446" t="str">
            <v>賴慶樺</v>
          </cell>
          <cell r="N1446">
            <v>46185</v>
          </cell>
          <cell r="P1446">
            <v>20</v>
          </cell>
        </row>
        <row r="1447">
          <cell r="A1447" t="str">
            <v>D260401R1</v>
          </cell>
          <cell r="J1447" t="str">
            <v>賴慶樺</v>
          </cell>
          <cell r="N1447">
            <v>46185</v>
          </cell>
          <cell r="P1447">
            <v>30</v>
          </cell>
        </row>
        <row r="1448">
          <cell r="A1448" t="str">
            <v>D260401R1</v>
          </cell>
          <cell r="J1448" t="str">
            <v>賴慶樺</v>
          </cell>
          <cell r="N1448">
            <v>46185</v>
          </cell>
          <cell r="P1448">
            <v>30</v>
          </cell>
        </row>
        <row r="1449">
          <cell r="A1449" t="str">
            <v>D260402R1</v>
          </cell>
          <cell r="J1449" t="str">
            <v>賴慶樺</v>
          </cell>
          <cell r="N1449">
            <v>46265</v>
          </cell>
          <cell r="P1449">
            <v>60</v>
          </cell>
        </row>
        <row r="1450">
          <cell r="A1450" t="str">
            <v>D260402R1</v>
          </cell>
          <cell r="J1450" t="str">
            <v>賴慶樺</v>
          </cell>
          <cell r="N1450">
            <v>46251</v>
          </cell>
          <cell r="P1450">
            <v>80</v>
          </cell>
        </row>
        <row r="1451">
          <cell r="A1451" t="str">
            <v>D260403R1</v>
          </cell>
          <cell r="J1451" t="str">
            <v>蘇漢城</v>
          </cell>
          <cell r="N1451">
            <v>46171</v>
          </cell>
          <cell r="P1451">
            <v>40</v>
          </cell>
        </row>
        <row r="1452">
          <cell r="A1452" t="str">
            <v>D260501R1</v>
          </cell>
          <cell r="J1452">
            <v>0</v>
          </cell>
          <cell r="N1452">
            <v>46167</v>
          </cell>
          <cell r="P1452">
            <v>0</v>
          </cell>
        </row>
        <row r="1453">
          <cell r="A1453" t="str">
            <v>D260501R1</v>
          </cell>
          <cell r="J1453" t="str">
            <v>陳俊儒</v>
          </cell>
          <cell r="N1453">
            <v>46167</v>
          </cell>
          <cell r="P1453">
            <v>8</v>
          </cell>
        </row>
        <row r="1454">
          <cell r="A1454" t="str">
            <v>D260502R1</v>
          </cell>
          <cell r="J1454">
            <v>0</v>
          </cell>
          <cell r="N1454">
            <v>46169</v>
          </cell>
          <cell r="P1454">
            <v>8</v>
          </cell>
        </row>
        <row r="1455">
          <cell r="A1455" t="str">
            <v>M260401C1</v>
          </cell>
          <cell r="J1455" t="str">
            <v>賴慶樺</v>
          </cell>
          <cell r="N1455">
            <v>46185</v>
          </cell>
          <cell r="P1455">
            <v>45</v>
          </cell>
        </row>
        <row r="1456">
          <cell r="A1456" t="str">
            <v>D260501R1</v>
          </cell>
          <cell r="J1456" t="str">
            <v>陳俊儒</v>
          </cell>
          <cell r="N1456">
            <v>46168</v>
          </cell>
          <cell r="P1456">
            <v>8</v>
          </cell>
        </row>
        <row r="1457">
          <cell r="A1457" t="str">
            <v>D260502R1</v>
          </cell>
          <cell r="J1457">
            <v>0</v>
          </cell>
          <cell r="N1457">
            <v>46174</v>
          </cell>
          <cell r="P1457">
            <v>24</v>
          </cell>
        </row>
        <row r="1458">
          <cell r="A1458" t="str">
            <v>G260401I1</v>
          </cell>
          <cell r="J1458" t="str">
            <v>羅友彥</v>
          </cell>
          <cell r="N1458">
            <v>46168</v>
          </cell>
          <cell r="P1458">
            <v>0</v>
          </cell>
        </row>
        <row r="1459">
          <cell r="A1459" t="str">
            <v>M260302R1</v>
          </cell>
          <cell r="J1459" t="str">
            <v>賴慶樺</v>
          </cell>
          <cell r="N1459">
            <v>46196</v>
          </cell>
          <cell r="P1459">
            <v>30</v>
          </cell>
        </row>
        <row r="1460">
          <cell r="A1460" t="str">
            <v>D260404R1</v>
          </cell>
          <cell r="J1460">
            <v>0</v>
          </cell>
          <cell r="N1460">
            <v>46169</v>
          </cell>
          <cell r="P1460">
            <v>4</v>
          </cell>
        </row>
        <row r="1461">
          <cell r="A1461" t="str">
            <v>D260406R1</v>
          </cell>
          <cell r="J1461">
            <v>0</v>
          </cell>
          <cell r="N1461">
            <v>46169</v>
          </cell>
          <cell r="P1461">
            <v>0</v>
          </cell>
        </row>
        <row r="1462">
          <cell r="A1462" t="str">
            <v>D260501R1</v>
          </cell>
          <cell r="J1462" t="str">
            <v>陳俊儒</v>
          </cell>
          <cell r="N1462">
            <v>46169</v>
          </cell>
          <cell r="P1462">
            <v>8</v>
          </cell>
        </row>
        <row r="1463">
          <cell r="A1463" t="str">
            <v>G260401I1</v>
          </cell>
          <cell r="J1463" t="str">
            <v>羅友彥</v>
          </cell>
          <cell r="N1463">
            <v>46169</v>
          </cell>
          <cell r="P1463">
            <v>0</v>
          </cell>
        </row>
        <row r="1464">
          <cell r="A1464" t="str">
            <v>M260302R1</v>
          </cell>
          <cell r="J1464" t="str">
            <v>王琇眉</v>
          </cell>
          <cell r="N1464">
            <v>46197</v>
          </cell>
          <cell r="P1464">
            <v>30</v>
          </cell>
        </row>
        <row r="1465">
          <cell r="A1465" t="str">
            <v>D260404R1</v>
          </cell>
          <cell r="J1465">
            <v>0</v>
          </cell>
          <cell r="N1465">
            <v>46170</v>
          </cell>
          <cell r="P1465">
            <v>4</v>
          </cell>
        </row>
        <row r="1466">
          <cell r="A1466" t="str">
            <v>D260404R1</v>
          </cell>
          <cell r="J1466">
            <v>0</v>
          </cell>
          <cell r="N1466">
            <v>46170</v>
          </cell>
          <cell r="P1466">
            <v>0</v>
          </cell>
        </row>
        <row r="1467">
          <cell r="A1467" t="str">
            <v>D260406R1</v>
          </cell>
          <cell r="J1467">
            <v>0</v>
          </cell>
          <cell r="N1467">
            <v>46171</v>
          </cell>
          <cell r="P1467">
            <v>10</v>
          </cell>
        </row>
        <row r="1468">
          <cell r="A1468" t="str">
            <v>D260501R1</v>
          </cell>
          <cell r="J1468" t="str">
            <v>陳俊儒</v>
          </cell>
          <cell r="N1468">
            <v>46170</v>
          </cell>
          <cell r="P1468">
            <v>8</v>
          </cell>
        </row>
        <row r="1469">
          <cell r="A1469" t="str">
            <v>K251101R1</v>
          </cell>
          <cell r="J1469" t="str">
            <v>周家儀</v>
          </cell>
          <cell r="N1469">
            <v>46203</v>
          </cell>
          <cell r="P1469">
            <v>184</v>
          </cell>
        </row>
        <row r="1470">
          <cell r="A1470" t="str">
            <v>K251101R1</v>
          </cell>
          <cell r="J1470" t="str">
            <v>魏暉恩</v>
          </cell>
          <cell r="N1470">
            <v>46212</v>
          </cell>
          <cell r="P1470">
            <v>240</v>
          </cell>
        </row>
        <row r="1471">
          <cell r="A1471" t="str">
            <v>K251101R1</v>
          </cell>
          <cell r="J1471" t="str">
            <v>魏暉恩</v>
          </cell>
          <cell r="N1471">
            <v>46176</v>
          </cell>
          <cell r="P1471">
            <v>40</v>
          </cell>
        </row>
        <row r="1472">
          <cell r="A1472" t="str">
            <v>K251101R1</v>
          </cell>
          <cell r="J1472" t="str">
            <v>魏暉恩</v>
          </cell>
          <cell r="N1472">
            <v>46176</v>
          </cell>
          <cell r="P1472">
            <v>40</v>
          </cell>
        </row>
        <row r="1473">
          <cell r="A1473" t="str">
            <v>K251101R1</v>
          </cell>
          <cell r="J1473" t="str">
            <v>魏暉恩</v>
          </cell>
          <cell r="N1473">
            <v>46176</v>
          </cell>
          <cell r="P1473">
            <v>40</v>
          </cell>
        </row>
        <row r="1474">
          <cell r="A1474" t="str">
            <v>K251101R1</v>
          </cell>
          <cell r="J1474" t="str">
            <v>魏暉恩</v>
          </cell>
          <cell r="N1474">
            <v>46176</v>
          </cell>
          <cell r="P1474">
            <v>40</v>
          </cell>
        </row>
        <row r="1475">
          <cell r="A1475" t="str">
            <v>D260401R1</v>
          </cell>
          <cell r="J1475" t="str">
            <v>賴慶樺</v>
          </cell>
          <cell r="N1475">
            <v>46171</v>
          </cell>
          <cell r="P1475">
            <v>0</v>
          </cell>
        </row>
        <row r="1476">
          <cell r="A1476" t="str">
            <v>D260501R1</v>
          </cell>
          <cell r="J1476" t="str">
            <v>黃胤綸</v>
          </cell>
          <cell r="N1476">
            <v>46171</v>
          </cell>
          <cell r="P1476">
            <v>4</v>
          </cell>
        </row>
        <row r="1477">
          <cell r="A1477" t="str">
            <v>D260502R1</v>
          </cell>
          <cell r="J1477">
            <v>0</v>
          </cell>
          <cell r="N1477">
            <v>46184</v>
          </cell>
          <cell r="P1477">
            <v>40</v>
          </cell>
        </row>
        <row r="1478">
          <cell r="A1478" t="str">
            <v>G260401I1</v>
          </cell>
          <cell r="J1478" t="str">
            <v>羅友彥</v>
          </cell>
          <cell r="N1478">
            <v>46171</v>
          </cell>
          <cell r="P1478">
            <v>0</v>
          </cell>
        </row>
        <row r="1479">
          <cell r="A1479" t="str">
            <v>D260401R1</v>
          </cell>
          <cell r="J1479" t="str">
            <v>王琇眉</v>
          </cell>
          <cell r="N1479">
            <v>46185</v>
          </cell>
          <cell r="P1479">
            <v>20</v>
          </cell>
        </row>
        <row r="1480">
          <cell r="A1480" t="str">
            <v>D260401R1</v>
          </cell>
          <cell r="J1480" t="str">
            <v>王琇眉</v>
          </cell>
          <cell r="N1480">
            <v>46195</v>
          </cell>
          <cell r="P1480">
            <v>20</v>
          </cell>
        </row>
        <row r="1481">
          <cell r="A1481" t="str">
            <v>D260401R1</v>
          </cell>
          <cell r="J1481" t="str">
            <v>王琇眉</v>
          </cell>
          <cell r="N1481">
            <v>46195</v>
          </cell>
          <cell r="P1481">
            <v>20</v>
          </cell>
        </row>
        <row r="1482">
          <cell r="A1482" t="str">
            <v>D260401R1</v>
          </cell>
          <cell r="J1482" t="str">
            <v>賴慶樺</v>
          </cell>
          <cell r="N1482">
            <v>46178</v>
          </cell>
          <cell r="P1482">
            <v>10</v>
          </cell>
        </row>
        <row r="1483">
          <cell r="A1483" t="str">
            <v>D260401R1</v>
          </cell>
          <cell r="J1483" t="str">
            <v>賴慶樺</v>
          </cell>
          <cell r="N1483">
            <v>46209</v>
          </cell>
          <cell r="P1483">
            <v>45</v>
          </cell>
        </row>
        <row r="1484">
          <cell r="A1484" t="str">
            <v>D260403R1</v>
          </cell>
          <cell r="J1484" t="str">
            <v>蕭金椿</v>
          </cell>
          <cell r="N1484">
            <v>46178</v>
          </cell>
          <cell r="P1484">
            <v>40</v>
          </cell>
        </row>
        <row r="1485">
          <cell r="A1485" t="str">
            <v>D260403R1</v>
          </cell>
          <cell r="J1485" t="str">
            <v>李奕澔</v>
          </cell>
          <cell r="N1485">
            <v>46178</v>
          </cell>
          <cell r="P1485">
            <v>40</v>
          </cell>
        </row>
        <row r="1486">
          <cell r="A1486" t="str">
            <v>D260403R1</v>
          </cell>
          <cell r="J1486" t="str">
            <v>鄭珅易</v>
          </cell>
          <cell r="N1486">
            <v>46178</v>
          </cell>
          <cell r="P1486">
            <v>40</v>
          </cell>
        </row>
        <row r="1487">
          <cell r="A1487" t="str">
            <v>D260403R1</v>
          </cell>
          <cell r="J1487" t="str">
            <v>蘇漢城</v>
          </cell>
          <cell r="N1487">
            <v>46178</v>
          </cell>
          <cell r="P1487">
            <v>40</v>
          </cell>
        </row>
        <row r="1488">
          <cell r="A1488" t="str">
            <v>D260406R1</v>
          </cell>
          <cell r="J1488">
            <v>0</v>
          </cell>
          <cell r="N1488">
            <v>46202</v>
          </cell>
          <cell r="P1488">
            <v>40</v>
          </cell>
        </row>
        <row r="1489">
          <cell r="A1489" t="str">
            <v>D260406R1</v>
          </cell>
          <cell r="J1489">
            <v>0</v>
          </cell>
          <cell r="N1489">
            <v>46174</v>
          </cell>
          <cell r="P1489">
            <v>8</v>
          </cell>
        </row>
        <row r="1490">
          <cell r="A1490" t="str">
            <v>D260501R1</v>
          </cell>
          <cell r="J1490">
            <v>0</v>
          </cell>
          <cell r="N1490">
            <v>46185</v>
          </cell>
          <cell r="P1490">
            <v>80</v>
          </cell>
        </row>
        <row r="1491">
          <cell r="A1491" t="str">
            <v>M250301C1</v>
          </cell>
          <cell r="J1491" t="str">
            <v>陳俊儒</v>
          </cell>
          <cell r="N1491">
            <v>46185</v>
          </cell>
          <cell r="P1491">
            <v>16</v>
          </cell>
        </row>
        <row r="1492">
          <cell r="A1492" t="str">
            <v>D260406R1</v>
          </cell>
          <cell r="J1492">
            <v>0</v>
          </cell>
          <cell r="N1492">
            <v>46175</v>
          </cell>
          <cell r="P1492">
            <v>8</v>
          </cell>
        </row>
        <row r="1493">
          <cell r="A1493" t="str">
            <v>D260502R1</v>
          </cell>
          <cell r="J1493">
            <v>0</v>
          </cell>
          <cell r="N1493">
            <v>46177</v>
          </cell>
          <cell r="P1493">
            <v>16</v>
          </cell>
        </row>
        <row r="1494">
          <cell r="A1494" t="str">
            <v>M251201C2</v>
          </cell>
          <cell r="J1494">
            <v>0</v>
          </cell>
          <cell r="N1494">
            <v>46188</v>
          </cell>
          <cell r="P1494">
            <v>16</v>
          </cell>
        </row>
        <row r="1495">
          <cell r="A1495" t="str">
            <v>D260405R1</v>
          </cell>
          <cell r="J1495" t="str">
            <v>蘇哲弘</v>
          </cell>
          <cell r="N1495">
            <v>46176</v>
          </cell>
          <cell r="P1495">
            <v>0</v>
          </cell>
        </row>
        <row r="1496">
          <cell r="A1496" t="str">
            <v>D260406R1</v>
          </cell>
          <cell r="J1496">
            <v>0</v>
          </cell>
          <cell r="N1496">
            <v>46176</v>
          </cell>
          <cell r="P1496">
            <v>8</v>
          </cell>
        </row>
        <row r="1497">
          <cell r="A1497" t="str">
            <v>K250501R2</v>
          </cell>
          <cell r="J1497" t="str">
            <v>彭志豪</v>
          </cell>
          <cell r="N1497">
            <v>46197</v>
          </cell>
          <cell r="P1497">
            <v>96</v>
          </cell>
        </row>
        <row r="1498">
          <cell r="A1498" t="str">
            <v>D260406R1</v>
          </cell>
          <cell r="J1498">
            <v>0</v>
          </cell>
          <cell r="N1498">
            <v>46177</v>
          </cell>
          <cell r="P1498">
            <v>8</v>
          </cell>
        </row>
        <row r="1499">
          <cell r="A1499" t="str">
            <v>K251101R1</v>
          </cell>
          <cell r="J1499" t="str">
            <v>魏暉恩</v>
          </cell>
          <cell r="N1499">
            <v>46212</v>
          </cell>
          <cell r="P1499">
            <v>200</v>
          </cell>
        </row>
        <row r="1500">
          <cell r="A1500" t="str">
            <v>D260403R1</v>
          </cell>
          <cell r="J1500" t="str">
            <v>張良琪</v>
          </cell>
          <cell r="N1500">
            <v>46178</v>
          </cell>
          <cell r="P1500">
            <v>0</v>
          </cell>
        </row>
        <row r="1501">
          <cell r="A1501" t="str">
            <v>D260406R1</v>
          </cell>
          <cell r="J1501">
            <v>0</v>
          </cell>
          <cell r="N1501">
            <v>46178</v>
          </cell>
          <cell r="P1501">
            <v>4</v>
          </cell>
        </row>
        <row r="1502">
          <cell r="A1502" t="str">
            <v>D260502R1</v>
          </cell>
          <cell r="J1502">
            <v>0</v>
          </cell>
          <cell r="N1502">
            <v>46241</v>
          </cell>
          <cell r="P1502">
            <v>16</v>
          </cell>
        </row>
        <row r="1503">
          <cell r="A1503" t="str">
            <v>K251001R1</v>
          </cell>
          <cell r="J1503" t="str">
            <v>陳義雄</v>
          </cell>
          <cell r="N1503">
            <v>46184</v>
          </cell>
          <cell r="P1503">
            <v>40</v>
          </cell>
        </row>
        <row r="1504">
          <cell r="A1504" t="str">
            <v>K251001R1</v>
          </cell>
          <cell r="J1504" t="str">
            <v>陳義雄</v>
          </cell>
          <cell r="N1504">
            <v>46184</v>
          </cell>
          <cell r="P1504">
            <v>40</v>
          </cell>
        </row>
        <row r="1505">
          <cell r="A1505" t="str">
            <v>M240703P1</v>
          </cell>
          <cell r="J1505" t="str">
            <v>彭志豪</v>
          </cell>
          <cell r="N1505">
            <v>46184</v>
          </cell>
          <cell r="P1505">
            <v>35</v>
          </cell>
        </row>
        <row r="1506">
          <cell r="A1506" t="str">
            <v>D260403R1</v>
          </cell>
          <cell r="J1506" t="str">
            <v>張良琪</v>
          </cell>
          <cell r="N1506">
            <v>46181</v>
          </cell>
          <cell r="P1506">
            <v>0</v>
          </cell>
        </row>
        <row r="1507">
          <cell r="A1507" t="str">
            <v>D260403R1</v>
          </cell>
          <cell r="J1507" t="str">
            <v>蕭金椿</v>
          </cell>
          <cell r="N1507">
            <v>46181</v>
          </cell>
          <cell r="P1507">
            <v>0</v>
          </cell>
        </row>
        <row r="1508">
          <cell r="A1508" t="str">
            <v>D260403R1</v>
          </cell>
          <cell r="J1508" t="str">
            <v>鄭珅易</v>
          </cell>
          <cell r="N1508">
            <v>46183</v>
          </cell>
          <cell r="P1508">
            <v>24</v>
          </cell>
        </row>
        <row r="1509">
          <cell r="A1509" t="str">
            <v>D260403R1</v>
          </cell>
          <cell r="J1509" t="str">
            <v>蘇漢城</v>
          </cell>
          <cell r="N1509">
            <v>46185</v>
          </cell>
          <cell r="P1509">
            <v>40</v>
          </cell>
        </row>
        <row r="1510">
          <cell r="A1510" t="str">
            <v>D260403R1</v>
          </cell>
          <cell r="J1510" t="str">
            <v>鄭貫中</v>
          </cell>
          <cell r="N1510">
            <v>46183</v>
          </cell>
          <cell r="P1510">
            <v>24</v>
          </cell>
        </row>
        <row r="1511">
          <cell r="A1511" t="str">
            <v>D260406R1</v>
          </cell>
          <cell r="J1511">
            <v>0</v>
          </cell>
          <cell r="N1511">
            <v>46195</v>
          </cell>
          <cell r="P1511">
            <v>80</v>
          </cell>
        </row>
        <row r="1512">
          <cell r="A1512" t="str">
            <v>D260403R1</v>
          </cell>
          <cell r="J1512" t="str">
            <v>張良琪</v>
          </cell>
          <cell r="N1512">
            <v>46183</v>
          </cell>
          <cell r="P1512">
            <v>0</v>
          </cell>
        </row>
        <row r="1513">
          <cell r="A1513" t="str">
            <v>D260403R1</v>
          </cell>
          <cell r="J1513" t="str">
            <v>鄭貫中</v>
          </cell>
          <cell r="N1513">
            <v>46190</v>
          </cell>
          <cell r="P1513">
            <v>40</v>
          </cell>
        </row>
        <row r="1514">
          <cell r="A1514" t="str">
            <v>D260502R1</v>
          </cell>
          <cell r="J1514">
            <v>0</v>
          </cell>
          <cell r="N1514">
            <v>46184</v>
          </cell>
          <cell r="P1514">
            <v>0</v>
          </cell>
        </row>
        <row r="1515">
          <cell r="A1515" t="str">
            <v>D260401R1</v>
          </cell>
          <cell r="J1515" t="str">
            <v>賴慶樺</v>
          </cell>
          <cell r="N1515">
            <v>46185</v>
          </cell>
          <cell r="P1515">
            <v>0</v>
          </cell>
        </row>
        <row r="1516">
          <cell r="A1516" t="str">
            <v>D260403R1</v>
          </cell>
          <cell r="J1516" t="str">
            <v>張良琪</v>
          </cell>
          <cell r="N1516">
            <v>46185</v>
          </cell>
          <cell r="P1516">
            <v>0</v>
          </cell>
        </row>
        <row r="1517">
          <cell r="A1517" t="str">
            <v>K251001R1</v>
          </cell>
          <cell r="J1517" t="str">
            <v>王瀚霆</v>
          </cell>
          <cell r="N1517">
            <v>46197</v>
          </cell>
          <cell r="P1517">
            <v>24</v>
          </cell>
        </row>
        <row r="1518">
          <cell r="A1518" t="str">
            <v>M240703P1</v>
          </cell>
          <cell r="J1518" t="str">
            <v>蘇漢城</v>
          </cell>
          <cell r="N1518">
            <v>46191</v>
          </cell>
          <cell r="P1518">
            <v>35</v>
          </cell>
        </row>
        <row r="1519">
          <cell r="A1519" t="str">
            <v>D260501R1</v>
          </cell>
          <cell r="J1519">
            <v>0</v>
          </cell>
          <cell r="N1519">
            <v>46188</v>
          </cell>
          <cell r="P1519">
            <v>4</v>
          </cell>
        </row>
        <row r="1520">
          <cell r="A1520" t="str">
            <v>D260402R1</v>
          </cell>
          <cell r="J1520" t="str">
            <v>賴慶樺</v>
          </cell>
          <cell r="N1520">
            <v>46189</v>
          </cell>
          <cell r="P1520">
            <v>0</v>
          </cell>
        </row>
        <row r="1521">
          <cell r="A1521" t="str">
            <v>D260501R1</v>
          </cell>
          <cell r="J1521" t="str">
            <v>黃胤綸</v>
          </cell>
          <cell r="N1521">
            <v>46189</v>
          </cell>
          <cell r="P1521">
            <v>4</v>
          </cell>
        </row>
        <row r="1522">
          <cell r="A1522" t="str">
            <v>D260501R1</v>
          </cell>
          <cell r="J1522">
            <v>0</v>
          </cell>
          <cell r="N1522">
            <v>46189</v>
          </cell>
          <cell r="P1522">
            <v>0</v>
          </cell>
        </row>
        <row r="1523">
          <cell r="A1523" t="str">
            <v>M250301C1</v>
          </cell>
          <cell r="J1523" t="str">
            <v>陳威諭</v>
          </cell>
          <cell r="N1523">
            <v>46190</v>
          </cell>
          <cell r="P1523">
            <v>4</v>
          </cell>
        </row>
        <row r="1524">
          <cell r="A1524" t="str">
            <v>M250301C1</v>
          </cell>
          <cell r="J1524" t="str">
            <v>陳威諭</v>
          </cell>
          <cell r="N1524">
            <v>46190</v>
          </cell>
          <cell r="P1524">
            <v>1</v>
          </cell>
        </row>
        <row r="1525">
          <cell r="A1525" t="str">
            <v>M260201R1</v>
          </cell>
          <cell r="J1525">
            <v>0</v>
          </cell>
          <cell r="N1525">
            <v>46197</v>
          </cell>
          <cell r="P1525">
            <v>20</v>
          </cell>
        </row>
        <row r="1526">
          <cell r="A1526" t="str">
            <v>D260403R1</v>
          </cell>
          <cell r="J1526" t="str">
            <v>鄭貫中</v>
          </cell>
          <cell r="N1526">
            <v>46196</v>
          </cell>
          <cell r="P1526">
            <v>24</v>
          </cell>
        </row>
        <row r="1527">
          <cell r="A1527" t="str">
            <v>D260502R1</v>
          </cell>
          <cell r="J1527">
            <v>0</v>
          </cell>
          <cell r="N1527">
            <v>46195</v>
          </cell>
          <cell r="P1527">
            <v>10</v>
          </cell>
        </row>
        <row r="1528">
          <cell r="A1528" t="str">
            <v>M251201C2</v>
          </cell>
          <cell r="J1528">
            <v>0</v>
          </cell>
          <cell r="N1528">
            <v>46191</v>
          </cell>
          <cell r="P1528">
            <v>4</v>
          </cell>
        </row>
        <row r="1529">
          <cell r="A1529" t="str">
            <v>M260201R1</v>
          </cell>
          <cell r="J1529">
            <v>0</v>
          </cell>
          <cell r="N1529">
            <v>46212</v>
          </cell>
          <cell r="P1529">
            <v>100</v>
          </cell>
        </row>
        <row r="1530">
          <cell r="A1530" t="str">
            <v>M260201R1</v>
          </cell>
          <cell r="J1530">
            <v>0</v>
          </cell>
          <cell r="N1530">
            <v>46212</v>
          </cell>
          <cell r="P1530">
            <v>100</v>
          </cell>
        </row>
        <row r="1531">
          <cell r="A1531" t="str">
            <v>D260401R1</v>
          </cell>
          <cell r="J1531" t="str">
            <v>賴慶樺</v>
          </cell>
          <cell r="N1531">
            <v>46195</v>
          </cell>
          <cell r="P1531">
            <v>0</v>
          </cell>
        </row>
        <row r="1532">
          <cell r="A1532" t="str">
            <v>D260406R1</v>
          </cell>
          <cell r="J1532">
            <v>0</v>
          </cell>
          <cell r="N1532">
            <v>46195</v>
          </cell>
          <cell r="P1532">
            <v>4</v>
          </cell>
        </row>
        <row r="1533">
          <cell r="A1533" t="str">
            <v>M240703P1</v>
          </cell>
          <cell r="J1533" t="str">
            <v>蘇漢城</v>
          </cell>
          <cell r="N1533">
            <v>46195</v>
          </cell>
          <cell r="P1533">
            <v>8</v>
          </cell>
        </row>
        <row r="1534">
          <cell r="A1534" t="str">
            <v>D260401R1</v>
          </cell>
          <cell r="J1534" t="str">
            <v>賴慶樺</v>
          </cell>
          <cell r="N1534">
            <v>46196</v>
          </cell>
          <cell r="P1534">
            <v>0</v>
          </cell>
        </row>
        <row r="1535">
          <cell r="A1535" t="str">
            <v>D260403R1</v>
          </cell>
          <cell r="J1535" t="str">
            <v>張良琪</v>
          </cell>
          <cell r="N1535">
            <v>46196</v>
          </cell>
          <cell r="P1535">
            <v>0</v>
          </cell>
        </row>
        <row r="1536">
          <cell r="A1536" t="str">
            <v>D260406R1</v>
          </cell>
          <cell r="J1536">
            <v>0</v>
          </cell>
          <cell r="N1536">
            <v>46196</v>
          </cell>
          <cell r="P1536">
            <v>4</v>
          </cell>
        </row>
        <row r="1537">
          <cell r="A1537" t="str">
            <v>D260406R1</v>
          </cell>
          <cell r="J1537">
            <v>0</v>
          </cell>
          <cell r="N1537">
            <v>46202</v>
          </cell>
          <cell r="P1537">
            <v>16</v>
          </cell>
        </row>
        <row r="1538">
          <cell r="A1538" t="str">
            <v>M240703P1</v>
          </cell>
          <cell r="J1538" t="str">
            <v>蘇漢城</v>
          </cell>
          <cell r="N1538">
            <v>46209</v>
          </cell>
          <cell r="P1538">
            <v>75</v>
          </cell>
        </row>
        <row r="1539">
          <cell r="A1539" t="str">
            <v>M260401C1</v>
          </cell>
          <cell r="J1539" t="str">
            <v>賴慶樺</v>
          </cell>
          <cell r="N1539">
            <v>46198</v>
          </cell>
          <cell r="P1539">
            <v>5</v>
          </cell>
        </row>
        <row r="1540">
          <cell r="A1540" t="str">
            <v>D260403R1</v>
          </cell>
          <cell r="J1540" t="str">
            <v>鄭珅易</v>
          </cell>
          <cell r="N1540">
            <v>46210</v>
          </cell>
          <cell r="P1540">
            <v>80</v>
          </cell>
        </row>
        <row r="1541">
          <cell r="A1541" t="str">
            <v>D260406R1</v>
          </cell>
          <cell r="J1541">
            <v>0</v>
          </cell>
          <cell r="N1541">
            <v>46197</v>
          </cell>
          <cell r="P1541">
            <v>4</v>
          </cell>
        </row>
        <row r="1542">
          <cell r="A1542" t="str">
            <v>D260406R1</v>
          </cell>
          <cell r="J1542">
            <v>0</v>
          </cell>
          <cell r="N1542">
            <v>46197</v>
          </cell>
          <cell r="P1542">
            <v>0</v>
          </cell>
        </row>
        <row r="1543">
          <cell r="A1543" t="str">
            <v>K250501R2</v>
          </cell>
          <cell r="J1543" t="str">
            <v>朱哲演</v>
          </cell>
          <cell r="N1543">
            <v>46218</v>
          </cell>
          <cell r="P1543">
            <v>80</v>
          </cell>
        </row>
        <row r="1544">
          <cell r="A1544" t="str">
            <v>K251001R1</v>
          </cell>
          <cell r="J1544" t="str">
            <v>王瀚霆</v>
          </cell>
          <cell r="N1544">
            <v>46198</v>
          </cell>
          <cell r="P1544">
            <v>3</v>
          </cell>
        </row>
        <row r="1545">
          <cell r="A1545" t="str">
            <v>D260502R1</v>
          </cell>
          <cell r="J1545">
            <v>0</v>
          </cell>
          <cell r="N1545">
            <v>46199</v>
          </cell>
          <cell r="P1545">
            <v>8</v>
          </cell>
        </row>
        <row r="1546">
          <cell r="A1546" t="str">
            <v>D260401R1</v>
          </cell>
          <cell r="J1546" t="str">
            <v>賴慶樺</v>
          </cell>
          <cell r="N1546">
            <v>46206</v>
          </cell>
          <cell r="P1546">
            <v>10</v>
          </cell>
        </row>
        <row r="1547">
          <cell r="A1547" t="str">
            <v>D260401R1</v>
          </cell>
          <cell r="J1547" t="str">
            <v>賴慶樺</v>
          </cell>
          <cell r="N1547">
            <v>46206</v>
          </cell>
          <cell r="P1547">
            <v>10</v>
          </cell>
        </row>
        <row r="1548">
          <cell r="A1548" t="str">
            <v>D260401R1</v>
          </cell>
          <cell r="J1548" t="str">
            <v>賴慶樺</v>
          </cell>
          <cell r="N1548">
            <v>46206</v>
          </cell>
          <cell r="P1548">
            <v>10</v>
          </cell>
        </row>
        <row r="1549">
          <cell r="A1549" t="str">
            <v>D260401R1</v>
          </cell>
          <cell r="J1549" t="str">
            <v>許慧芝</v>
          </cell>
          <cell r="N1549">
            <v>46206</v>
          </cell>
          <cell r="P1549">
            <v>10</v>
          </cell>
        </row>
        <row r="1550">
          <cell r="A1550" t="str">
            <v>D260401R1</v>
          </cell>
          <cell r="J1550" t="str">
            <v>賴慶樺</v>
          </cell>
          <cell r="N1550">
            <v>46202</v>
          </cell>
          <cell r="P1550">
            <v>0</v>
          </cell>
        </row>
        <row r="1551">
          <cell r="A1551" t="str">
            <v>D260406R1</v>
          </cell>
          <cell r="J1551">
            <v>0</v>
          </cell>
          <cell r="N1551">
            <v>46202</v>
          </cell>
          <cell r="P1551">
            <v>0</v>
          </cell>
        </row>
        <row r="1552">
          <cell r="A1552" t="str">
            <v>D260502R1</v>
          </cell>
          <cell r="J1552">
            <v>0</v>
          </cell>
          <cell r="N1552">
            <v>46202</v>
          </cell>
          <cell r="P1552">
            <v>8</v>
          </cell>
        </row>
        <row r="1553">
          <cell r="A1553" t="str">
            <v>D260502R1</v>
          </cell>
          <cell r="J1553">
            <v>0</v>
          </cell>
          <cell r="N1553">
            <v>46203</v>
          </cell>
          <cell r="P1553">
            <v>8</v>
          </cell>
        </row>
        <row r="1554">
          <cell r="A1554" t="str">
            <v>D260402R1</v>
          </cell>
          <cell r="J1554" t="str">
            <v>賴慶樺</v>
          </cell>
          <cell r="N1554">
            <v>46204</v>
          </cell>
          <cell r="P1554">
            <v>0</v>
          </cell>
        </row>
        <row r="1555">
          <cell r="A1555" t="str">
            <v>D260502R1</v>
          </cell>
          <cell r="J1555">
            <v>0</v>
          </cell>
          <cell r="N1555">
            <v>46204</v>
          </cell>
          <cell r="P1555">
            <v>8</v>
          </cell>
        </row>
        <row r="1556">
          <cell r="A1556" t="str">
            <v>D260502R1</v>
          </cell>
          <cell r="J1556">
            <v>0</v>
          </cell>
          <cell r="N1556">
            <v>46205</v>
          </cell>
          <cell r="P1556">
            <v>4</v>
          </cell>
        </row>
        <row r="1557">
          <cell r="A1557" t="str">
            <v>D260405R1</v>
          </cell>
          <cell r="J1557" t="str">
            <v>蘇哲弘</v>
          </cell>
          <cell r="N1557">
            <v>46206</v>
          </cell>
          <cell r="P1557">
            <v>0</v>
          </cell>
        </row>
        <row r="1558">
          <cell r="A1558" t="str">
            <v>D260502R1</v>
          </cell>
          <cell r="J1558">
            <v>0</v>
          </cell>
          <cell r="N1558">
            <v>46219</v>
          </cell>
          <cell r="P1558">
            <v>80</v>
          </cell>
        </row>
        <row r="1559">
          <cell r="A1559" t="str">
            <v>D260401R1</v>
          </cell>
          <cell r="J1559" t="str">
            <v>賴慶樺</v>
          </cell>
          <cell r="N1559">
            <v>46209</v>
          </cell>
          <cell r="P1559">
            <v>0</v>
          </cell>
        </row>
        <row r="1560">
          <cell r="A1560" t="str">
            <v>D260405R1</v>
          </cell>
          <cell r="J1560" t="str">
            <v>許博元</v>
          </cell>
          <cell r="N1560">
            <v>46240</v>
          </cell>
          <cell r="P1560">
            <v>0</v>
          </cell>
        </row>
        <row r="1561">
          <cell r="A1561" t="str">
            <v>D260405R1</v>
          </cell>
          <cell r="J1561" t="str">
            <v>蘇哲弘</v>
          </cell>
          <cell r="N1561">
            <v>46240</v>
          </cell>
          <cell r="P1561">
            <v>0</v>
          </cell>
        </row>
        <row r="1562">
          <cell r="A1562" t="str">
            <v>D260405R1</v>
          </cell>
          <cell r="J1562" t="str">
            <v>蘇哲弘</v>
          </cell>
          <cell r="N1562">
            <v>46209</v>
          </cell>
          <cell r="P1562">
            <v>0</v>
          </cell>
        </row>
        <row r="1563">
          <cell r="A1563" t="str">
            <v>M240703P1</v>
          </cell>
          <cell r="J1563" t="str">
            <v>余依錚</v>
          </cell>
          <cell r="N1563">
            <v>46212</v>
          </cell>
          <cell r="P1563">
            <v>20</v>
          </cell>
        </row>
        <row r="1564">
          <cell r="A1564" t="str">
            <v>D260403R1</v>
          </cell>
          <cell r="J1564" t="str">
            <v>王琇眉</v>
          </cell>
          <cell r="N1564">
            <v>46224</v>
          </cell>
          <cell r="P1564">
            <v>80</v>
          </cell>
        </row>
        <row r="1565">
          <cell r="A1565" t="str">
            <v>D260403R1</v>
          </cell>
          <cell r="J1565" t="str">
            <v>鄭珅易</v>
          </cell>
          <cell r="N1565">
            <v>46211</v>
          </cell>
          <cell r="P1565">
            <v>8</v>
          </cell>
        </row>
        <row r="1566">
          <cell r="A1566" t="str">
            <v>D260403R1</v>
          </cell>
          <cell r="J1566" t="str">
            <v>鄭珅易</v>
          </cell>
          <cell r="N1566">
            <v>46212</v>
          </cell>
          <cell r="P1566">
            <v>8</v>
          </cell>
        </row>
        <row r="1567">
          <cell r="A1567" t="str">
            <v>D260403R1</v>
          </cell>
          <cell r="J1567" t="str">
            <v>鄭珅易</v>
          </cell>
          <cell r="N1567">
            <v>46213</v>
          </cell>
          <cell r="P1567">
            <v>8</v>
          </cell>
        </row>
        <row r="1568">
          <cell r="A1568" t="str">
            <v>K251101R1</v>
          </cell>
          <cell r="J1568" t="str">
            <v>魏暉恩</v>
          </cell>
          <cell r="N1568">
            <v>46245</v>
          </cell>
          <cell r="P1568">
            <v>184</v>
          </cell>
        </row>
        <row r="1569">
          <cell r="A1569" t="str">
            <v>K251101R1</v>
          </cell>
          <cell r="J1569" t="str">
            <v>葉宏政</v>
          </cell>
          <cell r="N1569">
            <v>46224</v>
          </cell>
          <cell r="P1569">
            <v>40</v>
          </cell>
        </row>
        <row r="1570">
          <cell r="A1570" t="str">
            <v>K251101R1</v>
          </cell>
          <cell r="J1570" t="str">
            <v>魏暉恩</v>
          </cell>
          <cell r="N1570">
            <v>46224</v>
          </cell>
          <cell r="P1570">
            <v>40</v>
          </cell>
        </row>
        <row r="1571">
          <cell r="A1571" t="str">
            <v>K251101R1</v>
          </cell>
          <cell r="J1571" t="str">
            <v>許慧芝</v>
          </cell>
          <cell r="N1571">
            <v>46224</v>
          </cell>
          <cell r="P1571">
            <v>40</v>
          </cell>
        </row>
        <row r="1572">
          <cell r="A1572" t="str">
            <v>K251101R1</v>
          </cell>
          <cell r="J1572" t="str">
            <v>魏暉恩</v>
          </cell>
          <cell r="N1572">
            <v>46224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46224</v>
          </cell>
          <cell r="P1573">
            <v>40</v>
          </cell>
        </row>
        <row r="1574">
          <cell r="A1574" t="str">
            <v>M240703P1</v>
          </cell>
          <cell r="J1574" t="str">
            <v>余依錚</v>
          </cell>
          <cell r="N1574">
            <v>46217</v>
          </cell>
          <cell r="P1574">
            <v>20</v>
          </cell>
        </row>
        <row r="1575">
          <cell r="A1575" t="str">
            <v>M260201R1</v>
          </cell>
          <cell r="J1575">
            <v>0</v>
          </cell>
          <cell r="N1575">
            <v>46219</v>
          </cell>
          <cell r="P1575">
            <v>40</v>
          </cell>
        </row>
        <row r="1576">
          <cell r="A1576" t="str">
            <v>M260201R1</v>
          </cell>
          <cell r="J1576">
            <v>0</v>
          </cell>
          <cell r="N1576">
            <v>46219</v>
          </cell>
          <cell r="P1576">
            <v>20</v>
          </cell>
        </row>
        <row r="1577">
          <cell r="A1577" t="str">
            <v>M260201R1</v>
          </cell>
          <cell r="J1577">
            <v>0</v>
          </cell>
          <cell r="N1577">
            <v>46219</v>
          </cell>
          <cell r="P1577">
            <v>20</v>
          </cell>
        </row>
        <row r="1578">
          <cell r="A1578" t="str">
            <v>M260201R1</v>
          </cell>
          <cell r="J1578">
            <v>0</v>
          </cell>
          <cell r="N1578">
            <v>46219</v>
          </cell>
          <cell r="P1578">
            <v>20</v>
          </cell>
        </row>
        <row r="1579">
          <cell r="A1579" t="str">
            <v>M260201R1</v>
          </cell>
          <cell r="J1579">
            <v>0</v>
          </cell>
          <cell r="N1579">
            <v>46219</v>
          </cell>
          <cell r="P1579">
            <v>40</v>
          </cell>
        </row>
        <row r="1580">
          <cell r="A1580" t="str">
            <v>M260201R1</v>
          </cell>
          <cell r="J1580">
            <v>0</v>
          </cell>
          <cell r="N1580">
            <v>46219</v>
          </cell>
          <cell r="P1580">
            <v>20</v>
          </cell>
        </row>
        <row r="1581">
          <cell r="A1581" t="str">
            <v>D260403R1</v>
          </cell>
          <cell r="J1581" t="str">
            <v>鄭珅易</v>
          </cell>
          <cell r="N1581">
            <v>46216</v>
          </cell>
          <cell r="P1581">
            <v>8</v>
          </cell>
        </row>
        <row r="1582">
          <cell r="A1582" t="str">
            <v>D260403R1</v>
          </cell>
          <cell r="J1582" t="str">
            <v>張良琪</v>
          </cell>
          <cell r="N1582">
            <v>46217</v>
          </cell>
          <cell r="P1582">
            <v>4</v>
          </cell>
        </row>
        <row r="1583">
          <cell r="A1583" t="str">
            <v>D260403R1</v>
          </cell>
          <cell r="J1583" t="str">
            <v>林俊伸</v>
          </cell>
          <cell r="N1583">
            <v>46231</v>
          </cell>
          <cell r="P1583">
            <v>80</v>
          </cell>
        </row>
        <row r="1584">
          <cell r="A1584" t="str">
            <v>K250501R2</v>
          </cell>
          <cell r="J1584" t="str">
            <v>朱哲演</v>
          </cell>
          <cell r="N1584">
            <v>46223</v>
          </cell>
          <cell r="P1584">
            <v>4</v>
          </cell>
        </row>
        <row r="1585">
          <cell r="A1585" t="str">
            <v>K250501R2</v>
          </cell>
          <cell r="J1585" t="str">
            <v>鄭貫中</v>
          </cell>
          <cell r="N1585">
            <v>46225</v>
          </cell>
          <cell r="P1585">
            <v>16</v>
          </cell>
        </row>
        <row r="1586">
          <cell r="A1586" t="str">
            <v>K250501R2</v>
          </cell>
          <cell r="J1586" t="str">
            <v>鄭貫中</v>
          </cell>
          <cell r="N1586">
            <v>46239</v>
          </cell>
          <cell r="P1586">
            <v>8</v>
          </cell>
        </row>
        <row r="1587">
          <cell r="A1587" t="str">
            <v>K250501R2</v>
          </cell>
          <cell r="J1587" t="str">
            <v>鄭貫中</v>
          </cell>
          <cell r="N1587">
            <v>46239</v>
          </cell>
          <cell r="P1587">
            <v>8</v>
          </cell>
        </row>
        <row r="1588">
          <cell r="A1588" t="str">
            <v>K250501R2</v>
          </cell>
          <cell r="J1588" t="str">
            <v>鄭貫中</v>
          </cell>
          <cell r="N1588">
            <v>46239</v>
          </cell>
          <cell r="P1588">
            <v>8</v>
          </cell>
        </row>
        <row r="1589">
          <cell r="A1589" t="str">
            <v>K250501R2</v>
          </cell>
          <cell r="J1589" t="str">
            <v>鄭貫中</v>
          </cell>
          <cell r="N1589">
            <v>46239</v>
          </cell>
          <cell r="P1589">
            <v>8</v>
          </cell>
        </row>
        <row r="1590">
          <cell r="A1590" t="str">
            <v>K250501R2</v>
          </cell>
          <cell r="J1590" t="str">
            <v>鄭貫中</v>
          </cell>
          <cell r="N1590">
            <v>46239</v>
          </cell>
          <cell r="P1590">
            <v>32</v>
          </cell>
        </row>
        <row r="1591">
          <cell r="A1591" t="str">
            <v>D260502R1</v>
          </cell>
          <cell r="J1591">
            <v>0</v>
          </cell>
          <cell r="N1591">
            <v>46220</v>
          </cell>
          <cell r="P1591">
            <v>4</v>
          </cell>
        </row>
        <row r="1592">
          <cell r="A1592" t="str">
            <v>M260201R1</v>
          </cell>
          <cell r="J1592">
            <v>0</v>
          </cell>
          <cell r="N1592">
            <v>46226</v>
          </cell>
          <cell r="P1592">
            <v>40</v>
          </cell>
        </row>
        <row r="1593">
          <cell r="A1593" t="str">
            <v>D260502R1</v>
          </cell>
          <cell r="J1593">
            <v>0</v>
          </cell>
          <cell r="N1593">
            <v>46223</v>
          </cell>
          <cell r="P1593">
            <v>4</v>
          </cell>
        </row>
        <row r="1594">
          <cell r="A1594" t="str">
            <v>D260502R1</v>
          </cell>
          <cell r="J1594">
            <v>0</v>
          </cell>
          <cell r="N1594">
            <v>46223</v>
          </cell>
          <cell r="P1594">
            <v>0</v>
          </cell>
        </row>
        <row r="1595">
          <cell r="A1595" t="str">
            <v>K250501R2</v>
          </cell>
          <cell r="J1595" t="str">
            <v>周家儀</v>
          </cell>
          <cell r="N1595">
            <v>46254</v>
          </cell>
          <cell r="P1595">
            <v>5</v>
          </cell>
        </row>
        <row r="1596">
          <cell r="A1596" t="str">
            <v>K250501R2</v>
          </cell>
          <cell r="J1596" t="str">
            <v>鄭貫中</v>
          </cell>
          <cell r="N1596">
            <v>46279</v>
          </cell>
          <cell r="P1596">
            <v>160</v>
          </cell>
        </row>
        <row r="1597">
          <cell r="A1597" t="str">
            <v>M260201R1</v>
          </cell>
          <cell r="J1597">
            <v>0</v>
          </cell>
          <cell r="N1597">
            <v>46227</v>
          </cell>
          <cell r="P1597">
            <v>8</v>
          </cell>
        </row>
        <row r="1598">
          <cell r="A1598" t="str">
            <v>D260403R1</v>
          </cell>
          <cell r="J1598" t="str">
            <v>林俊伸</v>
          </cell>
          <cell r="N1598">
            <v>46232</v>
          </cell>
          <cell r="P1598">
            <v>4</v>
          </cell>
        </row>
        <row r="1599">
          <cell r="A1599" t="str">
            <v>D260403R1</v>
          </cell>
          <cell r="J1599" t="str">
            <v>張良琪</v>
          </cell>
          <cell r="N1599">
            <v>46233</v>
          </cell>
          <cell r="P1599">
            <v>4</v>
          </cell>
        </row>
        <row r="1600">
          <cell r="A1600" t="str">
            <v>D260403R1</v>
          </cell>
          <cell r="J1600">
            <v>0</v>
          </cell>
          <cell r="N1600">
            <v>46233</v>
          </cell>
          <cell r="P1600">
            <v>0</v>
          </cell>
        </row>
        <row r="1601">
          <cell r="A1601" t="str">
            <v>K250501R2</v>
          </cell>
          <cell r="J1601" t="str">
            <v>許慧芝</v>
          </cell>
          <cell r="N1601">
            <v>46251</v>
          </cell>
          <cell r="P1601">
            <v>10</v>
          </cell>
        </row>
        <row r="1602">
          <cell r="A1602" t="str">
            <v>K250501R2</v>
          </cell>
          <cell r="J1602" t="str">
            <v>鄭貫中</v>
          </cell>
          <cell r="N1602">
            <v>46251</v>
          </cell>
          <cell r="P1602">
            <v>24</v>
          </cell>
        </row>
        <row r="1603">
          <cell r="A1603" t="str">
            <v>K250501R2</v>
          </cell>
          <cell r="J1603" t="str">
            <v>許慧芝</v>
          </cell>
          <cell r="N1603">
            <v>46251</v>
          </cell>
          <cell r="P1603">
            <v>4</v>
          </cell>
        </row>
        <row r="1604">
          <cell r="A1604" t="str">
            <v>D260405R1</v>
          </cell>
          <cell r="J1604" t="str">
            <v>蘇哲弘</v>
          </cell>
          <cell r="N1604">
            <v>46241</v>
          </cell>
          <cell r="P1604">
            <v>8</v>
          </cell>
        </row>
        <row r="1605">
          <cell r="A1605" t="str">
            <v>D260405R1</v>
          </cell>
          <cell r="J1605" t="str">
            <v>蘇哲弘</v>
          </cell>
          <cell r="N1605">
            <v>46244</v>
          </cell>
          <cell r="P1605">
            <v>8</v>
          </cell>
        </row>
        <row r="1606">
          <cell r="A1606" t="str">
            <v>D260502R1</v>
          </cell>
          <cell r="J1606">
            <v>0</v>
          </cell>
          <cell r="N1606">
            <v>46244</v>
          </cell>
          <cell r="P1606">
            <v>4</v>
          </cell>
        </row>
        <row r="1607">
          <cell r="A1607" t="str">
            <v>D260405R1</v>
          </cell>
          <cell r="J1607" t="str">
            <v>蘇哲弘</v>
          </cell>
          <cell r="N1607">
            <v>46245</v>
          </cell>
          <cell r="P1607">
            <v>8</v>
          </cell>
        </row>
        <row r="1608">
          <cell r="A1608" t="str">
            <v>D260502R1</v>
          </cell>
          <cell r="J1608">
            <v>0</v>
          </cell>
          <cell r="N1608">
            <v>46251</v>
          </cell>
          <cell r="P1608">
            <v>16</v>
          </cell>
        </row>
        <row r="1609">
          <cell r="A1609" t="str">
            <v>D260405R1</v>
          </cell>
          <cell r="J1609" t="str">
            <v>蘇哲弘</v>
          </cell>
          <cell r="N1609">
            <v>46246</v>
          </cell>
          <cell r="P1609">
            <v>8</v>
          </cell>
        </row>
        <row r="1610">
          <cell r="A1610" t="str">
            <v>K251101R1</v>
          </cell>
          <cell r="J1610" t="str">
            <v>魏暉恩</v>
          </cell>
          <cell r="N1610">
            <v>46255</v>
          </cell>
          <cell r="P1610">
            <v>40</v>
          </cell>
        </row>
        <row r="1611">
          <cell r="A1611" t="str">
            <v>D260405R1</v>
          </cell>
          <cell r="J1611" t="str">
            <v>蘇哲弘</v>
          </cell>
          <cell r="N1611">
            <v>46247</v>
          </cell>
          <cell r="P1611">
            <v>4</v>
          </cell>
        </row>
        <row r="1612">
          <cell r="A1612" t="str">
            <v>D260405R1</v>
          </cell>
          <cell r="J1612" t="str">
            <v>蘇哲弘</v>
          </cell>
          <cell r="N1612">
            <v>46261</v>
          </cell>
          <cell r="P1612">
            <v>80</v>
          </cell>
        </row>
        <row r="1613">
          <cell r="A1613" t="str">
            <v>D260402R1</v>
          </cell>
          <cell r="J1613" t="str">
            <v>賴慶樺</v>
          </cell>
          <cell r="N1613">
            <v>46251</v>
          </cell>
          <cell r="P1613">
            <v>0</v>
          </cell>
        </row>
        <row r="1614">
          <cell r="A1614" t="str">
            <v>D260405R1</v>
          </cell>
          <cell r="J1614" t="str">
            <v>王琇眉</v>
          </cell>
          <cell r="N1614">
            <v>46265</v>
          </cell>
          <cell r="P1614">
            <v>88</v>
          </cell>
        </row>
        <row r="1615">
          <cell r="A1615" t="str">
            <v>D260502R1</v>
          </cell>
          <cell r="J1615">
            <v>0</v>
          </cell>
          <cell r="N1615">
            <v>46251</v>
          </cell>
          <cell r="P1615">
            <v>0</v>
          </cell>
        </row>
        <row r="1616">
          <cell r="A1616" t="str">
            <v>D260502R1</v>
          </cell>
          <cell r="J1616">
            <v>0</v>
          </cell>
          <cell r="N1616">
            <v>46279</v>
          </cell>
          <cell r="P1616">
            <v>40</v>
          </cell>
        </row>
        <row r="1617">
          <cell r="A1617" t="str">
            <v>K251101R1</v>
          </cell>
          <cell r="J1617" t="str">
            <v>魏暉恩</v>
          </cell>
          <cell r="N1617">
            <v>46258</v>
          </cell>
          <cell r="P1617">
            <v>8</v>
          </cell>
        </row>
        <row r="1618">
          <cell r="A1618" t="str">
            <v>D260405R1</v>
          </cell>
          <cell r="J1618" t="str">
            <v>蘇哲弘</v>
          </cell>
          <cell r="N1618">
            <v>46262</v>
          </cell>
          <cell r="P1618">
            <v>4</v>
          </cell>
        </row>
        <row r="1619">
          <cell r="A1619" t="str">
            <v>D260405R1</v>
          </cell>
          <cell r="J1619" t="str">
            <v>蘇哲弘</v>
          </cell>
          <cell r="N1619">
            <v>46265</v>
          </cell>
          <cell r="P1619">
            <v>0</v>
          </cell>
        </row>
        <row r="1620">
          <cell r="A1620" t="str">
            <v>D260405R1</v>
          </cell>
          <cell r="J1620" t="str">
            <v>蘇哲弘</v>
          </cell>
          <cell r="N1620">
            <v>46265</v>
          </cell>
          <cell r="P1620">
            <v>4</v>
          </cell>
        </row>
        <row r="1621">
          <cell r="A1621" t="str">
            <v>D260405R1</v>
          </cell>
          <cell r="J1621">
            <v>0</v>
          </cell>
          <cell r="N1621">
            <v>46265</v>
          </cell>
          <cell r="P1621">
            <v>0</v>
          </cell>
        </row>
        <row r="1622">
          <cell r="A1622" t="str">
            <v>D260502R1</v>
          </cell>
          <cell r="J1622">
            <v>0</v>
          </cell>
          <cell r="N1622">
            <v>46279</v>
          </cell>
          <cell r="P1622">
            <v>0</v>
          </cell>
        </row>
        <row r="1623">
          <cell r="A1623" t="str">
            <v>K250501R2</v>
          </cell>
          <cell r="J1623" t="str">
            <v>陳義雄</v>
          </cell>
          <cell r="N1623">
            <v>46302</v>
          </cell>
          <cell r="P1623">
            <v>120</v>
          </cell>
        </row>
        <row r="1624">
          <cell r="A1624" t="str">
            <v>K250501R2</v>
          </cell>
          <cell r="J1624" t="str">
            <v>陳義雄</v>
          </cell>
          <cell r="N1624">
            <v>46286</v>
          </cell>
          <cell r="P1624">
            <v>40</v>
          </cell>
        </row>
        <row r="1625">
          <cell r="A1625" t="str">
            <v>K250501R2</v>
          </cell>
          <cell r="J1625" t="str">
            <v>鄭貫中</v>
          </cell>
          <cell r="N1625">
            <v>46295</v>
          </cell>
          <cell r="P1625">
            <v>24</v>
          </cell>
        </row>
        <row r="1626">
          <cell r="A1626" t="str">
            <v>K250501R2</v>
          </cell>
          <cell r="J1626" t="str">
            <v>鄭貫中</v>
          </cell>
          <cell r="N1626">
            <v>46300</v>
          </cell>
          <cell r="P1626">
            <v>24</v>
          </cell>
        </row>
        <row r="1627">
          <cell r="A1627" t="str">
            <v>K250501R2</v>
          </cell>
          <cell r="J1627" t="str">
            <v>鄭貫中</v>
          </cell>
          <cell r="N1627">
            <v>46301</v>
          </cell>
          <cell r="P1627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陳俊儒</v>
          </cell>
          <cell r="F527" t="str">
            <v>K240101R1</v>
          </cell>
          <cell r="J527">
            <v>45471</v>
          </cell>
          <cell r="K527">
            <v>13.1</v>
          </cell>
        </row>
        <row r="528">
          <cell r="C528" t="str">
            <v>陳俊儒</v>
          </cell>
          <cell r="F528" t="str">
            <v>M240201R1</v>
          </cell>
          <cell r="J528">
            <v>45471</v>
          </cell>
          <cell r="K528">
            <v>19.7</v>
          </cell>
        </row>
        <row r="529">
          <cell r="C529" t="str">
            <v>陳俊儒</v>
          </cell>
          <cell r="F529" t="str">
            <v>D230801R1</v>
          </cell>
          <cell r="J529">
            <v>45471</v>
          </cell>
          <cell r="K529">
            <v>6.6</v>
          </cell>
        </row>
        <row r="530">
          <cell r="C530" t="str">
            <v>陳俊儒</v>
          </cell>
          <cell r="J530">
            <v>45471</v>
          </cell>
          <cell r="K530">
            <v>91.7</v>
          </cell>
        </row>
        <row r="531">
          <cell r="C531" t="str">
            <v>陳俊儒</v>
          </cell>
          <cell r="F531" t="str">
            <v>M221005R1</v>
          </cell>
          <cell r="J531">
            <v>45504</v>
          </cell>
          <cell r="K531">
            <v>32</v>
          </cell>
        </row>
        <row r="532">
          <cell r="C532" t="str">
            <v>陳俊儒</v>
          </cell>
          <cell r="F532" t="str">
            <v>M221005R2</v>
          </cell>
          <cell r="J532">
            <v>45504</v>
          </cell>
          <cell r="K532">
            <v>8</v>
          </cell>
        </row>
        <row r="533">
          <cell r="C533" t="str">
            <v>陳俊儒</v>
          </cell>
          <cell r="F533" t="str">
            <v>D230801R1</v>
          </cell>
          <cell r="J533">
            <v>45504</v>
          </cell>
          <cell r="K533">
            <v>8</v>
          </cell>
        </row>
        <row r="534">
          <cell r="C534" t="str">
            <v>陳俊儒</v>
          </cell>
          <cell r="J534">
            <v>45504</v>
          </cell>
          <cell r="K534">
            <v>112</v>
          </cell>
        </row>
        <row r="535">
          <cell r="C535" t="str">
            <v>陳俊儒</v>
          </cell>
          <cell r="J535">
            <v>45534</v>
          </cell>
          <cell r="K535">
            <v>149.30000000000001</v>
          </cell>
        </row>
        <row r="536">
          <cell r="C536" t="str">
            <v>陳俊儒</v>
          </cell>
          <cell r="F536" t="str">
            <v>M240201R1</v>
          </cell>
          <cell r="J536">
            <v>45534</v>
          </cell>
          <cell r="K536">
            <v>10</v>
          </cell>
        </row>
        <row r="537">
          <cell r="C537" t="str">
            <v>陳俊儒</v>
          </cell>
          <cell r="F537" t="str">
            <v>D230801R1</v>
          </cell>
          <cell r="J537">
            <v>45534</v>
          </cell>
          <cell r="K537">
            <v>10</v>
          </cell>
        </row>
        <row r="538">
          <cell r="C538" t="str">
            <v>陳俊儒</v>
          </cell>
          <cell r="F538" t="str">
            <v>K240101R1</v>
          </cell>
          <cell r="J538">
            <v>45534</v>
          </cell>
          <cell r="K538">
            <v>10</v>
          </cell>
        </row>
        <row r="539">
          <cell r="C539" t="str">
            <v>陳俊儒</v>
          </cell>
          <cell r="F539" t="str">
            <v>M240702R1</v>
          </cell>
          <cell r="J539">
            <v>45534</v>
          </cell>
          <cell r="K539">
            <v>19.899999999999999</v>
          </cell>
        </row>
        <row r="540">
          <cell r="C540" t="str">
            <v>陳俊儒</v>
          </cell>
          <cell r="F540" t="str">
            <v>F200201S1</v>
          </cell>
          <cell r="J540">
            <v>45562</v>
          </cell>
          <cell r="K540">
            <v>9.5</v>
          </cell>
        </row>
        <row r="541">
          <cell r="C541" t="str">
            <v>陳俊儒</v>
          </cell>
          <cell r="F541" t="str">
            <v>M240702R1</v>
          </cell>
          <cell r="J541">
            <v>45562</v>
          </cell>
          <cell r="K541">
            <v>9.5</v>
          </cell>
        </row>
        <row r="542">
          <cell r="C542" t="str">
            <v>陳俊儒</v>
          </cell>
          <cell r="F542" t="str">
            <v>M240201R1</v>
          </cell>
          <cell r="J542">
            <v>45562</v>
          </cell>
          <cell r="K542">
            <v>9.5</v>
          </cell>
        </row>
        <row r="543">
          <cell r="C543" t="str">
            <v>陳俊儒</v>
          </cell>
          <cell r="J543">
            <v>45562</v>
          </cell>
          <cell r="K543">
            <v>104.1</v>
          </cell>
        </row>
        <row r="544">
          <cell r="C544" t="str">
            <v>陳俊儒</v>
          </cell>
          <cell r="F544" t="str">
            <v>M240704R1</v>
          </cell>
          <cell r="J544">
            <v>45562</v>
          </cell>
          <cell r="K544">
            <v>56.8</v>
          </cell>
        </row>
        <row r="545">
          <cell r="C545" t="str">
            <v>陳俊儒</v>
          </cell>
          <cell r="F545" t="str">
            <v>F200201S1</v>
          </cell>
          <cell r="J545">
            <v>45596</v>
          </cell>
          <cell r="K545">
            <v>11.9</v>
          </cell>
        </row>
        <row r="546">
          <cell r="C546" t="str">
            <v>陳俊儒</v>
          </cell>
          <cell r="J546">
            <v>45596</v>
          </cell>
          <cell r="K546">
            <v>65.5</v>
          </cell>
        </row>
        <row r="547">
          <cell r="C547" t="str">
            <v>陳俊儒</v>
          </cell>
          <cell r="F547" t="str">
            <v>M240201R1</v>
          </cell>
          <cell r="J547">
            <v>45596</v>
          </cell>
          <cell r="K547">
            <v>6</v>
          </cell>
        </row>
        <row r="548">
          <cell r="C548" t="str">
            <v>陳俊儒</v>
          </cell>
          <cell r="F548" t="str">
            <v>M240704R1</v>
          </cell>
          <cell r="J548">
            <v>45596</v>
          </cell>
          <cell r="K548">
            <v>35.700000000000003</v>
          </cell>
        </row>
        <row r="549">
          <cell r="C549" t="str">
            <v>陳俊儒</v>
          </cell>
          <cell r="F549" t="str">
            <v>M240704R1</v>
          </cell>
          <cell r="J549">
            <v>45625</v>
          </cell>
          <cell r="K549">
            <v>56.7</v>
          </cell>
        </row>
        <row r="550">
          <cell r="C550" t="str">
            <v>陳俊儒</v>
          </cell>
          <cell r="F550" t="str">
            <v>D230801R1</v>
          </cell>
          <cell r="J550">
            <v>45625</v>
          </cell>
          <cell r="K550">
            <v>9.5</v>
          </cell>
        </row>
        <row r="551">
          <cell r="C551" t="str">
            <v>陳俊儒</v>
          </cell>
          <cell r="F551" t="str">
            <v>M240702R1</v>
          </cell>
          <cell r="J551">
            <v>45625</v>
          </cell>
          <cell r="K551">
            <v>9.5</v>
          </cell>
        </row>
        <row r="552">
          <cell r="C552" t="str">
            <v>陳俊儒</v>
          </cell>
          <cell r="F552" t="str">
            <v>F200201S1</v>
          </cell>
          <cell r="J552">
            <v>45625</v>
          </cell>
          <cell r="K552">
            <v>18.899999999999999</v>
          </cell>
        </row>
        <row r="553">
          <cell r="C553" t="str">
            <v>陳俊儒</v>
          </cell>
          <cell r="J553">
            <v>45625</v>
          </cell>
          <cell r="K553">
            <v>94.5</v>
          </cell>
        </row>
        <row r="554">
          <cell r="C554" t="str">
            <v>陳俊儒</v>
          </cell>
          <cell r="F554" t="str">
            <v>M240201R1</v>
          </cell>
          <cell r="J554">
            <v>45657</v>
          </cell>
          <cell r="K554">
            <v>5.6</v>
          </cell>
        </row>
        <row r="555">
          <cell r="C555" t="str">
            <v>陳俊儒</v>
          </cell>
          <cell r="F555" t="str">
            <v>M230606R1</v>
          </cell>
          <cell r="J555">
            <v>45657</v>
          </cell>
          <cell r="K555">
            <v>11.1</v>
          </cell>
        </row>
        <row r="556">
          <cell r="C556" t="str">
            <v>陳俊儒</v>
          </cell>
          <cell r="F556" t="str">
            <v>M240704R1</v>
          </cell>
          <cell r="J556">
            <v>45657</v>
          </cell>
          <cell r="K556">
            <v>22.2</v>
          </cell>
        </row>
        <row r="557">
          <cell r="C557" t="str">
            <v>陳俊儒</v>
          </cell>
          <cell r="F557" t="str">
            <v>M240702R1</v>
          </cell>
          <cell r="J557">
            <v>45657</v>
          </cell>
          <cell r="K557">
            <v>5.6</v>
          </cell>
        </row>
        <row r="558">
          <cell r="C558" t="str">
            <v>陳俊儒</v>
          </cell>
          <cell r="J558">
            <v>45657</v>
          </cell>
          <cell r="K558">
            <v>61.1</v>
          </cell>
        </row>
        <row r="559">
          <cell r="C559" t="str">
            <v>陳俊儒</v>
          </cell>
          <cell r="F559" t="str">
            <v>D230801R1</v>
          </cell>
          <cell r="J559">
            <v>45657</v>
          </cell>
          <cell r="K559">
            <v>5.6</v>
          </cell>
        </row>
        <row r="560">
          <cell r="C560" t="str">
            <v>陳俊儒</v>
          </cell>
          <cell r="J560">
            <v>45681</v>
          </cell>
          <cell r="K560">
            <v>54.8</v>
          </cell>
        </row>
        <row r="561">
          <cell r="C561" t="str">
            <v>陳俊儒</v>
          </cell>
          <cell r="F561" t="str">
            <v>D230801R1</v>
          </cell>
          <cell r="J561">
            <v>45681</v>
          </cell>
          <cell r="K561">
            <v>13.7</v>
          </cell>
        </row>
        <row r="562">
          <cell r="C562" t="str">
            <v>陳俊儒</v>
          </cell>
          <cell r="F562" t="str">
            <v>M240704R1</v>
          </cell>
          <cell r="J562">
            <v>45681</v>
          </cell>
          <cell r="K562">
            <v>54.8</v>
          </cell>
        </row>
        <row r="563">
          <cell r="C563" t="str">
            <v>陳俊儒</v>
          </cell>
          <cell r="F563" t="str">
            <v>M240702R1</v>
          </cell>
          <cell r="J563">
            <v>45681</v>
          </cell>
          <cell r="K563">
            <v>13.7</v>
          </cell>
        </row>
        <row r="564">
          <cell r="C564" t="str">
            <v>陳俊儒</v>
          </cell>
          <cell r="F564" t="str">
            <v>M240702R1</v>
          </cell>
          <cell r="J564">
            <v>45715</v>
          </cell>
          <cell r="K564">
            <v>8.5</v>
          </cell>
        </row>
        <row r="565">
          <cell r="C565" t="str">
            <v>陳俊儒</v>
          </cell>
          <cell r="F565" t="str">
            <v>E241002I1</v>
          </cell>
          <cell r="J565">
            <v>45715</v>
          </cell>
          <cell r="K565">
            <v>8.5</v>
          </cell>
        </row>
        <row r="566">
          <cell r="C566" t="str">
            <v>陳俊儒</v>
          </cell>
          <cell r="J566">
            <v>45715</v>
          </cell>
          <cell r="K566">
            <v>84.6</v>
          </cell>
        </row>
        <row r="567">
          <cell r="C567" t="str">
            <v>陳俊儒</v>
          </cell>
          <cell r="F567" t="str">
            <v>M240704R1</v>
          </cell>
          <cell r="J567">
            <v>45715</v>
          </cell>
          <cell r="K567">
            <v>67.7</v>
          </cell>
        </row>
        <row r="568">
          <cell r="C568" t="str">
            <v>陳俊儒</v>
          </cell>
          <cell r="J568">
            <v>45747</v>
          </cell>
          <cell r="K568">
            <v>149.9</v>
          </cell>
        </row>
        <row r="569">
          <cell r="C569" t="str">
            <v>陳俊儒</v>
          </cell>
          <cell r="F569" t="str">
            <v>M240704R1</v>
          </cell>
          <cell r="J569">
            <v>45747</v>
          </cell>
          <cell r="K569">
            <v>8.8000000000000007</v>
          </cell>
        </row>
        <row r="570">
          <cell r="C570" t="str">
            <v>陳俊儒</v>
          </cell>
          <cell r="F570" t="str">
            <v>M250301C1</v>
          </cell>
          <cell r="J570">
            <v>45747</v>
          </cell>
          <cell r="K570">
            <v>17.600000000000001</v>
          </cell>
        </row>
        <row r="571">
          <cell r="C571" t="str">
            <v>陳俊儒</v>
          </cell>
          <cell r="F571" t="str">
            <v>M250301C1</v>
          </cell>
          <cell r="J571">
            <v>45777</v>
          </cell>
          <cell r="K571">
            <v>65.7</v>
          </cell>
        </row>
        <row r="572">
          <cell r="C572" t="str">
            <v>陳俊儒</v>
          </cell>
          <cell r="J572">
            <v>45777</v>
          </cell>
          <cell r="K572">
            <v>65.7</v>
          </cell>
        </row>
        <row r="573">
          <cell r="C573" t="str">
            <v>陳俊儒</v>
          </cell>
          <cell r="F573" t="str">
            <v>M240704R1</v>
          </cell>
          <cell r="J573">
            <v>45777</v>
          </cell>
          <cell r="K573">
            <v>24.6</v>
          </cell>
        </row>
        <row r="574">
          <cell r="C574" t="str">
            <v>陳俊儒</v>
          </cell>
          <cell r="F574" t="str">
            <v>M250301R1</v>
          </cell>
          <cell r="J574">
            <v>45777</v>
          </cell>
          <cell r="K574">
            <v>8.1999999999999993</v>
          </cell>
        </row>
        <row r="575">
          <cell r="C575" t="str">
            <v>陳俊儒</v>
          </cell>
          <cell r="F575" t="str">
            <v>M250301R1</v>
          </cell>
          <cell r="J575">
            <v>45806</v>
          </cell>
          <cell r="K575">
            <v>5.7</v>
          </cell>
        </row>
        <row r="576">
          <cell r="C576" t="str">
            <v>陳俊儒</v>
          </cell>
          <cell r="F576" t="str">
            <v>M250301C1</v>
          </cell>
          <cell r="J576">
            <v>45806</v>
          </cell>
          <cell r="K576">
            <v>22.6</v>
          </cell>
        </row>
        <row r="577">
          <cell r="C577" t="str">
            <v>陳俊儒</v>
          </cell>
          <cell r="J577">
            <v>45806</v>
          </cell>
          <cell r="K577">
            <v>62.2</v>
          </cell>
        </row>
        <row r="578">
          <cell r="C578" t="str">
            <v>陳俊儒</v>
          </cell>
          <cell r="F578" t="str">
            <v>M240704R1</v>
          </cell>
          <cell r="J578">
            <v>45806</v>
          </cell>
          <cell r="K578">
            <v>22.6</v>
          </cell>
        </row>
        <row r="579">
          <cell r="C579" t="str">
            <v>陳俊儒</v>
          </cell>
          <cell r="J579">
            <v>45838</v>
          </cell>
          <cell r="K579">
            <v>109.2</v>
          </cell>
        </row>
        <row r="580">
          <cell r="C580" t="str">
            <v>陳俊儒</v>
          </cell>
          <cell r="F580" t="str">
            <v>M250301C1</v>
          </cell>
          <cell r="J580">
            <v>45838</v>
          </cell>
          <cell r="K580">
            <v>16.8</v>
          </cell>
        </row>
        <row r="581">
          <cell r="C581" t="str">
            <v>陳俊儒</v>
          </cell>
          <cell r="F581" t="str">
            <v>M240704R1</v>
          </cell>
          <cell r="J581">
            <v>45838</v>
          </cell>
          <cell r="K581">
            <v>42</v>
          </cell>
        </row>
        <row r="582">
          <cell r="C582" t="str">
            <v>陳俊儒</v>
          </cell>
          <cell r="F582" t="str">
            <v>M250301R1</v>
          </cell>
          <cell r="J582">
            <v>45869</v>
          </cell>
          <cell r="K582">
            <v>10.1</v>
          </cell>
        </row>
        <row r="583">
          <cell r="C583" t="str">
            <v>陳俊儒</v>
          </cell>
          <cell r="F583" t="str">
            <v>M250301C1</v>
          </cell>
          <cell r="J583">
            <v>45869</v>
          </cell>
          <cell r="K583">
            <v>30.2</v>
          </cell>
        </row>
        <row r="584">
          <cell r="C584" t="str">
            <v>陳俊儒</v>
          </cell>
          <cell r="J584">
            <v>45869</v>
          </cell>
          <cell r="K584">
            <v>120.6</v>
          </cell>
        </row>
        <row r="585">
          <cell r="C585" t="str">
            <v>陳俊儒</v>
          </cell>
          <cell r="F585" t="str">
            <v>M240704R1</v>
          </cell>
          <cell r="J585">
            <v>45869</v>
          </cell>
          <cell r="K585">
            <v>40.200000000000003</v>
          </cell>
        </row>
        <row r="586">
          <cell r="C586" t="str">
            <v>陳俊儒</v>
          </cell>
          <cell r="F586" t="str">
            <v>M240704R1</v>
          </cell>
          <cell r="J586">
            <v>45898</v>
          </cell>
          <cell r="K586">
            <v>28.5</v>
          </cell>
        </row>
        <row r="587">
          <cell r="C587" t="str">
            <v>陳俊儒</v>
          </cell>
          <cell r="F587" t="str">
            <v>M250301R1</v>
          </cell>
          <cell r="J587">
            <v>45898</v>
          </cell>
          <cell r="K587">
            <v>9.5</v>
          </cell>
        </row>
        <row r="588">
          <cell r="C588" t="str">
            <v>陳俊儒</v>
          </cell>
          <cell r="J588">
            <v>45898</v>
          </cell>
          <cell r="K588">
            <v>114.2</v>
          </cell>
        </row>
        <row r="589">
          <cell r="C589" t="str">
            <v>陳俊儒</v>
          </cell>
          <cell r="F589" t="str">
            <v>M250301C1</v>
          </cell>
          <cell r="J589">
            <v>45898</v>
          </cell>
          <cell r="K589">
            <v>38.1</v>
          </cell>
        </row>
        <row r="590">
          <cell r="C590" t="str">
            <v>賴慶樺</v>
          </cell>
          <cell r="J590">
            <v>45470</v>
          </cell>
          <cell r="K590">
            <v>8</v>
          </cell>
        </row>
        <row r="591">
          <cell r="C591" t="str">
            <v>賴慶樺</v>
          </cell>
          <cell r="J591">
            <v>45471</v>
          </cell>
          <cell r="K591">
            <v>4</v>
          </cell>
        </row>
        <row r="592">
          <cell r="C592" t="str">
            <v>賴慶樺</v>
          </cell>
          <cell r="J592">
            <v>45471</v>
          </cell>
          <cell r="K592">
            <v>4</v>
          </cell>
        </row>
        <row r="593">
          <cell r="C593" t="str">
            <v>賴慶樺</v>
          </cell>
          <cell r="J593">
            <v>45474</v>
          </cell>
          <cell r="K593">
            <v>8</v>
          </cell>
        </row>
        <row r="594">
          <cell r="C594" t="str">
            <v>賴慶樺</v>
          </cell>
          <cell r="J594">
            <v>45475</v>
          </cell>
          <cell r="K594">
            <v>8</v>
          </cell>
        </row>
        <row r="595">
          <cell r="C595" t="str">
            <v>賴慶樺</v>
          </cell>
          <cell r="J595">
            <v>45476</v>
          </cell>
          <cell r="K595">
            <v>8</v>
          </cell>
        </row>
        <row r="596">
          <cell r="C596" t="str">
            <v>賴慶樺</v>
          </cell>
          <cell r="J596">
            <v>45477</v>
          </cell>
          <cell r="K596">
            <v>8</v>
          </cell>
        </row>
        <row r="597">
          <cell r="C597" t="str">
            <v>賴慶樺</v>
          </cell>
          <cell r="J597">
            <v>45478</v>
          </cell>
          <cell r="K597">
            <v>8</v>
          </cell>
        </row>
        <row r="598">
          <cell r="C598" t="str">
            <v>賴慶樺</v>
          </cell>
          <cell r="J598">
            <v>45481</v>
          </cell>
          <cell r="K598">
            <v>8</v>
          </cell>
        </row>
        <row r="599">
          <cell r="C599" t="str">
            <v>賴慶樺</v>
          </cell>
          <cell r="J599">
            <v>45482</v>
          </cell>
          <cell r="K599">
            <v>8</v>
          </cell>
        </row>
        <row r="600">
          <cell r="C600" t="str">
            <v>賴慶樺</v>
          </cell>
          <cell r="J600">
            <v>45483</v>
          </cell>
          <cell r="K600">
            <v>8</v>
          </cell>
        </row>
        <row r="601">
          <cell r="C601" t="str">
            <v>賴慶樺</v>
          </cell>
          <cell r="J601">
            <v>45484</v>
          </cell>
          <cell r="K601">
            <v>8</v>
          </cell>
        </row>
        <row r="602">
          <cell r="C602" t="str">
            <v>賴慶樺</v>
          </cell>
          <cell r="J602">
            <v>45485</v>
          </cell>
          <cell r="K602">
            <v>8</v>
          </cell>
        </row>
        <row r="603">
          <cell r="C603" t="str">
            <v>賴慶樺</v>
          </cell>
          <cell r="J603">
            <v>45488</v>
          </cell>
          <cell r="K603">
            <v>8</v>
          </cell>
        </row>
        <row r="604">
          <cell r="C604" t="str">
            <v>賴慶樺</v>
          </cell>
          <cell r="J604">
            <v>45489</v>
          </cell>
          <cell r="K604">
            <v>8</v>
          </cell>
        </row>
        <row r="605">
          <cell r="C605" t="str">
            <v>賴慶樺</v>
          </cell>
          <cell r="J605">
            <v>45490</v>
          </cell>
          <cell r="K605">
            <v>8</v>
          </cell>
        </row>
        <row r="606">
          <cell r="C606" t="str">
            <v>賴慶樺</v>
          </cell>
          <cell r="J606">
            <v>45491</v>
          </cell>
          <cell r="K606">
            <v>8</v>
          </cell>
        </row>
        <row r="607">
          <cell r="C607" t="str">
            <v>賴慶樺</v>
          </cell>
          <cell r="J607">
            <v>45492</v>
          </cell>
          <cell r="K607">
            <v>8</v>
          </cell>
        </row>
        <row r="608">
          <cell r="C608" t="str">
            <v>賴慶樺</v>
          </cell>
          <cell r="J608">
            <v>45495</v>
          </cell>
          <cell r="K608">
            <v>8</v>
          </cell>
        </row>
        <row r="609">
          <cell r="C609" t="str">
            <v>賴慶樺</v>
          </cell>
          <cell r="J609">
            <v>45496</v>
          </cell>
          <cell r="K609">
            <v>8</v>
          </cell>
        </row>
        <row r="610">
          <cell r="C610" t="str">
            <v>賴慶樺</v>
          </cell>
          <cell r="J610">
            <v>45499</v>
          </cell>
          <cell r="K610">
            <v>8</v>
          </cell>
        </row>
        <row r="611">
          <cell r="C611" t="str">
            <v>賴慶樺</v>
          </cell>
          <cell r="J611">
            <v>45502</v>
          </cell>
          <cell r="K611">
            <v>8</v>
          </cell>
        </row>
        <row r="612">
          <cell r="C612" t="str">
            <v>賴慶樺</v>
          </cell>
          <cell r="J612">
            <v>45503</v>
          </cell>
          <cell r="K612">
            <v>8</v>
          </cell>
        </row>
        <row r="613">
          <cell r="C613" t="str">
            <v>賴慶樺</v>
          </cell>
          <cell r="J613">
            <v>45504</v>
          </cell>
          <cell r="K613">
            <v>8</v>
          </cell>
        </row>
        <row r="614">
          <cell r="C614" t="str">
            <v>賴慶樺</v>
          </cell>
          <cell r="J614">
            <v>45505</v>
          </cell>
          <cell r="K614">
            <v>8</v>
          </cell>
        </row>
        <row r="615">
          <cell r="C615" t="str">
            <v>賴慶樺</v>
          </cell>
          <cell r="J615">
            <v>45506</v>
          </cell>
          <cell r="K615">
            <v>8</v>
          </cell>
        </row>
        <row r="616">
          <cell r="C616" t="str">
            <v>賴慶樺</v>
          </cell>
          <cell r="J616">
            <v>45509</v>
          </cell>
          <cell r="K616">
            <v>8</v>
          </cell>
        </row>
        <row r="617">
          <cell r="C617" t="str">
            <v>賴慶樺</v>
          </cell>
          <cell r="J617">
            <v>45510</v>
          </cell>
          <cell r="K617">
            <v>8</v>
          </cell>
        </row>
        <row r="618">
          <cell r="C618" t="str">
            <v>賴慶樺</v>
          </cell>
          <cell r="J618">
            <v>45511</v>
          </cell>
          <cell r="K618">
            <v>8</v>
          </cell>
        </row>
        <row r="619">
          <cell r="C619" t="str">
            <v>賴慶樺</v>
          </cell>
          <cell r="J619">
            <v>45512</v>
          </cell>
          <cell r="K619">
            <v>8</v>
          </cell>
        </row>
        <row r="620">
          <cell r="C620" t="str">
            <v>賴慶樺</v>
          </cell>
          <cell r="J620">
            <v>45513</v>
          </cell>
          <cell r="K620">
            <v>8</v>
          </cell>
        </row>
        <row r="621">
          <cell r="C621" t="str">
            <v>賴慶樺</v>
          </cell>
          <cell r="J621">
            <v>45516</v>
          </cell>
          <cell r="K621">
            <v>8</v>
          </cell>
        </row>
        <row r="622">
          <cell r="C622" t="str">
            <v>賴慶樺</v>
          </cell>
          <cell r="J622">
            <v>45517</v>
          </cell>
          <cell r="K622">
            <v>8</v>
          </cell>
        </row>
        <row r="623">
          <cell r="C623" t="str">
            <v>賴慶樺</v>
          </cell>
          <cell r="J623">
            <v>45518</v>
          </cell>
          <cell r="K623">
            <v>8</v>
          </cell>
        </row>
        <row r="624">
          <cell r="C624" t="str">
            <v>賴慶樺</v>
          </cell>
          <cell r="J624">
            <v>45519</v>
          </cell>
          <cell r="K624">
            <v>8</v>
          </cell>
        </row>
        <row r="625">
          <cell r="C625" t="str">
            <v>賴慶樺</v>
          </cell>
          <cell r="J625">
            <v>45520</v>
          </cell>
          <cell r="K625">
            <v>8</v>
          </cell>
        </row>
        <row r="626">
          <cell r="C626" t="str">
            <v>賴慶樺</v>
          </cell>
          <cell r="J626">
            <v>45523</v>
          </cell>
          <cell r="K626">
            <v>8</v>
          </cell>
        </row>
        <row r="627">
          <cell r="C627" t="str">
            <v>賴慶樺</v>
          </cell>
          <cell r="J627">
            <v>45524</v>
          </cell>
          <cell r="K627">
            <v>8</v>
          </cell>
        </row>
        <row r="628">
          <cell r="C628" t="str">
            <v>賴慶樺</v>
          </cell>
          <cell r="J628">
            <v>45525</v>
          </cell>
          <cell r="K628">
            <v>8</v>
          </cell>
        </row>
        <row r="629">
          <cell r="C629" t="str">
            <v>賴慶樺</v>
          </cell>
          <cell r="F629" t="str">
            <v>M240201R1</v>
          </cell>
          <cell r="J629">
            <v>45526</v>
          </cell>
          <cell r="K629">
            <v>8</v>
          </cell>
        </row>
        <row r="630">
          <cell r="C630" t="str">
            <v>賴慶樺</v>
          </cell>
          <cell r="J630">
            <v>45527</v>
          </cell>
          <cell r="K630">
            <v>4</v>
          </cell>
        </row>
        <row r="631">
          <cell r="C631" t="str">
            <v>賴慶樺</v>
          </cell>
          <cell r="F631" t="str">
            <v>M240201R1</v>
          </cell>
          <cell r="J631">
            <v>45527</v>
          </cell>
          <cell r="K631">
            <v>4</v>
          </cell>
        </row>
        <row r="632">
          <cell r="C632" t="str">
            <v>賴慶樺</v>
          </cell>
          <cell r="F632" t="str">
            <v>M240201R1</v>
          </cell>
          <cell r="J632">
            <v>45530</v>
          </cell>
          <cell r="K632">
            <v>8</v>
          </cell>
        </row>
        <row r="633">
          <cell r="C633" t="str">
            <v>賴慶樺</v>
          </cell>
          <cell r="F633" t="str">
            <v>M240201R1</v>
          </cell>
          <cell r="J633">
            <v>45531</v>
          </cell>
          <cell r="K633">
            <v>8</v>
          </cell>
        </row>
        <row r="634">
          <cell r="C634" t="str">
            <v>賴慶樺</v>
          </cell>
          <cell r="F634" t="str">
            <v>M240201R1</v>
          </cell>
          <cell r="J634">
            <v>45532</v>
          </cell>
          <cell r="K634">
            <v>8</v>
          </cell>
        </row>
        <row r="635">
          <cell r="C635" t="str">
            <v>賴慶樺</v>
          </cell>
          <cell r="F635" t="str">
            <v>M240201R1</v>
          </cell>
          <cell r="J635">
            <v>45533</v>
          </cell>
          <cell r="K635">
            <v>8</v>
          </cell>
        </row>
        <row r="636">
          <cell r="C636" t="str">
            <v>賴慶樺</v>
          </cell>
          <cell r="F636" t="str">
            <v>M240201R1</v>
          </cell>
          <cell r="J636">
            <v>45534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45537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45538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45539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45540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45541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45544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45545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45546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45547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45548</v>
          </cell>
          <cell r="K646">
            <v>8</v>
          </cell>
        </row>
        <row r="647">
          <cell r="C647" t="str">
            <v>賴慶樺</v>
          </cell>
          <cell r="J647">
            <v>45551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45553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45554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45555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45558</v>
          </cell>
          <cell r="K651">
            <v>8</v>
          </cell>
        </row>
        <row r="652">
          <cell r="C652" t="str">
            <v>賴慶樺</v>
          </cell>
          <cell r="F652" t="str">
            <v>M240702C1</v>
          </cell>
          <cell r="J652">
            <v>45559</v>
          </cell>
          <cell r="K652">
            <v>8</v>
          </cell>
        </row>
        <row r="653">
          <cell r="C653" t="str">
            <v>賴慶樺</v>
          </cell>
          <cell r="F653" t="str">
            <v>M240702C1</v>
          </cell>
          <cell r="J653">
            <v>45560</v>
          </cell>
          <cell r="K653">
            <v>8</v>
          </cell>
        </row>
        <row r="654">
          <cell r="C654" t="str">
            <v>賴慶樺</v>
          </cell>
          <cell r="F654" t="str">
            <v>M240702C1</v>
          </cell>
          <cell r="J654">
            <v>45561</v>
          </cell>
          <cell r="K654">
            <v>8</v>
          </cell>
        </row>
        <row r="655">
          <cell r="C655" t="str">
            <v>賴慶樺</v>
          </cell>
          <cell r="J655">
            <v>45562</v>
          </cell>
          <cell r="K655">
            <v>8</v>
          </cell>
        </row>
        <row r="656">
          <cell r="C656" t="str">
            <v>賴慶樺</v>
          </cell>
          <cell r="F656" t="str">
            <v>M240702C1</v>
          </cell>
          <cell r="J656">
            <v>45565</v>
          </cell>
          <cell r="K656">
            <v>8</v>
          </cell>
        </row>
        <row r="657">
          <cell r="C657" t="str">
            <v>賴慶樺</v>
          </cell>
          <cell r="F657" t="str">
            <v>M240702C1</v>
          </cell>
          <cell r="J657">
            <v>45566</v>
          </cell>
          <cell r="K657">
            <v>8</v>
          </cell>
        </row>
        <row r="658">
          <cell r="C658" t="str">
            <v>賴慶樺</v>
          </cell>
          <cell r="F658" t="str">
            <v>M240702C1</v>
          </cell>
          <cell r="J658">
            <v>45569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45572</v>
          </cell>
          <cell r="K659">
            <v>8</v>
          </cell>
        </row>
        <row r="660">
          <cell r="C660" t="str">
            <v>賴慶樺</v>
          </cell>
          <cell r="J660">
            <v>45573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45574</v>
          </cell>
          <cell r="K661">
            <v>8</v>
          </cell>
        </row>
        <row r="662">
          <cell r="C662" t="str">
            <v>賴慶樺</v>
          </cell>
          <cell r="J662">
            <v>45576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45579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45580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45580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45581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45581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45582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45583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45586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45587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45588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45589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45590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45593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45594</v>
          </cell>
          <cell r="K676">
            <v>8</v>
          </cell>
        </row>
        <row r="677">
          <cell r="C677" t="str">
            <v>賴慶樺</v>
          </cell>
          <cell r="J677">
            <v>45596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45597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45600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45601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45602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45603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J683">
            <v>45604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J684">
            <v>45607</v>
          </cell>
          <cell r="K684">
            <v>8</v>
          </cell>
        </row>
        <row r="685">
          <cell r="C685" t="str">
            <v>賴慶樺</v>
          </cell>
          <cell r="F685" t="str">
            <v>M240702C1</v>
          </cell>
          <cell r="J685">
            <v>45608</v>
          </cell>
          <cell r="K685">
            <v>8</v>
          </cell>
        </row>
        <row r="686">
          <cell r="C686" t="str">
            <v>賴慶樺</v>
          </cell>
          <cell r="F686" t="str">
            <v>M240702C1</v>
          </cell>
          <cell r="J686">
            <v>45609</v>
          </cell>
          <cell r="K686">
            <v>8</v>
          </cell>
        </row>
        <row r="687">
          <cell r="C687" t="str">
            <v>賴慶樺</v>
          </cell>
          <cell r="F687" t="str">
            <v>M240702C1</v>
          </cell>
          <cell r="J687">
            <v>45610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45611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45614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45615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45616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45617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45618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45621</v>
          </cell>
          <cell r="K694">
            <v>8</v>
          </cell>
        </row>
        <row r="695">
          <cell r="C695" t="str">
            <v>賴慶樺</v>
          </cell>
          <cell r="J695">
            <v>45622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45622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45623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45623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45624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45624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45625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45625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45628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45629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45630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45631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45632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45635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45636</v>
          </cell>
          <cell r="K709">
            <v>8</v>
          </cell>
        </row>
        <row r="710">
          <cell r="C710" t="str">
            <v>賴慶樺</v>
          </cell>
          <cell r="J710">
            <v>45637</v>
          </cell>
          <cell r="K710">
            <v>8</v>
          </cell>
        </row>
        <row r="711">
          <cell r="C711" t="str">
            <v>賴慶樺</v>
          </cell>
          <cell r="J711">
            <v>45638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45638</v>
          </cell>
          <cell r="K712">
            <v>4</v>
          </cell>
        </row>
        <row r="713">
          <cell r="C713" t="str">
            <v>賴慶樺</v>
          </cell>
          <cell r="F713" t="str">
            <v>M240701C1</v>
          </cell>
          <cell r="J713">
            <v>45639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45642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45643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45644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45645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45646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45649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45650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45651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45652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45653</v>
          </cell>
          <cell r="K723">
            <v>8</v>
          </cell>
        </row>
        <row r="724">
          <cell r="C724" t="str">
            <v>賴慶樺</v>
          </cell>
          <cell r="J724">
            <v>45656</v>
          </cell>
          <cell r="K724">
            <v>8</v>
          </cell>
        </row>
        <row r="725">
          <cell r="C725" t="str">
            <v>賴慶樺</v>
          </cell>
          <cell r="J725">
            <v>45657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45659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45660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45663</v>
          </cell>
          <cell r="K728">
            <v>8</v>
          </cell>
        </row>
        <row r="729">
          <cell r="C729" t="str">
            <v>賴慶樺</v>
          </cell>
          <cell r="J729">
            <v>45664</v>
          </cell>
          <cell r="K729">
            <v>8</v>
          </cell>
        </row>
        <row r="730">
          <cell r="C730" t="str">
            <v>賴慶樺</v>
          </cell>
          <cell r="J730">
            <v>45665</v>
          </cell>
          <cell r="K730">
            <v>8</v>
          </cell>
        </row>
        <row r="731">
          <cell r="C731" t="str">
            <v>賴慶樺</v>
          </cell>
          <cell r="J731">
            <v>45666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45667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45670</v>
          </cell>
          <cell r="K733">
            <v>8</v>
          </cell>
        </row>
        <row r="734">
          <cell r="C734" t="str">
            <v>賴慶樺</v>
          </cell>
          <cell r="J734">
            <v>45671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45672</v>
          </cell>
          <cell r="K735">
            <v>8</v>
          </cell>
        </row>
        <row r="736">
          <cell r="C736" t="str">
            <v>賴慶樺</v>
          </cell>
          <cell r="J736">
            <v>45673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45674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45677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45678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45679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45680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45681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45691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45692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45693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45694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45695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45696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45698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45699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45700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45701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45702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45705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45706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45719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45720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45721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45722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45723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45726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45727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45728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45729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45730</v>
          </cell>
          <cell r="K765">
            <v>8</v>
          </cell>
        </row>
        <row r="766">
          <cell r="C766" t="str">
            <v>賴慶樺</v>
          </cell>
          <cell r="J766">
            <v>45733</v>
          </cell>
          <cell r="K766">
            <v>4</v>
          </cell>
        </row>
        <row r="767">
          <cell r="C767" t="str">
            <v>賴慶樺</v>
          </cell>
          <cell r="F767" t="str">
            <v>M240701C1</v>
          </cell>
          <cell r="J767">
            <v>45733</v>
          </cell>
          <cell r="K767">
            <v>4</v>
          </cell>
        </row>
        <row r="768">
          <cell r="C768" t="str">
            <v>賴慶樺</v>
          </cell>
          <cell r="F768" t="str">
            <v>M240701C1</v>
          </cell>
          <cell r="J768">
            <v>45734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45735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45736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45736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45737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45740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45741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45742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45743</v>
          </cell>
          <cell r="K776">
            <v>8</v>
          </cell>
        </row>
        <row r="777">
          <cell r="C777" t="str">
            <v>賴慶樺</v>
          </cell>
          <cell r="J777">
            <v>45744</v>
          </cell>
          <cell r="K777">
            <v>8</v>
          </cell>
        </row>
        <row r="778">
          <cell r="C778" t="str">
            <v>賴慶樺</v>
          </cell>
          <cell r="J778">
            <v>45768</v>
          </cell>
          <cell r="K778">
            <v>8</v>
          </cell>
        </row>
        <row r="779">
          <cell r="C779" t="str">
            <v>賴慶樺</v>
          </cell>
          <cell r="J779">
            <v>45769</v>
          </cell>
          <cell r="K779">
            <v>8</v>
          </cell>
        </row>
        <row r="780">
          <cell r="C780" t="str">
            <v>賴慶樺</v>
          </cell>
          <cell r="J780">
            <v>45770</v>
          </cell>
          <cell r="K780">
            <v>8</v>
          </cell>
        </row>
        <row r="781">
          <cell r="C781" t="str">
            <v>賴慶樺</v>
          </cell>
          <cell r="J781">
            <v>45771</v>
          </cell>
          <cell r="K781">
            <v>8</v>
          </cell>
        </row>
        <row r="782">
          <cell r="C782" t="str">
            <v>賴慶樺</v>
          </cell>
          <cell r="J782">
            <v>45772</v>
          </cell>
          <cell r="K782">
            <v>8</v>
          </cell>
        </row>
        <row r="783">
          <cell r="C783" t="str">
            <v>賴慶樺</v>
          </cell>
          <cell r="J783">
            <v>45775</v>
          </cell>
          <cell r="K783">
            <v>8</v>
          </cell>
        </row>
        <row r="784">
          <cell r="C784" t="str">
            <v>賴慶樺</v>
          </cell>
          <cell r="J784">
            <v>45776</v>
          </cell>
          <cell r="K784">
            <v>8</v>
          </cell>
        </row>
        <row r="785">
          <cell r="C785" t="str">
            <v>賴慶樺</v>
          </cell>
          <cell r="J785">
            <v>45777</v>
          </cell>
          <cell r="K785">
            <v>8</v>
          </cell>
        </row>
        <row r="786">
          <cell r="C786" t="str">
            <v>賴慶樺</v>
          </cell>
          <cell r="J786">
            <v>45778</v>
          </cell>
          <cell r="K786">
            <v>8</v>
          </cell>
        </row>
        <row r="787">
          <cell r="C787" t="str">
            <v>賴慶樺</v>
          </cell>
          <cell r="J787">
            <v>45779</v>
          </cell>
          <cell r="K787">
            <v>8</v>
          </cell>
        </row>
        <row r="788">
          <cell r="C788" t="str">
            <v>賴慶樺</v>
          </cell>
          <cell r="J788">
            <v>45782</v>
          </cell>
          <cell r="K788">
            <v>8</v>
          </cell>
        </row>
        <row r="789">
          <cell r="C789" t="str">
            <v>賴慶樺</v>
          </cell>
          <cell r="J789">
            <v>45793</v>
          </cell>
          <cell r="K789">
            <v>8</v>
          </cell>
        </row>
        <row r="790">
          <cell r="C790" t="str">
            <v>賴慶樺</v>
          </cell>
          <cell r="J790">
            <v>45796</v>
          </cell>
          <cell r="K790">
            <v>8</v>
          </cell>
        </row>
        <row r="791">
          <cell r="C791" t="str">
            <v>賴慶樺</v>
          </cell>
          <cell r="J791">
            <v>45797</v>
          </cell>
          <cell r="K791">
            <v>8</v>
          </cell>
        </row>
        <row r="792">
          <cell r="C792" t="str">
            <v>賴慶樺</v>
          </cell>
          <cell r="J792">
            <v>45798</v>
          </cell>
          <cell r="K792">
            <v>8</v>
          </cell>
        </row>
        <row r="793">
          <cell r="C793" t="str">
            <v>賴慶樺</v>
          </cell>
          <cell r="J793">
            <v>45799</v>
          </cell>
          <cell r="K793">
            <v>8</v>
          </cell>
        </row>
        <row r="794">
          <cell r="C794" t="str">
            <v>賴慶樺</v>
          </cell>
          <cell r="J794">
            <v>45800</v>
          </cell>
          <cell r="K794">
            <v>8</v>
          </cell>
        </row>
        <row r="795">
          <cell r="C795" t="str">
            <v>賴慶樺</v>
          </cell>
          <cell r="J795">
            <v>45803</v>
          </cell>
          <cell r="K795">
            <v>8</v>
          </cell>
        </row>
        <row r="796">
          <cell r="C796" t="str">
            <v>賴慶樺</v>
          </cell>
          <cell r="J796">
            <v>45804</v>
          </cell>
          <cell r="K796">
            <v>8</v>
          </cell>
        </row>
        <row r="797">
          <cell r="C797" t="str">
            <v>賴慶樺</v>
          </cell>
          <cell r="J797">
            <v>45805</v>
          </cell>
          <cell r="K797">
            <v>8</v>
          </cell>
        </row>
        <row r="798">
          <cell r="C798" t="str">
            <v>賴慶樺</v>
          </cell>
          <cell r="J798">
            <v>45806</v>
          </cell>
          <cell r="K798">
            <v>8</v>
          </cell>
        </row>
        <row r="799">
          <cell r="C799" t="str">
            <v>賴慶樺</v>
          </cell>
          <cell r="J799">
            <v>45810</v>
          </cell>
          <cell r="K799">
            <v>8</v>
          </cell>
        </row>
        <row r="800">
          <cell r="C800" t="str">
            <v>賴慶樺</v>
          </cell>
          <cell r="J800">
            <v>45811</v>
          </cell>
          <cell r="K800">
            <v>8</v>
          </cell>
        </row>
        <row r="801">
          <cell r="C801" t="str">
            <v>賴慶樺</v>
          </cell>
          <cell r="J801">
            <v>45812</v>
          </cell>
          <cell r="K801">
            <v>8</v>
          </cell>
        </row>
        <row r="802">
          <cell r="C802" t="str">
            <v>賴慶樺</v>
          </cell>
          <cell r="J802">
            <v>45813</v>
          </cell>
          <cell r="K802">
            <v>8</v>
          </cell>
        </row>
        <row r="803">
          <cell r="C803" t="str">
            <v>賴慶樺</v>
          </cell>
          <cell r="J803">
            <v>45814</v>
          </cell>
          <cell r="K803">
            <v>8</v>
          </cell>
        </row>
        <row r="804">
          <cell r="C804" t="str">
            <v>賴慶樺</v>
          </cell>
          <cell r="J804">
            <v>45817</v>
          </cell>
          <cell r="K804">
            <v>8</v>
          </cell>
        </row>
        <row r="805">
          <cell r="C805" t="str">
            <v>賴慶樺</v>
          </cell>
          <cell r="J805">
            <v>45818</v>
          </cell>
          <cell r="K805">
            <v>8</v>
          </cell>
        </row>
        <row r="806">
          <cell r="C806" t="str">
            <v>賴慶樺</v>
          </cell>
          <cell r="J806">
            <v>45819</v>
          </cell>
          <cell r="K806">
            <v>8</v>
          </cell>
        </row>
        <row r="807">
          <cell r="C807" t="str">
            <v>賴慶樺</v>
          </cell>
          <cell r="J807">
            <v>45820</v>
          </cell>
          <cell r="K807">
            <v>8</v>
          </cell>
        </row>
        <row r="808">
          <cell r="C808" t="str">
            <v>賴慶樺</v>
          </cell>
          <cell r="J808">
            <v>45821</v>
          </cell>
          <cell r="K808">
            <v>8</v>
          </cell>
        </row>
        <row r="809">
          <cell r="C809" t="str">
            <v>賴慶樺</v>
          </cell>
          <cell r="J809">
            <v>45824</v>
          </cell>
          <cell r="K809">
            <v>8</v>
          </cell>
        </row>
        <row r="810">
          <cell r="C810" t="str">
            <v>賴慶樺</v>
          </cell>
          <cell r="J810">
            <v>45825</v>
          </cell>
          <cell r="K810">
            <v>8</v>
          </cell>
        </row>
        <row r="811">
          <cell r="C811" t="str">
            <v>賴慶樺</v>
          </cell>
          <cell r="J811">
            <v>45826</v>
          </cell>
          <cell r="K811">
            <v>8</v>
          </cell>
        </row>
        <row r="812">
          <cell r="C812" t="str">
            <v>賴慶樺</v>
          </cell>
          <cell r="J812">
            <v>45827</v>
          </cell>
          <cell r="K812">
            <v>8</v>
          </cell>
        </row>
        <row r="813">
          <cell r="C813" t="str">
            <v>賴慶樺</v>
          </cell>
          <cell r="J813">
            <v>45828</v>
          </cell>
          <cell r="K813">
            <v>8</v>
          </cell>
        </row>
        <row r="814">
          <cell r="C814" t="str">
            <v>賴慶樺</v>
          </cell>
          <cell r="J814">
            <v>45831</v>
          </cell>
          <cell r="K814">
            <v>8</v>
          </cell>
        </row>
        <row r="815">
          <cell r="C815" t="str">
            <v>賴慶樺</v>
          </cell>
          <cell r="J815">
            <v>45832</v>
          </cell>
          <cell r="K815">
            <v>8</v>
          </cell>
        </row>
        <row r="816">
          <cell r="C816" t="str">
            <v>賴慶樺</v>
          </cell>
          <cell r="J816">
            <v>45833</v>
          </cell>
          <cell r="K816">
            <v>8</v>
          </cell>
        </row>
        <row r="817">
          <cell r="C817" t="str">
            <v>賴慶樺</v>
          </cell>
          <cell r="J817">
            <v>45834</v>
          </cell>
          <cell r="K817">
            <v>8</v>
          </cell>
        </row>
        <row r="818">
          <cell r="C818" t="str">
            <v>賴慶樺</v>
          </cell>
          <cell r="J818">
            <v>45835</v>
          </cell>
          <cell r="K818">
            <v>8</v>
          </cell>
        </row>
        <row r="819">
          <cell r="C819" t="str">
            <v>賴慶樺</v>
          </cell>
          <cell r="J819">
            <v>45838</v>
          </cell>
          <cell r="K819">
            <v>8</v>
          </cell>
        </row>
        <row r="820">
          <cell r="C820" t="str">
            <v>賴慶樺</v>
          </cell>
          <cell r="J820">
            <v>45839</v>
          </cell>
          <cell r="K820">
            <v>8</v>
          </cell>
        </row>
        <row r="821">
          <cell r="C821" t="str">
            <v>賴慶樺</v>
          </cell>
          <cell r="J821">
            <v>45840</v>
          </cell>
          <cell r="K821">
            <v>8</v>
          </cell>
        </row>
        <row r="822">
          <cell r="C822" t="str">
            <v>賴慶樺</v>
          </cell>
          <cell r="J822">
            <v>45852</v>
          </cell>
          <cell r="K822">
            <v>8</v>
          </cell>
        </row>
        <row r="823">
          <cell r="C823" t="str">
            <v>賴慶樺</v>
          </cell>
          <cell r="J823">
            <v>45853</v>
          </cell>
          <cell r="K823">
            <v>8</v>
          </cell>
        </row>
        <row r="824">
          <cell r="C824" t="str">
            <v>賴慶樺</v>
          </cell>
          <cell r="J824">
            <v>45854</v>
          </cell>
          <cell r="K824">
            <v>8</v>
          </cell>
        </row>
        <row r="825">
          <cell r="C825" t="str">
            <v>賴慶樺</v>
          </cell>
          <cell r="J825">
            <v>45855</v>
          </cell>
          <cell r="K825">
            <v>8</v>
          </cell>
        </row>
        <row r="826">
          <cell r="C826" t="str">
            <v>賴慶樺</v>
          </cell>
          <cell r="J826">
            <v>45856</v>
          </cell>
          <cell r="K826">
            <v>8</v>
          </cell>
        </row>
        <row r="827">
          <cell r="C827" t="str">
            <v>賴慶樺</v>
          </cell>
          <cell r="J827">
            <v>45859</v>
          </cell>
          <cell r="K827">
            <v>8</v>
          </cell>
        </row>
        <row r="828">
          <cell r="C828" t="str">
            <v>賴慶樺</v>
          </cell>
          <cell r="J828">
            <v>45860</v>
          </cell>
          <cell r="K828">
            <v>8</v>
          </cell>
        </row>
        <row r="829">
          <cell r="C829" t="str">
            <v>賴慶樺</v>
          </cell>
          <cell r="J829">
            <v>45861</v>
          </cell>
          <cell r="K829">
            <v>8</v>
          </cell>
        </row>
        <row r="830">
          <cell r="C830" t="str">
            <v>賴慶樺</v>
          </cell>
          <cell r="J830">
            <v>45862</v>
          </cell>
          <cell r="K830">
            <v>8</v>
          </cell>
        </row>
        <row r="831">
          <cell r="C831" t="str">
            <v>賴慶樺</v>
          </cell>
          <cell r="F831" t="str">
            <v>D250703R1</v>
          </cell>
          <cell r="J831">
            <v>45863</v>
          </cell>
          <cell r="K831">
            <v>8</v>
          </cell>
        </row>
        <row r="832">
          <cell r="C832" t="str">
            <v>賴慶樺</v>
          </cell>
          <cell r="F832" t="str">
            <v>D250703R1</v>
          </cell>
          <cell r="J832">
            <v>45866</v>
          </cell>
          <cell r="K832">
            <v>8</v>
          </cell>
        </row>
        <row r="833">
          <cell r="C833" t="str">
            <v>賴慶樺</v>
          </cell>
          <cell r="J833">
            <v>45867</v>
          </cell>
          <cell r="K833">
            <v>8</v>
          </cell>
        </row>
        <row r="834">
          <cell r="C834" t="str">
            <v>賴慶樺</v>
          </cell>
          <cell r="J834">
            <v>45868</v>
          </cell>
          <cell r="K834">
            <v>8</v>
          </cell>
        </row>
        <row r="835">
          <cell r="C835" t="str">
            <v>賴慶樺</v>
          </cell>
          <cell r="J835">
            <v>45870</v>
          </cell>
          <cell r="K835">
            <v>8</v>
          </cell>
        </row>
        <row r="836">
          <cell r="C836" t="str">
            <v>賴慶樺</v>
          </cell>
          <cell r="J836">
            <v>45873</v>
          </cell>
          <cell r="K836">
            <v>8</v>
          </cell>
        </row>
        <row r="837">
          <cell r="C837" t="str">
            <v>賴慶樺</v>
          </cell>
          <cell r="J837">
            <v>45874</v>
          </cell>
          <cell r="K837">
            <v>8</v>
          </cell>
        </row>
        <row r="838">
          <cell r="C838" t="str">
            <v>賴慶樺</v>
          </cell>
          <cell r="J838">
            <v>45875</v>
          </cell>
          <cell r="K838">
            <v>8</v>
          </cell>
        </row>
        <row r="839">
          <cell r="C839" t="str">
            <v>賴慶樺</v>
          </cell>
          <cell r="J839">
            <v>45876</v>
          </cell>
          <cell r="K839">
            <v>8</v>
          </cell>
        </row>
        <row r="840">
          <cell r="C840" t="str">
            <v>賴慶樺</v>
          </cell>
          <cell r="J840">
            <v>45877</v>
          </cell>
          <cell r="K840">
            <v>8</v>
          </cell>
        </row>
        <row r="841">
          <cell r="C841" t="str">
            <v>賴慶樺</v>
          </cell>
          <cell r="J841">
            <v>45880</v>
          </cell>
          <cell r="K841">
            <v>8</v>
          </cell>
        </row>
        <row r="842">
          <cell r="C842" t="str">
            <v>賴慶樺</v>
          </cell>
          <cell r="J842">
            <v>45881</v>
          </cell>
          <cell r="K842">
            <v>4</v>
          </cell>
        </row>
        <row r="843">
          <cell r="C843" t="str">
            <v>賴慶樺</v>
          </cell>
          <cell r="J843">
            <v>45881</v>
          </cell>
          <cell r="K843">
            <v>4</v>
          </cell>
        </row>
        <row r="844">
          <cell r="C844" t="str">
            <v>賴慶樺</v>
          </cell>
          <cell r="J844">
            <v>45882</v>
          </cell>
          <cell r="K844">
            <v>8</v>
          </cell>
        </row>
        <row r="845">
          <cell r="C845" t="str">
            <v>賴慶樺</v>
          </cell>
          <cell r="J845">
            <v>45883</v>
          </cell>
          <cell r="K845">
            <v>8</v>
          </cell>
        </row>
        <row r="846">
          <cell r="C846" t="str">
            <v>賴慶樺</v>
          </cell>
          <cell r="J846">
            <v>45884</v>
          </cell>
          <cell r="K846">
            <v>8</v>
          </cell>
        </row>
        <row r="847">
          <cell r="C847" t="str">
            <v>賴慶樺</v>
          </cell>
          <cell r="J847">
            <v>45887</v>
          </cell>
          <cell r="K847">
            <v>8</v>
          </cell>
        </row>
        <row r="848">
          <cell r="C848" t="str">
            <v>賴慶樺</v>
          </cell>
          <cell r="J848">
            <v>45888</v>
          </cell>
          <cell r="K848">
            <v>8</v>
          </cell>
        </row>
        <row r="849">
          <cell r="C849" t="str">
            <v>賴慶樺</v>
          </cell>
          <cell r="J849">
            <v>45889</v>
          </cell>
          <cell r="K849">
            <v>8</v>
          </cell>
        </row>
        <row r="850">
          <cell r="C850" t="str">
            <v>賴慶樺</v>
          </cell>
          <cell r="J850">
            <v>45890</v>
          </cell>
          <cell r="K850">
            <v>8</v>
          </cell>
        </row>
        <row r="851">
          <cell r="C851" t="str">
            <v>賴慶樺</v>
          </cell>
          <cell r="J851">
            <v>45891</v>
          </cell>
          <cell r="K851">
            <v>8</v>
          </cell>
        </row>
        <row r="852">
          <cell r="C852" t="str">
            <v>賴慶樺</v>
          </cell>
          <cell r="J852">
            <v>45894</v>
          </cell>
          <cell r="K852">
            <v>8</v>
          </cell>
        </row>
        <row r="853">
          <cell r="C853" t="str">
            <v>賴慶樺</v>
          </cell>
          <cell r="J853">
            <v>45895</v>
          </cell>
          <cell r="K853">
            <v>8</v>
          </cell>
        </row>
        <row r="854">
          <cell r="C854" t="str">
            <v>賴慶樺</v>
          </cell>
          <cell r="J854">
            <v>45896</v>
          </cell>
          <cell r="K854">
            <v>8</v>
          </cell>
        </row>
        <row r="855">
          <cell r="C855" t="str">
            <v>賴慶樺</v>
          </cell>
          <cell r="J855">
            <v>45897</v>
          </cell>
          <cell r="K855">
            <v>8</v>
          </cell>
        </row>
        <row r="856">
          <cell r="C856" t="str">
            <v>賴慶樺</v>
          </cell>
          <cell r="J856">
            <v>45898</v>
          </cell>
          <cell r="K856">
            <v>8</v>
          </cell>
        </row>
        <row r="857">
          <cell r="C857" t="str">
            <v>賴慶樺</v>
          </cell>
          <cell r="J857">
            <v>45901</v>
          </cell>
          <cell r="K857">
            <v>8</v>
          </cell>
        </row>
        <row r="858">
          <cell r="C858" t="str">
            <v>賴慶樺</v>
          </cell>
          <cell r="J858">
            <v>45902</v>
          </cell>
          <cell r="K858">
            <v>8</v>
          </cell>
        </row>
        <row r="859">
          <cell r="C859" t="str">
            <v>賴慶樺</v>
          </cell>
          <cell r="J859">
            <v>45903</v>
          </cell>
          <cell r="K859">
            <v>8</v>
          </cell>
        </row>
        <row r="860">
          <cell r="C860" t="str">
            <v>賴慶樺</v>
          </cell>
          <cell r="J860">
            <v>45904</v>
          </cell>
          <cell r="K860">
            <v>6</v>
          </cell>
        </row>
        <row r="861">
          <cell r="C861" t="str">
            <v>賴慶樺</v>
          </cell>
          <cell r="F861" t="str">
            <v>D250702R1</v>
          </cell>
          <cell r="J861">
            <v>45904</v>
          </cell>
          <cell r="K861">
            <v>2</v>
          </cell>
        </row>
        <row r="862">
          <cell r="C862" t="str">
            <v>賴慶樺</v>
          </cell>
          <cell r="J862">
            <v>45905</v>
          </cell>
          <cell r="K862">
            <v>8</v>
          </cell>
        </row>
        <row r="863">
          <cell r="C863" t="str">
            <v>賴慶樺</v>
          </cell>
          <cell r="J863">
            <v>45908</v>
          </cell>
          <cell r="K863">
            <v>8</v>
          </cell>
        </row>
        <row r="864">
          <cell r="C864" t="str">
            <v>賴慶樺</v>
          </cell>
          <cell r="J864">
            <v>45909</v>
          </cell>
          <cell r="K864">
            <v>8</v>
          </cell>
        </row>
        <row r="865">
          <cell r="C865" t="str">
            <v>賴慶樺</v>
          </cell>
          <cell r="J865">
            <v>45910</v>
          </cell>
          <cell r="K865">
            <v>8</v>
          </cell>
        </row>
        <row r="866">
          <cell r="C866" t="str">
            <v>賴慶樺</v>
          </cell>
          <cell r="J866">
            <v>45911</v>
          </cell>
          <cell r="K866">
            <v>8</v>
          </cell>
        </row>
        <row r="867">
          <cell r="C867" t="str">
            <v>賴慶樺</v>
          </cell>
          <cell r="J867">
            <v>45912</v>
          </cell>
          <cell r="K867">
            <v>8</v>
          </cell>
        </row>
        <row r="868">
          <cell r="C868" t="str">
            <v>賴慶樺</v>
          </cell>
          <cell r="J868">
            <v>45915</v>
          </cell>
          <cell r="K868">
            <v>8</v>
          </cell>
        </row>
        <row r="869">
          <cell r="C869" t="str">
            <v>賴慶樺</v>
          </cell>
          <cell r="J869">
            <v>45916</v>
          </cell>
          <cell r="K869">
            <v>8</v>
          </cell>
        </row>
        <row r="870">
          <cell r="C870" t="str">
            <v>賴慶樺</v>
          </cell>
          <cell r="J870">
            <v>45917</v>
          </cell>
          <cell r="K870">
            <v>8</v>
          </cell>
        </row>
        <row r="871">
          <cell r="C871" t="str">
            <v>賴慶樺</v>
          </cell>
          <cell r="J871">
            <v>45918</v>
          </cell>
          <cell r="K871">
            <v>8</v>
          </cell>
        </row>
        <row r="872">
          <cell r="C872" t="str">
            <v>賴慶樺</v>
          </cell>
          <cell r="J872">
            <v>45919</v>
          </cell>
          <cell r="K872">
            <v>8</v>
          </cell>
        </row>
        <row r="873">
          <cell r="C873" t="str">
            <v>賴慶樺</v>
          </cell>
          <cell r="J873">
            <v>45922</v>
          </cell>
          <cell r="K873">
            <v>8</v>
          </cell>
        </row>
        <row r="874">
          <cell r="C874" t="str">
            <v>賴慶樺</v>
          </cell>
          <cell r="J874">
            <v>45923</v>
          </cell>
          <cell r="K874">
            <v>8</v>
          </cell>
        </row>
        <row r="875">
          <cell r="C875" t="str">
            <v>賴慶樺</v>
          </cell>
          <cell r="J875">
            <v>45924</v>
          </cell>
          <cell r="K875">
            <v>8</v>
          </cell>
        </row>
        <row r="876">
          <cell r="C876" t="str">
            <v>賴慶樺</v>
          </cell>
          <cell r="J876">
            <v>45925</v>
          </cell>
          <cell r="K876">
            <v>8</v>
          </cell>
        </row>
        <row r="877">
          <cell r="C877" t="str">
            <v>賴慶樺</v>
          </cell>
          <cell r="J877">
            <v>45926</v>
          </cell>
          <cell r="K877">
            <v>8</v>
          </cell>
        </row>
        <row r="878">
          <cell r="C878" t="str">
            <v>賴慶樺</v>
          </cell>
          <cell r="J878">
            <v>45930</v>
          </cell>
          <cell r="K878">
            <v>8</v>
          </cell>
        </row>
        <row r="879">
          <cell r="C879" t="str">
            <v>賴慶樺</v>
          </cell>
          <cell r="J879">
            <v>45931</v>
          </cell>
          <cell r="K879">
            <v>8</v>
          </cell>
        </row>
        <row r="880">
          <cell r="C880" t="str">
            <v>賴慶樺</v>
          </cell>
          <cell r="J880">
            <v>45932</v>
          </cell>
          <cell r="K880">
            <v>8</v>
          </cell>
        </row>
        <row r="881">
          <cell r="C881" t="str">
            <v>賴慶樺</v>
          </cell>
          <cell r="J881">
            <v>45933</v>
          </cell>
          <cell r="K881">
            <v>8</v>
          </cell>
        </row>
        <row r="882">
          <cell r="C882" t="str">
            <v>賴慶樺</v>
          </cell>
          <cell r="J882">
            <v>45937</v>
          </cell>
          <cell r="K882">
            <v>8</v>
          </cell>
        </row>
        <row r="883">
          <cell r="C883" t="str">
            <v>賴慶樺</v>
          </cell>
          <cell r="J883">
            <v>45938</v>
          </cell>
          <cell r="K883">
            <v>8</v>
          </cell>
        </row>
        <row r="884">
          <cell r="C884" t="str">
            <v>賴慶樺</v>
          </cell>
          <cell r="J884">
            <v>45939</v>
          </cell>
          <cell r="K884">
            <v>8</v>
          </cell>
        </row>
        <row r="885">
          <cell r="C885" t="str">
            <v>賴慶樺</v>
          </cell>
          <cell r="J885">
            <v>45943</v>
          </cell>
          <cell r="K885">
            <v>8</v>
          </cell>
        </row>
        <row r="886">
          <cell r="C886" t="str">
            <v>賴慶樺</v>
          </cell>
          <cell r="J886">
            <v>45944</v>
          </cell>
          <cell r="K886">
            <v>8</v>
          </cell>
        </row>
        <row r="887">
          <cell r="C887" t="str">
            <v>賴慶樺</v>
          </cell>
          <cell r="J887">
            <v>45945</v>
          </cell>
          <cell r="K887">
            <v>8</v>
          </cell>
        </row>
        <row r="888">
          <cell r="C888" t="str">
            <v>賴慶樺</v>
          </cell>
          <cell r="J888">
            <v>45946</v>
          </cell>
          <cell r="K888">
            <v>8</v>
          </cell>
        </row>
        <row r="889">
          <cell r="C889" t="str">
            <v>賴慶樺</v>
          </cell>
          <cell r="J889">
            <v>45947</v>
          </cell>
          <cell r="K889">
            <v>8</v>
          </cell>
        </row>
        <row r="890">
          <cell r="C890" t="str">
            <v>賴慶樺</v>
          </cell>
          <cell r="J890">
            <v>45950</v>
          </cell>
          <cell r="K890">
            <v>8</v>
          </cell>
        </row>
        <row r="891">
          <cell r="C891" t="str">
            <v>賴慶樺</v>
          </cell>
          <cell r="J891">
            <v>45951</v>
          </cell>
          <cell r="K891">
            <v>8</v>
          </cell>
        </row>
        <row r="892">
          <cell r="C892" t="str">
            <v>賴慶樺</v>
          </cell>
          <cell r="J892">
            <v>45952</v>
          </cell>
          <cell r="K892">
            <v>8</v>
          </cell>
        </row>
        <row r="893">
          <cell r="C893" t="str">
            <v>賴慶樺</v>
          </cell>
          <cell r="J893">
            <v>45953</v>
          </cell>
          <cell r="K893">
            <v>8</v>
          </cell>
        </row>
        <row r="894">
          <cell r="C894" t="str">
            <v>賴慶樺</v>
          </cell>
          <cell r="J894">
            <v>45957</v>
          </cell>
          <cell r="K894">
            <v>8</v>
          </cell>
        </row>
        <row r="895">
          <cell r="C895" t="str">
            <v>賴慶樺</v>
          </cell>
          <cell r="J895">
            <v>45958</v>
          </cell>
          <cell r="K895">
            <v>8</v>
          </cell>
        </row>
        <row r="896">
          <cell r="C896" t="str">
            <v>賴慶樺</v>
          </cell>
          <cell r="J896">
            <v>45959</v>
          </cell>
          <cell r="K896">
            <v>8</v>
          </cell>
        </row>
        <row r="897">
          <cell r="C897" t="str">
            <v>賴慶樺</v>
          </cell>
          <cell r="J897">
            <v>45960</v>
          </cell>
          <cell r="K897">
            <v>8</v>
          </cell>
        </row>
        <row r="898">
          <cell r="C898" t="str">
            <v>賴慶樺</v>
          </cell>
          <cell r="J898">
            <v>45961</v>
          </cell>
          <cell r="K898">
            <v>8</v>
          </cell>
        </row>
        <row r="899">
          <cell r="C899" t="str">
            <v>賴慶樺</v>
          </cell>
          <cell r="J899">
            <v>45964</v>
          </cell>
          <cell r="K899">
            <v>8</v>
          </cell>
        </row>
        <row r="900">
          <cell r="C900" t="str">
            <v>賴慶樺</v>
          </cell>
          <cell r="J900">
            <v>45965</v>
          </cell>
          <cell r="K900">
            <v>8</v>
          </cell>
        </row>
        <row r="901">
          <cell r="C901" t="str">
            <v>賴慶樺</v>
          </cell>
          <cell r="J901">
            <v>45966</v>
          </cell>
          <cell r="K901">
            <v>8</v>
          </cell>
        </row>
        <row r="902">
          <cell r="C902" t="str">
            <v>賴慶樺</v>
          </cell>
          <cell r="J902">
            <v>45967</v>
          </cell>
          <cell r="K902">
            <v>8</v>
          </cell>
        </row>
        <row r="903">
          <cell r="C903" t="str">
            <v>賴慶樺</v>
          </cell>
          <cell r="J903">
            <v>45968</v>
          </cell>
          <cell r="K903">
            <v>8</v>
          </cell>
        </row>
        <row r="904">
          <cell r="C904" t="str">
            <v>賴慶樺</v>
          </cell>
          <cell r="J904">
            <v>45971</v>
          </cell>
          <cell r="K904">
            <v>8</v>
          </cell>
        </row>
        <row r="905">
          <cell r="C905" t="str">
            <v>賴慶樺</v>
          </cell>
          <cell r="J905">
            <v>45972</v>
          </cell>
          <cell r="K905">
            <v>8</v>
          </cell>
        </row>
        <row r="906">
          <cell r="C906" t="str">
            <v>賴慶樺</v>
          </cell>
          <cell r="J906">
            <v>45973</v>
          </cell>
          <cell r="K906">
            <v>8</v>
          </cell>
        </row>
        <row r="907">
          <cell r="C907" t="str">
            <v>賴慶樺</v>
          </cell>
          <cell r="J907">
            <v>45974</v>
          </cell>
          <cell r="K907">
            <v>8</v>
          </cell>
        </row>
        <row r="908">
          <cell r="C908" t="str">
            <v>賴慶樺</v>
          </cell>
          <cell r="J908">
            <v>45975</v>
          </cell>
          <cell r="K908">
            <v>8</v>
          </cell>
        </row>
        <row r="909">
          <cell r="C909" t="str">
            <v>賴慶樺</v>
          </cell>
          <cell r="J909">
            <v>45978</v>
          </cell>
          <cell r="K909">
            <v>8</v>
          </cell>
        </row>
        <row r="910">
          <cell r="C910" t="str">
            <v>賴慶樺</v>
          </cell>
          <cell r="J910">
            <v>45979</v>
          </cell>
          <cell r="K910">
            <v>8</v>
          </cell>
        </row>
        <row r="911">
          <cell r="C911" t="str">
            <v>賴慶樺</v>
          </cell>
          <cell r="J911">
            <v>45980</v>
          </cell>
          <cell r="K911">
            <v>8</v>
          </cell>
        </row>
        <row r="912">
          <cell r="C912" t="str">
            <v>賴慶樺</v>
          </cell>
          <cell r="J912">
            <v>45981</v>
          </cell>
          <cell r="K912">
            <v>4</v>
          </cell>
        </row>
        <row r="913">
          <cell r="C913" t="str">
            <v>賴慶樺</v>
          </cell>
          <cell r="J913">
            <v>45981</v>
          </cell>
          <cell r="K913">
            <v>4</v>
          </cell>
        </row>
        <row r="914">
          <cell r="C914" t="str">
            <v>賴慶樺</v>
          </cell>
          <cell r="J914">
            <v>45982</v>
          </cell>
          <cell r="K914">
            <v>8</v>
          </cell>
        </row>
        <row r="915">
          <cell r="C915" t="str">
            <v>賴慶樺</v>
          </cell>
          <cell r="J915">
            <v>45985</v>
          </cell>
          <cell r="K915">
            <v>8</v>
          </cell>
        </row>
        <row r="916">
          <cell r="C916" t="str">
            <v>賴慶樺</v>
          </cell>
          <cell r="J916">
            <v>45986</v>
          </cell>
          <cell r="K916">
            <v>8</v>
          </cell>
        </row>
        <row r="917">
          <cell r="C917" t="str">
            <v>賴慶樺</v>
          </cell>
          <cell r="J917">
            <v>45987</v>
          </cell>
          <cell r="K917">
            <v>4</v>
          </cell>
        </row>
        <row r="918">
          <cell r="C918" t="str">
            <v>賴慶樺</v>
          </cell>
          <cell r="J918">
            <v>45987</v>
          </cell>
          <cell r="K918">
            <v>4</v>
          </cell>
        </row>
        <row r="919">
          <cell r="C919" t="str">
            <v>賴慶樺</v>
          </cell>
          <cell r="J919">
            <v>45988</v>
          </cell>
          <cell r="K919">
            <v>8</v>
          </cell>
        </row>
        <row r="920">
          <cell r="C920" t="str">
            <v>賴慶樺</v>
          </cell>
          <cell r="J920">
            <v>45989</v>
          </cell>
          <cell r="K920">
            <v>8</v>
          </cell>
        </row>
        <row r="921">
          <cell r="C921" t="str">
            <v>賴慶樺</v>
          </cell>
          <cell r="J921">
            <v>45992</v>
          </cell>
          <cell r="K921">
            <v>8</v>
          </cell>
        </row>
        <row r="922">
          <cell r="C922" t="str">
            <v>賴慶樺</v>
          </cell>
          <cell r="J922">
            <v>45993</v>
          </cell>
          <cell r="K922">
            <v>8</v>
          </cell>
        </row>
        <row r="923">
          <cell r="C923" t="str">
            <v>賴慶樺</v>
          </cell>
          <cell r="J923">
            <v>45994</v>
          </cell>
          <cell r="K923">
            <v>8</v>
          </cell>
        </row>
        <row r="924">
          <cell r="C924" t="str">
            <v>賴慶樺</v>
          </cell>
          <cell r="J924">
            <v>45995</v>
          </cell>
          <cell r="K924">
            <v>8</v>
          </cell>
        </row>
        <row r="925">
          <cell r="C925" t="str">
            <v>賴慶樺</v>
          </cell>
          <cell r="J925">
            <v>45996</v>
          </cell>
          <cell r="K925">
            <v>8</v>
          </cell>
        </row>
        <row r="926">
          <cell r="C926" t="str">
            <v>賴慶樺</v>
          </cell>
          <cell r="J926">
            <v>45999</v>
          </cell>
          <cell r="K926">
            <v>8</v>
          </cell>
        </row>
        <row r="927">
          <cell r="C927" t="str">
            <v>賴慶樺</v>
          </cell>
          <cell r="J927">
            <v>46000</v>
          </cell>
          <cell r="K927">
            <v>8</v>
          </cell>
        </row>
        <row r="928">
          <cell r="C928" t="str">
            <v>賴慶樺</v>
          </cell>
          <cell r="J928">
            <v>46001</v>
          </cell>
          <cell r="K928">
            <v>8</v>
          </cell>
        </row>
        <row r="929">
          <cell r="C929" t="str">
            <v>賴慶樺</v>
          </cell>
          <cell r="J929">
            <v>46002</v>
          </cell>
          <cell r="K929">
            <v>8</v>
          </cell>
        </row>
        <row r="930">
          <cell r="C930" t="str">
            <v>賴慶樺</v>
          </cell>
          <cell r="F930" t="str">
            <v>D250703R1</v>
          </cell>
          <cell r="J930">
            <v>46003</v>
          </cell>
          <cell r="K930">
            <v>8</v>
          </cell>
        </row>
        <row r="931">
          <cell r="C931" t="str">
            <v>賴慶樺</v>
          </cell>
          <cell r="F931" t="str">
            <v>D250703R1</v>
          </cell>
          <cell r="J931">
            <v>46006</v>
          </cell>
          <cell r="K931">
            <v>8</v>
          </cell>
        </row>
        <row r="932">
          <cell r="C932" t="str">
            <v>賴慶樺</v>
          </cell>
          <cell r="F932" t="str">
            <v>D250703R1</v>
          </cell>
          <cell r="J932">
            <v>46007</v>
          </cell>
          <cell r="K932">
            <v>8</v>
          </cell>
        </row>
        <row r="933">
          <cell r="C933" t="str">
            <v>賴慶樺</v>
          </cell>
          <cell r="F933" t="str">
            <v>D250703R1</v>
          </cell>
          <cell r="J933">
            <v>46008</v>
          </cell>
          <cell r="K933">
            <v>8</v>
          </cell>
        </row>
        <row r="934">
          <cell r="C934" t="str">
            <v>賴慶樺</v>
          </cell>
          <cell r="F934" t="str">
            <v>D250703R1</v>
          </cell>
          <cell r="J934">
            <v>46009</v>
          </cell>
          <cell r="K934">
            <v>8</v>
          </cell>
        </row>
        <row r="935">
          <cell r="C935" t="str">
            <v>賴慶樺</v>
          </cell>
          <cell r="J935">
            <v>46010</v>
          </cell>
          <cell r="K935">
            <v>8</v>
          </cell>
        </row>
        <row r="936">
          <cell r="C936" t="str">
            <v>賴慶樺</v>
          </cell>
          <cell r="J936">
            <v>46013</v>
          </cell>
          <cell r="K936">
            <v>8</v>
          </cell>
        </row>
        <row r="937">
          <cell r="C937" t="str">
            <v>賴慶樺</v>
          </cell>
          <cell r="J937">
            <v>46014</v>
          </cell>
          <cell r="K937">
            <v>8</v>
          </cell>
        </row>
        <row r="938">
          <cell r="C938" t="str">
            <v>賴慶樺</v>
          </cell>
          <cell r="F938" t="str">
            <v>M251201C1</v>
          </cell>
          <cell r="J938">
            <v>46015</v>
          </cell>
          <cell r="K938">
            <v>8</v>
          </cell>
        </row>
        <row r="939">
          <cell r="C939" t="str">
            <v>賴慶樺</v>
          </cell>
          <cell r="F939" t="str">
            <v>M251201C1</v>
          </cell>
          <cell r="J939">
            <v>46016</v>
          </cell>
          <cell r="K939">
            <v>8</v>
          </cell>
        </row>
        <row r="940">
          <cell r="C940" t="str">
            <v>賴慶樺</v>
          </cell>
          <cell r="J940">
            <v>46017</v>
          </cell>
          <cell r="K940">
            <v>8</v>
          </cell>
        </row>
        <row r="941">
          <cell r="C941" t="str">
            <v>賴慶樺</v>
          </cell>
          <cell r="F941" t="str">
            <v>M251201C1</v>
          </cell>
          <cell r="J941">
            <v>46020</v>
          </cell>
          <cell r="K941">
            <v>8</v>
          </cell>
        </row>
        <row r="942">
          <cell r="C942" t="str">
            <v>賴慶樺</v>
          </cell>
          <cell r="J942">
            <v>46021</v>
          </cell>
          <cell r="K942">
            <v>4</v>
          </cell>
        </row>
        <row r="943">
          <cell r="C943" t="str">
            <v>賴慶樺</v>
          </cell>
          <cell r="F943" t="str">
            <v>M251201C1</v>
          </cell>
          <cell r="J943">
            <v>46021</v>
          </cell>
          <cell r="K943">
            <v>4</v>
          </cell>
        </row>
        <row r="944">
          <cell r="C944" t="str">
            <v>賴慶樺</v>
          </cell>
          <cell r="J944">
            <v>46022</v>
          </cell>
          <cell r="K944">
            <v>8</v>
          </cell>
        </row>
        <row r="945">
          <cell r="C945" t="str">
            <v>賴慶樺</v>
          </cell>
          <cell r="F945" t="str">
            <v>M251201C1</v>
          </cell>
          <cell r="J945">
            <v>46024</v>
          </cell>
          <cell r="K945">
            <v>8</v>
          </cell>
        </row>
        <row r="946">
          <cell r="C946" t="str">
            <v>賴慶樺</v>
          </cell>
          <cell r="J946">
            <v>46027</v>
          </cell>
          <cell r="K946">
            <v>8</v>
          </cell>
        </row>
        <row r="947">
          <cell r="C947" t="str">
            <v>賴慶樺</v>
          </cell>
          <cell r="J947">
            <v>46028</v>
          </cell>
          <cell r="K947">
            <v>8</v>
          </cell>
        </row>
        <row r="948">
          <cell r="C948" t="str">
            <v>賴慶樺</v>
          </cell>
          <cell r="J948">
            <v>46029</v>
          </cell>
          <cell r="K948">
            <v>8</v>
          </cell>
        </row>
        <row r="949">
          <cell r="C949" t="str">
            <v>賴慶樺</v>
          </cell>
          <cell r="J949">
            <v>46030</v>
          </cell>
          <cell r="K949">
            <v>8</v>
          </cell>
        </row>
        <row r="950">
          <cell r="C950" t="str">
            <v>賴慶樺</v>
          </cell>
          <cell r="J950">
            <v>46031</v>
          </cell>
          <cell r="K950">
            <v>8</v>
          </cell>
        </row>
        <row r="951">
          <cell r="C951" t="str">
            <v>賴慶樺</v>
          </cell>
          <cell r="J951">
            <v>46034</v>
          </cell>
          <cell r="K951">
            <v>8</v>
          </cell>
        </row>
        <row r="952">
          <cell r="C952" t="str">
            <v>賴慶樺</v>
          </cell>
          <cell r="J952">
            <v>46035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46036</v>
          </cell>
          <cell r="K953">
            <v>8</v>
          </cell>
        </row>
        <row r="954">
          <cell r="C954" t="str">
            <v>賴慶樺</v>
          </cell>
          <cell r="F954" t="str">
            <v>D250703R1</v>
          </cell>
          <cell r="J954">
            <v>46037</v>
          </cell>
          <cell r="K954">
            <v>8</v>
          </cell>
        </row>
        <row r="955">
          <cell r="C955" t="str">
            <v>賴慶樺</v>
          </cell>
          <cell r="J955">
            <v>46038</v>
          </cell>
          <cell r="K955">
            <v>8</v>
          </cell>
        </row>
        <row r="956">
          <cell r="C956" t="str">
            <v>賴慶樺</v>
          </cell>
          <cell r="J956">
            <v>46041</v>
          </cell>
          <cell r="K956">
            <v>8</v>
          </cell>
        </row>
        <row r="957">
          <cell r="C957" t="str">
            <v>賴慶樺</v>
          </cell>
          <cell r="J957">
            <v>46042</v>
          </cell>
          <cell r="K957">
            <v>8</v>
          </cell>
        </row>
        <row r="958">
          <cell r="C958" t="str">
            <v>賴慶樺</v>
          </cell>
          <cell r="J958">
            <v>46043</v>
          </cell>
          <cell r="K958">
            <v>4</v>
          </cell>
        </row>
        <row r="959">
          <cell r="C959" t="str">
            <v>賴慶樺</v>
          </cell>
          <cell r="F959" t="str">
            <v>D250703R1</v>
          </cell>
          <cell r="J959">
            <v>46043</v>
          </cell>
          <cell r="K959">
            <v>4</v>
          </cell>
        </row>
        <row r="960">
          <cell r="C960" t="str">
            <v>賴慶樺</v>
          </cell>
          <cell r="J960">
            <v>46044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J961">
            <v>46045</v>
          </cell>
          <cell r="K961">
            <v>8</v>
          </cell>
        </row>
        <row r="962">
          <cell r="C962" t="str">
            <v>賴慶樺</v>
          </cell>
          <cell r="J962">
            <v>46048</v>
          </cell>
          <cell r="K962">
            <v>8</v>
          </cell>
        </row>
        <row r="963">
          <cell r="C963" t="str">
            <v>賴慶樺</v>
          </cell>
          <cell r="J963">
            <v>46049</v>
          </cell>
          <cell r="K963">
            <v>4</v>
          </cell>
        </row>
        <row r="964">
          <cell r="C964" t="str">
            <v>賴慶樺</v>
          </cell>
          <cell r="F964" t="str">
            <v>D250703R1</v>
          </cell>
          <cell r="J964">
            <v>46049</v>
          </cell>
          <cell r="K964">
            <v>4</v>
          </cell>
        </row>
        <row r="965">
          <cell r="C965" t="str">
            <v>賴慶樺</v>
          </cell>
          <cell r="F965" t="str">
            <v>M251201C1</v>
          </cell>
          <cell r="J965">
            <v>46050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46051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46052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46055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46056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46057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46058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46059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46062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46063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46064</v>
          </cell>
          <cell r="K975">
            <v>8</v>
          </cell>
        </row>
        <row r="976">
          <cell r="C976" t="str">
            <v>賴慶樺</v>
          </cell>
          <cell r="J976">
            <v>46065</v>
          </cell>
          <cell r="K976">
            <v>4</v>
          </cell>
        </row>
        <row r="977">
          <cell r="C977" t="str">
            <v>賴慶樺</v>
          </cell>
          <cell r="F977" t="str">
            <v>M251201C1</v>
          </cell>
          <cell r="J977">
            <v>46065</v>
          </cell>
          <cell r="K977">
            <v>4</v>
          </cell>
        </row>
        <row r="978">
          <cell r="C978" t="str">
            <v>賴慶樺</v>
          </cell>
          <cell r="F978" t="str">
            <v>M251201C1</v>
          </cell>
          <cell r="J978">
            <v>46066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46076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46077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46078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46079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46083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46084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46085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46086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46087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46090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46091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46092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46093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46094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46097</v>
          </cell>
          <cell r="K993">
            <v>8</v>
          </cell>
        </row>
        <row r="994">
          <cell r="C994" t="str">
            <v>賴慶樺</v>
          </cell>
          <cell r="J994">
            <v>46098</v>
          </cell>
          <cell r="K994">
            <v>8</v>
          </cell>
        </row>
        <row r="995">
          <cell r="C995" t="str">
            <v>賴慶樺</v>
          </cell>
          <cell r="J995">
            <v>46099</v>
          </cell>
          <cell r="K995">
            <v>8</v>
          </cell>
        </row>
        <row r="996">
          <cell r="C996" t="str">
            <v>賴慶樺</v>
          </cell>
          <cell r="J996">
            <v>46100</v>
          </cell>
          <cell r="K996">
            <v>8</v>
          </cell>
        </row>
        <row r="997">
          <cell r="C997" t="str">
            <v>賴慶樺</v>
          </cell>
          <cell r="J997">
            <v>46101</v>
          </cell>
          <cell r="K997">
            <v>4</v>
          </cell>
        </row>
        <row r="998">
          <cell r="C998" t="str">
            <v>賴慶樺</v>
          </cell>
          <cell r="J998">
            <v>46101</v>
          </cell>
          <cell r="K998">
            <v>4</v>
          </cell>
        </row>
        <row r="999">
          <cell r="C999" t="str">
            <v>賴慶樺</v>
          </cell>
          <cell r="F999" t="str">
            <v>M251201C1</v>
          </cell>
          <cell r="J999">
            <v>46104</v>
          </cell>
          <cell r="K999">
            <v>8</v>
          </cell>
        </row>
        <row r="1000">
          <cell r="C1000" t="str">
            <v>賴慶樺</v>
          </cell>
          <cell r="J1000">
            <v>46105</v>
          </cell>
          <cell r="K1000">
            <v>8</v>
          </cell>
        </row>
        <row r="1001">
          <cell r="C1001" t="str">
            <v>賴慶樺</v>
          </cell>
          <cell r="J1001">
            <v>46106</v>
          </cell>
          <cell r="K1001">
            <v>8</v>
          </cell>
        </row>
        <row r="1002">
          <cell r="C1002" t="str">
            <v>賴慶樺</v>
          </cell>
          <cell r="J1002">
            <v>46107</v>
          </cell>
          <cell r="K1002">
            <v>8</v>
          </cell>
        </row>
        <row r="1003">
          <cell r="C1003" t="str">
            <v>賴慶樺</v>
          </cell>
          <cell r="J1003">
            <v>46108</v>
          </cell>
          <cell r="K1003">
            <v>8</v>
          </cell>
        </row>
        <row r="1004">
          <cell r="C1004" t="str">
            <v>賴慶樺</v>
          </cell>
          <cell r="J1004">
            <v>46111</v>
          </cell>
          <cell r="K1004">
            <v>8</v>
          </cell>
        </row>
        <row r="1005">
          <cell r="C1005" t="str">
            <v>賴慶樺</v>
          </cell>
          <cell r="J1005">
            <v>46112</v>
          </cell>
          <cell r="K1005">
            <v>8</v>
          </cell>
        </row>
        <row r="1006">
          <cell r="C1006" t="str">
            <v>賴慶樺</v>
          </cell>
          <cell r="J1006">
            <v>46113</v>
          </cell>
          <cell r="K1006">
            <v>8</v>
          </cell>
        </row>
        <row r="1007">
          <cell r="C1007" t="str">
            <v>賴慶樺</v>
          </cell>
          <cell r="J1007">
            <v>46114</v>
          </cell>
          <cell r="K1007">
            <v>8</v>
          </cell>
        </row>
        <row r="1008">
          <cell r="C1008" t="str">
            <v>賴慶樺</v>
          </cell>
          <cell r="J1008">
            <v>46114</v>
          </cell>
          <cell r="K1008">
            <v>8</v>
          </cell>
        </row>
        <row r="1009">
          <cell r="C1009" t="str">
            <v>賴慶樺</v>
          </cell>
          <cell r="J1009">
            <v>46119</v>
          </cell>
          <cell r="K1009">
            <v>8</v>
          </cell>
        </row>
        <row r="1010">
          <cell r="C1010" t="str">
            <v>賴慶樺</v>
          </cell>
          <cell r="J1010">
            <v>46120</v>
          </cell>
          <cell r="K1010">
            <v>8</v>
          </cell>
        </row>
        <row r="1011">
          <cell r="C1011" t="str">
            <v>賴慶樺</v>
          </cell>
          <cell r="J1011">
            <v>46121</v>
          </cell>
          <cell r="K1011">
            <v>8</v>
          </cell>
        </row>
        <row r="1012">
          <cell r="C1012" t="str">
            <v>賴慶樺</v>
          </cell>
          <cell r="J1012">
            <v>46122</v>
          </cell>
          <cell r="K1012">
            <v>8</v>
          </cell>
        </row>
        <row r="1013">
          <cell r="C1013" t="str">
            <v>賴慶樺</v>
          </cell>
          <cell r="J1013">
            <v>46125</v>
          </cell>
          <cell r="K1013">
            <v>8</v>
          </cell>
        </row>
        <row r="1014">
          <cell r="C1014" t="str">
            <v>賴慶樺</v>
          </cell>
          <cell r="J1014">
            <v>46126</v>
          </cell>
          <cell r="K1014">
            <v>8</v>
          </cell>
        </row>
        <row r="1015">
          <cell r="C1015" t="str">
            <v>賴慶樺</v>
          </cell>
          <cell r="J1015">
            <v>46127</v>
          </cell>
          <cell r="K1015">
            <v>8</v>
          </cell>
        </row>
        <row r="1016">
          <cell r="C1016" t="str">
            <v>賴慶樺</v>
          </cell>
          <cell r="J1016">
            <v>46128</v>
          </cell>
          <cell r="K1016">
            <v>8</v>
          </cell>
        </row>
        <row r="1017">
          <cell r="C1017" t="str">
            <v>賴慶樺</v>
          </cell>
          <cell r="J1017">
            <v>46129</v>
          </cell>
          <cell r="K1017">
            <v>8</v>
          </cell>
        </row>
        <row r="1018">
          <cell r="C1018" t="str">
            <v>賴慶樺</v>
          </cell>
          <cell r="J1018">
            <v>46132</v>
          </cell>
          <cell r="K1018">
            <v>8</v>
          </cell>
        </row>
        <row r="1019">
          <cell r="C1019" t="str">
            <v>賴慶樺</v>
          </cell>
          <cell r="J1019">
            <v>46133</v>
          </cell>
          <cell r="K1019">
            <v>8</v>
          </cell>
        </row>
        <row r="1020">
          <cell r="C1020" t="str">
            <v>賴慶樺</v>
          </cell>
          <cell r="J1020">
            <v>46134</v>
          </cell>
          <cell r="K1020">
            <v>8</v>
          </cell>
        </row>
        <row r="1021">
          <cell r="C1021" t="str">
            <v>賴慶樺</v>
          </cell>
          <cell r="F1021" t="str">
            <v>D260401R1</v>
          </cell>
          <cell r="J1021">
            <v>46135</v>
          </cell>
          <cell r="K1021">
            <v>8</v>
          </cell>
        </row>
        <row r="1022">
          <cell r="C1022" t="str">
            <v>賴慶樺</v>
          </cell>
          <cell r="F1022" t="str">
            <v>D260401R1</v>
          </cell>
          <cell r="J1022">
            <v>46136</v>
          </cell>
          <cell r="K1022">
            <v>8</v>
          </cell>
        </row>
        <row r="1023">
          <cell r="C1023" t="str">
            <v>賴慶樺</v>
          </cell>
          <cell r="F1023" t="str">
            <v>D260401R1</v>
          </cell>
          <cell r="J1023">
            <v>46139</v>
          </cell>
          <cell r="K1023">
            <v>8</v>
          </cell>
        </row>
        <row r="1024">
          <cell r="C1024" t="str">
            <v>賴慶樺</v>
          </cell>
          <cell r="F1024" t="str">
            <v>D260401R1</v>
          </cell>
          <cell r="J1024">
            <v>46140</v>
          </cell>
          <cell r="K1024">
            <v>8</v>
          </cell>
        </row>
        <row r="1025">
          <cell r="C1025" t="str">
            <v>賴慶樺</v>
          </cell>
          <cell r="F1025" t="str">
            <v>D260401R1</v>
          </cell>
          <cell r="J1025">
            <v>46141</v>
          </cell>
          <cell r="K1025">
            <v>8</v>
          </cell>
        </row>
        <row r="1026">
          <cell r="C1026" t="str">
            <v>賴慶樺</v>
          </cell>
          <cell r="F1026" t="str">
            <v>D260401R1</v>
          </cell>
          <cell r="J1026">
            <v>46142</v>
          </cell>
          <cell r="K1026">
            <v>8</v>
          </cell>
        </row>
        <row r="1027">
          <cell r="C1027" t="str">
            <v>賴慶樺</v>
          </cell>
          <cell r="F1027" t="str">
            <v>D260401R1</v>
          </cell>
          <cell r="J1027">
            <v>46146</v>
          </cell>
          <cell r="K1027">
            <v>8</v>
          </cell>
        </row>
        <row r="1028">
          <cell r="C1028" t="str">
            <v>賴慶樺</v>
          </cell>
          <cell r="F1028" t="str">
            <v>D260401R1</v>
          </cell>
          <cell r="J1028">
            <v>46147</v>
          </cell>
          <cell r="K1028">
            <v>8</v>
          </cell>
        </row>
        <row r="1029">
          <cell r="C1029" t="str">
            <v>賴慶樺</v>
          </cell>
          <cell r="F1029" t="str">
            <v>D260401R1</v>
          </cell>
          <cell r="J1029">
            <v>46148</v>
          </cell>
          <cell r="K1029">
            <v>8</v>
          </cell>
        </row>
        <row r="1030">
          <cell r="C1030" t="str">
            <v>賴慶樺</v>
          </cell>
          <cell r="J1030">
            <v>46149</v>
          </cell>
          <cell r="K1030">
            <v>4</v>
          </cell>
        </row>
        <row r="1031">
          <cell r="C1031" t="str">
            <v>賴慶樺</v>
          </cell>
          <cell r="F1031" t="str">
            <v>M260401C1</v>
          </cell>
          <cell r="J1031">
            <v>46149</v>
          </cell>
          <cell r="K1031">
            <v>4</v>
          </cell>
        </row>
        <row r="1032">
          <cell r="C1032" t="str">
            <v>賴慶樺</v>
          </cell>
          <cell r="F1032" t="str">
            <v>D260401R1</v>
          </cell>
          <cell r="J1032">
            <v>46150</v>
          </cell>
          <cell r="K1032">
            <v>2</v>
          </cell>
        </row>
        <row r="1033">
          <cell r="C1033" t="str">
            <v>賴慶樺</v>
          </cell>
          <cell r="F1033" t="str">
            <v>D260401R1</v>
          </cell>
          <cell r="J1033">
            <v>46150</v>
          </cell>
          <cell r="K1033">
            <v>4</v>
          </cell>
        </row>
        <row r="1034">
          <cell r="C1034" t="str">
            <v>賴慶樺</v>
          </cell>
          <cell r="F1034" t="str">
            <v>D260401R1</v>
          </cell>
          <cell r="J1034">
            <v>46150</v>
          </cell>
          <cell r="K1034">
            <v>2</v>
          </cell>
        </row>
        <row r="1035">
          <cell r="C1035" t="str">
            <v>賴慶樺</v>
          </cell>
          <cell r="F1035" t="str">
            <v>M260401C1</v>
          </cell>
          <cell r="J1035">
            <v>46153</v>
          </cell>
          <cell r="K1035">
            <v>2</v>
          </cell>
        </row>
        <row r="1036">
          <cell r="C1036" t="str">
            <v>賴慶樺</v>
          </cell>
          <cell r="F1036" t="str">
            <v>D260402R1</v>
          </cell>
          <cell r="J1036">
            <v>46153</v>
          </cell>
          <cell r="K1036">
            <v>4</v>
          </cell>
        </row>
        <row r="1037">
          <cell r="C1037" t="str">
            <v>賴慶樺</v>
          </cell>
          <cell r="F1037" t="str">
            <v>D260401R1</v>
          </cell>
          <cell r="J1037">
            <v>46153</v>
          </cell>
          <cell r="K1037">
            <v>2</v>
          </cell>
        </row>
        <row r="1038">
          <cell r="C1038" t="str">
            <v>賴慶樺</v>
          </cell>
          <cell r="F1038" t="str">
            <v>D260401R1</v>
          </cell>
          <cell r="J1038">
            <v>46154</v>
          </cell>
          <cell r="K1038">
            <v>4</v>
          </cell>
        </row>
        <row r="1039">
          <cell r="C1039" t="str">
            <v>賴慶樺</v>
          </cell>
          <cell r="F1039" t="str">
            <v>D260402R1</v>
          </cell>
          <cell r="J1039">
            <v>46154</v>
          </cell>
          <cell r="K1039">
            <v>4</v>
          </cell>
        </row>
        <row r="1040">
          <cell r="C1040" t="str">
            <v>賴慶樺</v>
          </cell>
          <cell r="F1040" t="str">
            <v>D260401R1</v>
          </cell>
          <cell r="J1040">
            <v>46155</v>
          </cell>
          <cell r="K1040">
            <v>4</v>
          </cell>
        </row>
        <row r="1041">
          <cell r="C1041" t="str">
            <v>賴慶樺</v>
          </cell>
          <cell r="F1041" t="str">
            <v>D260402R1</v>
          </cell>
          <cell r="J1041">
            <v>46155</v>
          </cell>
          <cell r="K1041">
            <v>4</v>
          </cell>
        </row>
        <row r="1042">
          <cell r="C1042" t="str">
            <v>賴慶樺</v>
          </cell>
          <cell r="F1042" t="str">
            <v>D260401R1</v>
          </cell>
          <cell r="J1042">
            <v>46156</v>
          </cell>
          <cell r="K1042">
            <v>8</v>
          </cell>
        </row>
        <row r="1043">
          <cell r="C1043" t="str">
            <v>賴慶樺</v>
          </cell>
          <cell r="F1043" t="str">
            <v>D260402R1</v>
          </cell>
          <cell r="J1043">
            <v>46157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46160</v>
          </cell>
          <cell r="K1044">
            <v>8</v>
          </cell>
        </row>
        <row r="1045">
          <cell r="C1045" t="str">
            <v>賴慶樺</v>
          </cell>
          <cell r="J1045">
            <v>46161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46162</v>
          </cell>
          <cell r="K1046">
            <v>8</v>
          </cell>
        </row>
        <row r="1047">
          <cell r="C1047" t="str">
            <v>陳威諭</v>
          </cell>
          <cell r="J1047">
            <v>45705</v>
          </cell>
          <cell r="K1047">
            <v>3</v>
          </cell>
        </row>
        <row r="1048">
          <cell r="C1048" t="str">
            <v>陳威諭</v>
          </cell>
          <cell r="J1048">
            <v>45705</v>
          </cell>
          <cell r="K1048">
            <v>2</v>
          </cell>
        </row>
        <row r="1049">
          <cell r="C1049" t="str">
            <v>陳威諭</v>
          </cell>
          <cell r="J1049">
            <v>45705</v>
          </cell>
          <cell r="K1049">
            <v>3</v>
          </cell>
        </row>
        <row r="1050">
          <cell r="C1050" t="str">
            <v>陳威諭</v>
          </cell>
          <cell r="J1050">
            <v>45706</v>
          </cell>
          <cell r="K1050">
            <v>2</v>
          </cell>
        </row>
        <row r="1051">
          <cell r="C1051" t="str">
            <v>陳威諭</v>
          </cell>
          <cell r="J1051">
            <v>45706</v>
          </cell>
          <cell r="K1051">
            <v>2</v>
          </cell>
        </row>
        <row r="1052">
          <cell r="C1052" t="str">
            <v>陳威諭</v>
          </cell>
          <cell r="J1052">
            <v>45706</v>
          </cell>
          <cell r="K1052">
            <v>2</v>
          </cell>
        </row>
        <row r="1053">
          <cell r="C1053" t="str">
            <v>陳威諭</v>
          </cell>
          <cell r="J1053">
            <v>45706</v>
          </cell>
          <cell r="K1053">
            <v>2</v>
          </cell>
        </row>
        <row r="1054">
          <cell r="C1054" t="str">
            <v>陳威諭</v>
          </cell>
          <cell r="J1054">
            <v>45707</v>
          </cell>
          <cell r="K1054">
            <v>2</v>
          </cell>
        </row>
        <row r="1055">
          <cell r="C1055" t="str">
            <v>陳威諭</v>
          </cell>
          <cell r="J1055">
            <v>45707</v>
          </cell>
          <cell r="K1055">
            <v>6</v>
          </cell>
        </row>
        <row r="1056">
          <cell r="C1056" t="str">
            <v>陳威諭</v>
          </cell>
          <cell r="J1056">
            <v>45708</v>
          </cell>
          <cell r="K1056">
            <v>2</v>
          </cell>
        </row>
        <row r="1057">
          <cell r="C1057" t="str">
            <v>陳威諭</v>
          </cell>
          <cell r="J1057">
            <v>45708</v>
          </cell>
          <cell r="K1057">
            <v>4</v>
          </cell>
        </row>
        <row r="1058">
          <cell r="C1058" t="str">
            <v>陳威諭</v>
          </cell>
          <cell r="J1058">
            <v>45708</v>
          </cell>
          <cell r="K1058">
            <v>2</v>
          </cell>
        </row>
        <row r="1059">
          <cell r="C1059" t="str">
            <v>陳威諭</v>
          </cell>
          <cell r="J1059">
            <v>45709</v>
          </cell>
          <cell r="K1059">
            <v>4</v>
          </cell>
        </row>
        <row r="1060">
          <cell r="C1060" t="str">
            <v>陳威諭</v>
          </cell>
          <cell r="J1060">
            <v>45709</v>
          </cell>
          <cell r="K1060">
            <v>2</v>
          </cell>
        </row>
        <row r="1061">
          <cell r="C1061" t="str">
            <v>陳威諭</v>
          </cell>
          <cell r="J1061">
            <v>45709</v>
          </cell>
          <cell r="K1061">
            <v>2</v>
          </cell>
        </row>
        <row r="1062">
          <cell r="C1062" t="str">
            <v>陳威諭</v>
          </cell>
          <cell r="J1062">
            <v>45712</v>
          </cell>
          <cell r="K1062">
            <v>4</v>
          </cell>
        </row>
        <row r="1063">
          <cell r="C1063" t="str">
            <v>陳威諭</v>
          </cell>
          <cell r="J1063">
            <v>45712</v>
          </cell>
          <cell r="K1063">
            <v>4</v>
          </cell>
        </row>
        <row r="1064">
          <cell r="C1064" t="str">
            <v>陳威諭</v>
          </cell>
          <cell r="J1064">
            <v>45713</v>
          </cell>
          <cell r="K1064">
            <v>4</v>
          </cell>
        </row>
        <row r="1065">
          <cell r="C1065" t="str">
            <v>陳威諭</v>
          </cell>
          <cell r="F1065" t="str">
            <v>D241001R1</v>
          </cell>
          <cell r="J1065">
            <v>45713</v>
          </cell>
          <cell r="K1065">
            <v>4</v>
          </cell>
        </row>
        <row r="1066">
          <cell r="C1066" t="str">
            <v>陳威諭</v>
          </cell>
          <cell r="J1066">
            <v>45714</v>
          </cell>
          <cell r="K1066">
            <v>1</v>
          </cell>
        </row>
        <row r="1067">
          <cell r="C1067" t="str">
            <v>陳威諭</v>
          </cell>
          <cell r="F1067" t="str">
            <v>D241001R1</v>
          </cell>
          <cell r="J1067">
            <v>45714</v>
          </cell>
          <cell r="K1067">
            <v>6</v>
          </cell>
        </row>
        <row r="1068">
          <cell r="C1068" t="str">
            <v>陳威諭</v>
          </cell>
          <cell r="J1068">
            <v>45714</v>
          </cell>
          <cell r="K1068">
            <v>1</v>
          </cell>
        </row>
        <row r="1069">
          <cell r="C1069" t="str">
            <v>陳威諭</v>
          </cell>
          <cell r="J1069">
            <v>45715</v>
          </cell>
          <cell r="K1069">
            <v>2</v>
          </cell>
        </row>
        <row r="1070">
          <cell r="C1070" t="str">
            <v>陳威諭</v>
          </cell>
          <cell r="J1070">
            <v>45715</v>
          </cell>
          <cell r="K1070">
            <v>6</v>
          </cell>
        </row>
        <row r="1071">
          <cell r="C1071" t="str">
            <v>陳威諭</v>
          </cell>
          <cell r="J1071">
            <v>45719</v>
          </cell>
          <cell r="K1071">
            <v>4</v>
          </cell>
        </row>
        <row r="1072">
          <cell r="C1072" t="str">
            <v>陳威諭</v>
          </cell>
          <cell r="J1072">
            <v>45719</v>
          </cell>
          <cell r="K1072">
            <v>2</v>
          </cell>
        </row>
        <row r="1073">
          <cell r="C1073" t="str">
            <v>陳威諭</v>
          </cell>
          <cell r="J1073">
            <v>45719</v>
          </cell>
          <cell r="K1073">
            <v>2</v>
          </cell>
        </row>
        <row r="1074">
          <cell r="C1074" t="str">
            <v>陳威諭</v>
          </cell>
          <cell r="J1074">
            <v>45720</v>
          </cell>
          <cell r="K1074">
            <v>3</v>
          </cell>
        </row>
        <row r="1075">
          <cell r="C1075" t="str">
            <v>陳威諭</v>
          </cell>
          <cell r="J1075">
            <v>45720</v>
          </cell>
          <cell r="K1075">
            <v>1</v>
          </cell>
        </row>
        <row r="1076">
          <cell r="C1076" t="str">
            <v>陳威諭</v>
          </cell>
          <cell r="J1076">
            <v>45720</v>
          </cell>
          <cell r="K1076">
            <v>4</v>
          </cell>
        </row>
        <row r="1077">
          <cell r="C1077" t="str">
            <v>陳威諭</v>
          </cell>
          <cell r="J1077">
            <v>45721</v>
          </cell>
          <cell r="K1077">
            <v>4</v>
          </cell>
        </row>
        <row r="1078">
          <cell r="C1078" t="str">
            <v>陳威諭</v>
          </cell>
          <cell r="J1078">
            <v>45721</v>
          </cell>
          <cell r="K1078">
            <v>4</v>
          </cell>
        </row>
        <row r="1079">
          <cell r="C1079" t="str">
            <v>陳威諭</v>
          </cell>
          <cell r="J1079">
            <v>45722</v>
          </cell>
          <cell r="K1079">
            <v>4</v>
          </cell>
        </row>
        <row r="1080">
          <cell r="C1080" t="str">
            <v>陳威諭</v>
          </cell>
          <cell r="J1080">
            <v>45722</v>
          </cell>
          <cell r="K1080">
            <v>4</v>
          </cell>
        </row>
        <row r="1081">
          <cell r="C1081" t="str">
            <v>陳威諭</v>
          </cell>
          <cell r="J1081">
            <v>45723</v>
          </cell>
          <cell r="K1081">
            <v>4</v>
          </cell>
        </row>
        <row r="1082">
          <cell r="C1082" t="str">
            <v>陳威諭</v>
          </cell>
          <cell r="F1082" t="str">
            <v>M250301C1</v>
          </cell>
          <cell r="J1082">
            <v>45723</v>
          </cell>
          <cell r="K1082">
            <v>4</v>
          </cell>
        </row>
        <row r="1083">
          <cell r="C1083" t="str">
            <v>陳威諭</v>
          </cell>
          <cell r="J1083">
            <v>45726</v>
          </cell>
          <cell r="K1083">
            <v>2</v>
          </cell>
        </row>
        <row r="1084">
          <cell r="C1084" t="str">
            <v>陳威諭</v>
          </cell>
          <cell r="J1084">
            <v>45726</v>
          </cell>
          <cell r="K1084">
            <v>2</v>
          </cell>
        </row>
        <row r="1085">
          <cell r="C1085" t="str">
            <v>陳威諭</v>
          </cell>
          <cell r="F1085" t="str">
            <v>M250301C1</v>
          </cell>
          <cell r="J1085">
            <v>45726</v>
          </cell>
          <cell r="K1085">
            <v>4</v>
          </cell>
        </row>
        <row r="1086">
          <cell r="C1086" t="str">
            <v>陳威諭</v>
          </cell>
          <cell r="J1086">
            <v>45727</v>
          </cell>
          <cell r="K1086">
            <v>3</v>
          </cell>
        </row>
        <row r="1087">
          <cell r="C1087" t="str">
            <v>陳威諭</v>
          </cell>
          <cell r="J1087">
            <v>45727</v>
          </cell>
          <cell r="K1087">
            <v>3</v>
          </cell>
        </row>
        <row r="1088">
          <cell r="C1088" t="str">
            <v>陳威諭</v>
          </cell>
          <cell r="F1088" t="str">
            <v>M250301C1</v>
          </cell>
          <cell r="J1088">
            <v>45727</v>
          </cell>
          <cell r="K1088">
            <v>1</v>
          </cell>
        </row>
        <row r="1089">
          <cell r="C1089" t="str">
            <v>陳威諭</v>
          </cell>
          <cell r="F1089" t="str">
            <v>M250301C1</v>
          </cell>
          <cell r="J1089">
            <v>45727</v>
          </cell>
          <cell r="K1089">
            <v>1</v>
          </cell>
        </row>
        <row r="1090">
          <cell r="C1090" t="str">
            <v>陳威諭</v>
          </cell>
          <cell r="J1090">
            <v>45728</v>
          </cell>
          <cell r="K1090">
            <v>3</v>
          </cell>
        </row>
        <row r="1091">
          <cell r="C1091" t="str">
            <v>陳威諭</v>
          </cell>
          <cell r="J1091">
            <v>45728</v>
          </cell>
          <cell r="K1091">
            <v>2</v>
          </cell>
        </row>
        <row r="1092">
          <cell r="C1092" t="str">
            <v>陳威諭</v>
          </cell>
          <cell r="F1092" t="str">
            <v>M250301C1</v>
          </cell>
          <cell r="J1092">
            <v>45728</v>
          </cell>
          <cell r="K1092">
            <v>3</v>
          </cell>
        </row>
        <row r="1093">
          <cell r="C1093" t="str">
            <v>陳威諭</v>
          </cell>
          <cell r="J1093">
            <v>45729</v>
          </cell>
          <cell r="K1093">
            <v>1</v>
          </cell>
        </row>
        <row r="1094">
          <cell r="C1094" t="str">
            <v>陳威諭</v>
          </cell>
          <cell r="J1094">
            <v>45729</v>
          </cell>
          <cell r="K1094">
            <v>5</v>
          </cell>
        </row>
        <row r="1095">
          <cell r="C1095" t="str">
            <v>陳威諭</v>
          </cell>
          <cell r="F1095" t="str">
            <v>M250301C1</v>
          </cell>
          <cell r="J1095">
            <v>45729</v>
          </cell>
          <cell r="K1095">
            <v>2</v>
          </cell>
        </row>
        <row r="1096">
          <cell r="C1096" t="str">
            <v>陳威諭</v>
          </cell>
          <cell r="J1096">
            <v>45730</v>
          </cell>
          <cell r="K1096">
            <v>1</v>
          </cell>
        </row>
        <row r="1097">
          <cell r="C1097" t="str">
            <v>陳威諭</v>
          </cell>
          <cell r="J1097">
            <v>45730</v>
          </cell>
          <cell r="K1097">
            <v>4</v>
          </cell>
        </row>
        <row r="1098">
          <cell r="C1098" t="str">
            <v>陳威諭</v>
          </cell>
          <cell r="F1098" t="str">
            <v>M250301C1</v>
          </cell>
          <cell r="J1098">
            <v>45730</v>
          </cell>
          <cell r="K1098">
            <v>3</v>
          </cell>
        </row>
        <row r="1099">
          <cell r="C1099" t="str">
            <v>陳威諭</v>
          </cell>
          <cell r="J1099">
            <v>45733</v>
          </cell>
          <cell r="K1099">
            <v>4</v>
          </cell>
        </row>
        <row r="1100">
          <cell r="C1100" t="str">
            <v>陳威諭</v>
          </cell>
          <cell r="F1100" t="str">
            <v>M250301C1</v>
          </cell>
          <cell r="J1100">
            <v>45733</v>
          </cell>
          <cell r="K1100">
            <v>4</v>
          </cell>
        </row>
        <row r="1101">
          <cell r="C1101" t="str">
            <v>陳威諭</v>
          </cell>
          <cell r="J1101">
            <v>45734</v>
          </cell>
          <cell r="K1101">
            <v>5</v>
          </cell>
        </row>
        <row r="1102">
          <cell r="C1102" t="str">
            <v>陳威諭</v>
          </cell>
          <cell r="F1102" t="str">
            <v>M250301C1</v>
          </cell>
          <cell r="J1102">
            <v>45734</v>
          </cell>
          <cell r="K1102">
            <v>3</v>
          </cell>
        </row>
        <row r="1103">
          <cell r="C1103" t="str">
            <v>陳威諭</v>
          </cell>
          <cell r="J1103">
            <v>45735</v>
          </cell>
          <cell r="K1103">
            <v>3</v>
          </cell>
        </row>
        <row r="1104">
          <cell r="C1104" t="str">
            <v>陳威諭</v>
          </cell>
          <cell r="J1104">
            <v>45735</v>
          </cell>
          <cell r="K1104">
            <v>2</v>
          </cell>
        </row>
        <row r="1105">
          <cell r="C1105" t="str">
            <v>陳威諭</v>
          </cell>
          <cell r="F1105" t="str">
            <v>M250301C1</v>
          </cell>
          <cell r="J1105">
            <v>45735</v>
          </cell>
          <cell r="K1105">
            <v>3</v>
          </cell>
        </row>
        <row r="1106">
          <cell r="C1106" t="str">
            <v>陳威諭</v>
          </cell>
          <cell r="J1106">
            <v>45736</v>
          </cell>
          <cell r="K1106">
            <v>1</v>
          </cell>
        </row>
        <row r="1107">
          <cell r="C1107" t="str">
            <v>陳威諭</v>
          </cell>
          <cell r="J1107">
            <v>45736</v>
          </cell>
          <cell r="K1107">
            <v>3</v>
          </cell>
        </row>
        <row r="1108">
          <cell r="C1108" t="str">
            <v>陳威諭</v>
          </cell>
          <cell r="F1108" t="str">
            <v>M250301C1</v>
          </cell>
          <cell r="J1108">
            <v>45736</v>
          </cell>
          <cell r="K1108">
            <v>4</v>
          </cell>
        </row>
        <row r="1109">
          <cell r="C1109" t="str">
            <v>陳威諭</v>
          </cell>
          <cell r="J1109">
            <v>45737</v>
          </cell>
          <cell r="K1109">
            <v>3</v>
          </cell>
        </row>
        <row r="1110">
          <cell r="C1110" t="str">
            <v>陳威諭</v>
          </cell>
          <cell r="J1110">
            <v>45737</v>
          </cell>
          <cell r="K1110">
            <v>2</v>
          </cell>
        </row>
        <row r="1111">
          <cell r="C1111" t="str">
            <v>陳威諭</v>
          </cell>
          <cell r="F1111" t="str">
            <v>M250301C1</v>
          </cell>
          <cell r="J1111">
            <v>45737</v>
          </cell>
          <cell r="K1111">
            <v>3</v>
          </cell>
        </row>
        <row r="1112">
          <cell r="C1112" t="str">
            <v>陳威諭</v>
          </cell>
          <cell r="J1112">
            <v>45740</v>
          </cell>
          <cell r="K1112">
            <v>2</v>
          </cell>
        </row>
        <row r="1113">
          <cell r="C1113" t="str">
            <v>陳威諭</v>
          </cell>
          <cell r="J1113">
            <v>45740</v>
          </cell>
          <cell r="K1113">
            <v>3</v>
          </cell>
        </row>
        <row r="1114">
          <cell r="C1114" t="str">
            <v>陳威諭</v>
          </cell>
          <cell r="F1114" t="str">
            <v>M250301C1</v>
          </cell>
          <cell r="J1114">
            <v>45740</v>
          </cell>
          <cell r="K1114">
            <v>3</v>
          </cell>
        </row>
        <row r="1115">
          <cell r="C1115" t="str">
            <v>陳威諭</v>
          </cell>
          <cell r="J1115">
            <v>45741</v>
          </cell>
          <cell r="K1115">
            <v>3</v>
          </cell>
        </row>
        <row r="1116">
          <cell r="C1116" t="str">
            <v>陳威諭</v>
          </cell>
          <cell r="J1116">
            <v>45741</v>
          </cell>
          <cell r="K1116">
            <v>3</v>
          </cell>
        </row>
        <row r="1117">
          <cell r="C1117" t="str">
            <v>陳威諭</v>
          </cell>
          <cell r="F1117" t="str">
            <v>M250301C1</v>
          </cell>
          <cell r="J1117">
            <v>45741</v>
          </cell>
          <cell r="K1117">
            <v>2</v>
          </cell>
        </row>
        <row r="1118">
          <cell r="C1118" t="str">
            <v>陳威諭</v>
          </cell>
          <cell r="J1118">
            <v>45742</v>
          </cell>
          <cell r="K1118">
            <v>4</v>
          </cell>
        </row>
        <row r="1119">
          <cell r="C1119" t="str">
            <v>陳威諭</v>
          </cell>
          <cell r="F1119" t="str">
            <v>M250301C1</v>
          </cell>
          <cell r="J1119">
            <v>45742</v>
          </cell>
          <cell r="K1119">
            <v>4</v>
          </cell>
        </row>
        <row r="1120">
          <cell r="C1120" t="str">
            <v>陳威諭</v>
          </cell>
          <cell r="J1120">
            <v>45743</v>
          </cell>
          <cell r="K1120">
            <v>2</v>
          </cell>
        </row>
        <row r="1121">
          <cell r="C1121" t="str">
            <v>陳威諭</v>
          </cell>
          <cell r="F1121" t="str">
            <v>M250301C1</v>
          </cell>
          <cell r="J1121">
            <v>45743</v>
          </cell>
          <cell r="K1121">
            <v>6</v>
          </cell>
        </row>
        <row r="1122">
          <cell r="C1122" t="str">
            <v>陳威諭</v>
          </cell>
          <cell r="J1122">
            <v>45744</v>
          </cell>
          <cell r="K1122">
            <v>4</v>
          </cell>
        </row>
        <row r="1123">
          <cell r="C1123" t="str">
            <v>陳威諭</v>
          </cell>
          <cell r="F1123" t="str">
            <v>M250301C1</v>
          </cell>
          <cell r="J1123">
            <v>45744</v>
          </cell>
          <cell r="K1123">
            <v>4</v>
          </cell>
        </row>
        <row r="1124">
          <cell r="C1124" t="str">
            <v>陳威諭</v>
          </cell>
          <cell r="J1124">
            <v>45747</v>
          </cell>
          <cell r="K1124">
            <v>6</v>
          </cell>
        </row>
        <row r="1125">
          <cell r="C1125" t="str">
            <v>陳威諭</v>
          </cell>
          <cell r="F1125" t="str">
            <v>M250301C1</v>
          </cell>
          <cell r="J1125">
            <v>45747</v>
          </cell>
          <cell r="K1125">
            <v>2</v>
          </cell>
        </row>
        <row r="1126">
          <cell r="C1126" t="str">
            <v>陳威諭</v>
          </cell>
          <cell r="J1126">
            <v>45748</v>
          </cell>
          <cell r="K1126">
            <v>5</v>
          </cell>
        </row>
        <row r="1127">
          <cell r="C1127" t="str">
            <v>陳威諭</v>
          </cell>
          <cell r="F1127" t="str">
            <v>M250301C1</v>
          </cell>
          <cell r="J1127">
            <v>45748</v>
          </cell>
          <cell r="K1127">
            <v>3</v>
          </cell>
        </row>
        <row r="1128">
          <cell r="C1128" t="str">
            <v>陳威諭</v>
          </cell>
          <cell r="F1128" t="str">
            <v>M250301C1</v>
          </cell>
          <cell r="J1128">
            <v>45749</v>
          </cell>
          <cell r="K1128">
            <v>1</v>
          </cell>
        </row>
        <row r="1129">
          <cell r="C1129" t="str">
            <v>陳威諭</v>
          </cell>
          <cell r="J1129">
            <v>45749</v>
          </cell>
          <cell r="K1129">
            <v>7</v>
          </cell>
        </row>
        <row r="1130">
          <cell r="C1130" t="str">
            <v>陳威諭</v>
          </cell>
          <cell r="J1130">
            <v>45754</v>
          </cell>
          <cell r="K1130">
            <v>8</v>
          </cell>
        </row>
        <row r="1131">
          <cell r="C1131" t="str">
            <v>陳威諭</v>
          </cell>
          <cell r="J1131">
            <v>45755</v>
          </cell>
          <cell r="K1131">
            <v>8</v>
          </cell>
        </row>
        <row r="1132">
          <cell r="C1132" t="str">
            <v>陳威諭</v>
          </cell>
          <cell r="J1132">
            <v>45756</v>
          </cell>
          <cell r="K1132">
            <v>8</v>
          </cell>
        </row>
        <row r="1133">
          <cell r="C1133" t="str">
            <v>陳威諭</v>
          </cell>
          <cell r="F1133" t="str">
            <v>M250301C1</v>
          </cell>
          <cell r="J1133">
            <v>45757</v>
          </cell>
          <cell r="K1133">
            <v>3</v>
          </cell>
        </row>
        <row r="1134">
          <cell r="C1134" t="str">
            <v>陳威諭</v>
          </cell>
          <cell r="J1134">
            <v>45757</v>
          </cell>
          <cell r="K1134">
            <v>5</v>
          </cell>
        </row>
        <row r="1135">
          <cell r="C1135" t="str">
            <v>陳威諭</v>
          </cell>
          <cell r="J1135">
            <v>45758</v>
          </cell>
          <cell r="K1135">
            <v>4</v>
          </cell>
        </row>
        <row r="1136">
          <cell r="C1136" t="str">
            <v>陳威諭</v>
          </cell>
          <cell r="J1136">
            <v>45758</v>
          </cell>
          <cell r="K1136">
            <v>4</v>
          </cell>
        </row>
        <row r="1137">
          <cell r="C1137" t="str">
            <v>陳威諭</v>
          </cell>
          <cell r="J1137">
            <v>45761</v>
          </cell>
          <cell r="K1137">
            <v>8</v>
          </cell>
        </row>
        <row r="1138">
          <cell r="C1138" t="str">
            <v>陳威諭</v>
          </cell>
          <cell r="J1138">
            <v>45762</v>
          </cell>
          <cell r="K1138">
            <v>8</v>
          </cell>
        </row>
        <row r="1139">
          <cell r="C1139" t="str">
            <v>陳威諭</v>
          </cell>
          <cell r="J1139">
            <v>45763</v>
          </cell>
          <cell r="K1139">
            <v>8</v>
          </cell>
        </row>
        <row r="1140">
          <cell r="C1140" t="str">
            <v>陳威諭</v>
          </cell>
          <cell r="J1140">
            <v>45764</v>
          </cell>
          <cell r="K1140">
            <v>8</v>
          </cell>
        </row>
        <row r="1141">
          <cell r="C1141" t="str">
            <v>陳威諭</v>
          </cell>
          <cell r="J1141">
            <v>45765</v>
          </cell>
          <cell r="K1141">
            <v>8</v>
          </cell>
        </row>
        <row r="1142">
          <cell r="C1142" t="str">
            <v>陳威諭</v>
          </cell>
          <cell r="J1142">
            <v>45768</v>
          </cell>
          <cell r="K1142">
            <v>4</v>
          </cell>
        </row>
        <row r="1143">
          <cell r="C1143" t="str">
            <v>陳威諭</v>
          </cell>
          <cell r="J1143">
            <v>45768</v>
          </cell>
          <cell r="K1143">
            <v>1</v>
          </cell>
        </row>
        <row r="1144">
          <cell r="C1144" t="str">
            <v>陳威諭</v>
          </cell>
          <cell r="F1144" t="str">
            <v>M240704R1</v>
          </cell>
          <cell r="J1144">
            <v>45768</v>
          </cell>
          <cell r="K1144">
            <v>3</v>
          </cell>
        </row>
        <row r="1145">
          <cell r="C1145" t="str">
            <v>陳威諭</v>
          </cell>
          <cell r="J1145">
            <v>45769</v>
          </cell>
          <cell r="K1145">
            <v>4</v>
          </cell>
        </row>
        <row r="1146">
          <cell r="C1146" t="str">
            <v>陳威諭</v>
          </cell>
          <cell r="J1146">
            <v>45769</v>
          </cell>
          <cell r="K1146">
            <v>1</v>
          </cell>
        </row>
        <row r="1147">
          <cell r="C1147" t="str">
            <v>陳威諭</v>
          </cell>
          <cell r="F1147" t="str">
            <v>M250301C1</v>
          </cell>
          <cell r="J1147">
            <v>45769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45769</v>
          </cell>
          <cell r="K1148">
            <v>2</v>
          </cell>
        </row>
        <row r="1149">
          <cell r="C1149" t="str">
            <v>陳威諭</v>
          </cell>
          <cell r="J1149">
            <v>45770</v>
          </cell>
          <cell r="K1149">
            <v>3</v>
          </cell>
        </row>
        <row r="1150">
          <cell r="C1150" t="str">
            <v>陳威諭</v>
          </cell>
          <cell r="J1150">
            <v>45770</v>
          </cell>
          <cell r="K1150">
            <v>4</v>
          </cell>
        </row>
        <row r="1151">
          <cell r="C1151" t="str">
            <v>陳威諭</v>
          </cell>
          <cell r="J1151">
            <v>45770</v>
          </cell>
          <cell r="K1151">
            <v>1</v>
          </cell>
        </row>
        <row r="1152">
          <cell r="C1152" t="str">
            <v>陳威諭</v>
          </cell>
          <cell r="J1152">
            <v>45771</v>
          </cell>
          <cell r="K1152">
            <v>1</v>
          </cell>
        </row>
        <row r="1153">
          <cell r="C1153" t="str">
            <v>陳威諭</v>
          </cell>
          <cell r="J1153">
            <v>45771</v>
          </cell>
          <cell r="K1153">
            <v>5</v>
          </cell>
        </row>
        <row r="1154">
          <cell r="C1154" t="str">
            <v>陳威諭</v>
          </cell>
          <cell r="F1154" t="str">
            <v>M240704R1</v>
          </cell>
          <cell r="J1154">
            <v>45771</v>
          </cell>
          <cell r="K1154">
            <v>2</v>
          </cell>
        </row>
        <row r="1155">
          <cell r="C1155" t="str">
            <v>陳威諭</v>
          </cell>
          <cell r="J1155">
            <v>45772</v>
          </cell>
          <cell r="K1155">
            <v>1</v>
          </cell>
        </row>
        <row r="1156">
          <cell r="C1156" t="str">
            <v>陳威諭</v>
          </cell>
          <cell r="J1156">
            <v>45772</v>
          </cell>
          <cell r="K1156">
            <v>1</v>
          </cell>
        </row>
        <row r="1157">
          <cell r="C1157" t="str">
            <v>陳威諭</v>
          </cell>
          <cell r="J1157">
            <v>45772</v>
          </cell>
          <cell r="K1157">
            <v>3</v>
          </cell>
        </row>
        <row r="1158">
          <cell r="C1158" t="str">
            <v>陳威諭</v>
          </cell>
          <cell r="F1158" t="str">
            <v>M240704R1</v>
          </cell>
          <cell r="J1158">
            <v>45772</v>
          </cell>
          <cell r="K1158">
            <v>3</v>
          </cell>
        </row>
        <row r="1159">
          <cell r="C1159" t="str">
            <v>陳威諭</v>
          </cell>
          <cell r="J1159">
            <v>45775</v>
          </cell>
          <cell r="K1159">
            <v>1</v>
          </cell>
        </row>
        <row r="1160">
          <cell r="C1160" t="str">
            <v>陳威諭</v>
          </cell>
          <cell r="J1160">
            <v>45775</v>
          </cell>
          <cell r="K1160">
            <v>2</v>
          </cell>
        </row>
        <row r="1161">
          <cell r="C1161" t="str">
            <v>陳威諭</v>
          </cell>
          <cell r="F1161" t="str">
            <v>M240704R1</v>
          </cell>
          <cell r="J1161">
            <v>45775</v>
          </cell>
          <cell r="K1161">
            <v>5</v>
          </cell>
        </row>
        <row r="1162">
          <cell r="C1162" t="str">
            <v>陳威諭</v>
          </cell>
          <cell r="J1162">
            <v>45776</v>
          </cell>
          <cell r="K1162">
            <v>2</v>
          </cell>
        </row>
        <row r="1163">
          <cell r="C1163" t="str">
            <v>陳威諭</v>
          </cell>
          <cell r="J1163">
            <v>45776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45776</v>
          </cell>
          <cell r="K1164">
            <v>5</v>
          </cell>
        </row>
        <row r="1165">
          <cell r="C1165" t="str">
            <v>陳威諭</v>
          </cell>
          <cell r="J1165">
            <v>45777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45777</v>
          </cell>
          <cell r="K1166">
            <v>7</v>
          </cell>
        </row>
        <row r="1167">
          <cell r="C1167" t="str">
            <v>陳威諭</v>
          </cell>
          <cell r="J1167">
            <v>45778</v>
          </cell>
          <cell r="K1167">
            <v>8</v>
          </cell>
        </row>
        <row r="1168">
          <cell r="C1168" t="str">
            <v>陳威諭</v>
          </cell>
          <cell r="F1168" t="str">
            <v>M250301C1</v>
          </cell>
          <cell r="J1168">
            <v>45779</v>
          </cell>
          <cell r="K1168">
            <v>2</v>
          </cell>
        </row>
        <row r="1169">
          <cell r="C1169" t="str">
            <v>陳威諭</v>
          </cell>
          <cell r="J1169">
            <v>45779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45779</v>
          </cell>
          <cell r="K1170">
            <v>5</v>
          </cell>
        </row>
        <row r="1171">
          <cell r="C1171" t="str">
            <v>陳威諭</v>
          </cell>
          <cell r="J1171">
            <v>45782</v>
          </cell>
          <cell r="K1171">
            <v>1</v>
          </cell>
        </row>
        <row r="1172">
          <cell r="C1172" t="str">
            <v>陳威諭</v>
          </cell>
          <cell r="F1172" t="str">
            <v>M240704R1</v>
          </cell>
          <cell r="J1172">
            <v>45782</v>
          </cell>
          <cell r="K1172">
            <v>7</v>
          </cell>
        </row>
        <row r="1173">
          <cell r="C1173" t="str">
            <v>陳威諭</v>
          </cell>
          <cell r="J1173">
            <v>45783</v>
          </cell>
          <cell r="K1173">
            <v>1</v>
          </cell>
        </row>
        <row r="1174">
          <cell r="C1174" t="str">
            <v>陳威諭</v>
          </cell>
          <cell r="F1174" t="str">
            <v>M250301C1</v>
          </cell>
          <cell r="J1174">
            <v>45783</v>
          </cell>
          <cell r="K1174">
            <v>1</v>
          </cell>
        </row>
        <row r="1175">
          <cell r="C1175" t="str">
            <v>陳威諭</v>
          </cell>
          <cell r="F1175" t="str">
            <v>M240704R1</v>
          </cell>
          <cell r="J1175">
            <v>45783</v>
          </cell>
          <cell r="K1175">
            <v>6</v>
          </cell>
        </row>
        <row r="1176">
          <cell r="C1176" t="str">
            <v>陳威諭</v>
          </cell>
          <cell r="J1176">
            <v>45784</v>
          </cell>
          <cell r="K1176">
            <v>1</v>
          </cell>
        </row>
        <row r="1177">
          <cell r="C1177" t="str">
            <v>陳威諭</v>
          </cell>
          <cell r="F1177" t="str">
            <v>M240704R1</v>
          </cell>
          <cell r="J1177">
            <v>45784</v>
          </cell>
          <cell r="K1177">
            <v>7</v>
          </cell>
        </row>
        <row r="1178">
          <cell r="C1178" t="str">
            <v>陳威諭</v>
          </cell>
          <cell r="J1178">
            <v>45785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45785</v>
          </cell>
          <cell r="K1179">
            <v>7</v>
          </cell>
        </row>
        <row r="1180">
          <cell r="C1180" t="str">
            <v>陳威諭</v>
          </cell>
          <cell r="J1180">
            <v>45786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45786</v>
          </cell>
          <cell r="K1181">
            <v>7</v>
          </cell>
        </row>
        <row r="1182">
          <cell r="C1182" t="str">
            <v>陳威諭</v>
          </cell>
          <cell r="J1182">
            <v>45789</v>
          </cell>
          <cell r="K1182">
            <v>4</v>
          </cell>
        </row>
        <row r="1183">
          <cell r="C1183" t="str">
            <v>陳威諭</v>
          </cell>
          <cell r="J1183">
            <v>45789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45789</v>
          </cell>
          <cell r="K1184">
            <v>3</v>
          </cell>
        </row>
        <row r="1185">
          <cell r="C1185" t="str">
            <v>陳威諭</v>
          </cell>
          <cell r="J1185">
            <v>45790</v>
          </cell>
          <cell r="K1185">
            <v>4</v>
          </cell>
        </row>
        <row r="1186">
          <cell r="C1186" t="str">
            <v>陳威諭</v>
          </cell>
          <cell r="J1186">
            <v>45790</v>
          </cell>
          <cell r="K1186">
            <v>1</v>
          </cell>
        </row>
        <row r="1187">
          <cell r="C1187" t="str">
            <v>陳威諭</v>
          </cell>
          <cell r="F1187" t="str">
            <v>M240704R1</v>
          </cell>
          <cell r="J1187">
            <v>45790</v>
          </cell>
          <cell r="K1187">
            <v>3</v>
          </cell>
        </row>
        <row r="1188">
          <cell r="C1188" t="str">
            <v>陳威諭</v>
          </cell>
          <cell r="J1188">
            <v>45791</v>
          </cell>
          <cell r="K1188">
            <v>1</v>
          </cell>
        </row>
        <row r="1189">
          <cell r="C1189" t="str">
            <v>陳威諭</v>
          </cell>
          <cell r="J1189">
            <v>45791</v>
          </cell>
          <cell r="K1189">
            <v>4</v>
          </cell>
        </row>
        <row r="1190">
          <cell r="C1190" t="str">
            <v>陳威諭</v>
          </cell>
          <cell r="F1190" t="str">
            <v>M240704R1</v>
          </cell>
          <cell r="J1190">
            <v>45791</v>
          </cell>
          <cell r="K1190">
            <v>3</v>
          </cell>
        </row>
        <row r="1191">
          <cell r="C1191" t="str">
            <v>陳威諭</v>
          </cell>
          <cell r="J1191">
            <v>45792</v>
          </cell>
          <cell r="K1191">
            <v>1</v>
          </cell>
        </row>
        <row r="1192">
          <cell r="C1192" t="str">
            <v>陳威諭</v>
          </cell>
          <cell r="F1192" t="str">
            <v>M240704R1</v>
          </cell>
          <cell r="J1192">
            <v>45792</v>
          </cell>
          <cell r="K1192">
            <v>7</v>
          </cell>
        </row>
        <row r="1193">
          <cell r="C1193" t="str">
            <v>陳威諭</v>
          </cell>
          <cell r="J1193">
            <v>45793</v>
          </cell>
          <cell r="K1193">
            <v>3</v>
          </cell>
        </row>
        <row r="1194">
          <cell r="C1194" t="str">
            <v>陳威諭</v>
          </cell>
          <cell r="J1194">
            <v>45793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45793</v>
          </cell>
          <cell r="K1195">
            <v>4</v>
          </cell>
        </row>
        <row r="1196">
          <cell r="C1196" t="str">
            <v>陳威諭</v>
          </cell>
          <cell r="F1196" t="str">
            <v>M250301C1</v>
          </cell>
          <cell r="J1196">
            <v>45796</v>
          </cell>
          <cell r="K1196">
            <v>0.5</v>
          </cell>
        </row>
        <row r="1197">
          <cell r="C1197" t="str">
            <v>陳威諭</v>
          </cell>
          <cell r="J1197">
            <v>45796</v>
          </cell>
          <cell r="K1197">
            <v>1</v>
          </cell>
        </row>
        <row r="1198">
          <cell r="C1198" t="str">
            <v>陳威諭</v>
          </cell>
          <cell r="J1198">
            <v>45796</v>
          </cell>
          <cell r="K1198">
            <v>1.5</v>
          </cell>
        </row>
        <row r="1199">
          <cell r="C1199" t="str">
            <v>陳威諭</v>
          </cell>
          <cell r="F1199" t="str">
            <v>M240704R1</v>
          </cell>
          <cell r="J1199">
            <v>45796</v>
          </cell>
          <cell r="K1199">
            <v>6.5</v>
          </cell>
        </row>
        <row r="1200">
          <cell r="C1200" t="str">
            <v>陳威諭</v>
          </cell>
          <cell r="J1200">
            <v>45797</v>
          </cell>
          <cell r="K1200">
            <v>1</v>
          </cell>
        </row>
        <row r="1201">
          <cell r="C1201" t="str">
            <v>陳威諭</v>
          </cell>
          <cell r="J1201">
            <v>45797</v>
          </cell>
          <cell r="K1201">
            <v>2</v>
          </cell>
        </row>
        <row r="1202">
          <cell r="C1202" t="str">
            <v>陳威諭</v>
          </cell>
          <cell r="J1202">
            <v>45797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45797</v>
          </cell>
          <cell r="K1203">
            <v>3</v>
          </cell>
        </row>
        <row r="1204">
          <cell r="C1204" t="str">
            <v>陳威諭</v>
          </cell>
          <cell r="J1204">
            <v>45798</v>
          </cell>
          <cell r="K1204">
            <v>4</v>
          </cell>
        </row>
        <row r="1205">
          <cell r="C1205" t="str">
            <v>陳威諭</v>
          </cell>
          <cell r="J1205">
            <v>45798</v>
          </cell>
          <cell r="K1205">
            <v>2</v>
          </cell>
        </row>
        <row r="1206">
          <cell r="C1206" t="str">
            <v>陳威諭</v>
          </cell>
          <cell r="J1206">
            <v>45798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45798</v>
          </cell>
          <cell r="K1207">
            <v>1</v>
          </cell>
        </row>
        <row r="1208">
          <cell r="C1208" t="str">
            <v>陳威諭</v>
          </cell>
          <cell r="J1208">
            <v>45799</v>
          </cell>
          <cell r="K1208">
            <v>1</v>
          </cell>
        </row>
        <row r="1209">
          <cell r="C1209" t="str">
            <v>陳威諭</v>
          </cell>
          <cell r="J1209">
            <v>45799</v>
          </cell>
          <cell r="K1209">
            <v>3</v>
          </cell>
        </row>
        <row r="1210">
          <cell r="C1210" t="str">
            <v>陳威諭</v>
          </cell>
          <cell r="J1210">
            <v>45799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45799</v>
          </cell>
          <cell r="K1211">
            <v>2</v>
          </cell>
        </row>
        <row r="1212">
          <cell r="C1212" t="str">
            <v>陳威諭</v>
          </cell>
          <cell r="J1212">
            <v>45800</v>
          </cell>
          <cell r="K1212">
            <v>1</v>
          </cell>
        </row>
        <row r="1213">
          <cell r="C1213" t="str">
            <v>陳威諭</v>
          </cell>
          <cell r="J1213">
            <v>45800</v>
          </cell>
          <cell r="K1213">
            <v>1.5</v>
          </cell>
        </row>
        <row r="1214">
          <cell r="C1214" t="str">
            <v>陳威諭</v>
          </cell>
          <cell r="F1214" t="str">
            <v>M250301C1</v>
          </cell>
          <cell r="J1214">
            <v>45800</v>
          </cell>
          <cell r="K1214">
            <v>1.5</v>
          </cell>
        </row>
        <row r="1215">
          <cell r="C1215" t="str">
            <v>陳威諭</v>
          </cell>
          <cell r="J1215">
            <v>45800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45800</v>
          </cell>
          <cell r="K1216">
            <v>3</v>
          </cell>
        </row>
        <row r="1217">
          <cell r="C1217" t="str">
            <v>陳威諭</v>
          </cell>
          <cell r="J1217">
            <v>45803</v>
          </cell>
          <cell r="K1217">
            <v>3</v>
          </cell>
        </row>
        <row r="1218">
          <cell r="C1218" t="str">
            <v>陳威諭</v>
          </cell>
          <cell r="J1218">
            <v>45803</v>
          </cell>
          <cell r="K1218">
            <v>1</v>
          </cell>
        </row>
        <row r="1219">
          <cell r="C1219" t="str">
            <v>陳威諭</v>
          </cell>
          <cell r="F1219" t="str">
            <v>M250301C1</v>
          </cell>
          <cell r="J1219">
            <v>45803</v>
          </cell>
          <cell r="K1219">
            <v>2</v>
          </cell>
        </row>
        <row r="1220">
          <cell r="C1220" t="str">
            <v>陳威諭</v>
          </cell>
          <cell r="F1220" t="str">
            <v>M240704R1</v>
          </cell>
          <cell r="J1220">
            <v>45803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45803</v>
          </cell>
          <cell r="K1221">
            <v>1</v>
          </cell>
        </row>
        <row r="1222">
          <cell r="C1222" t="str">
            <v>陳威諭</v>
          </cell>
          <cell r="J1222">
            <v>45804</v>
          </cell>
          <cell r="K1222">
            <v>1</v>
          </cell>
        </row>
        <row r="1223">
          <cell r="C1223" t="str">
            <v>陳威諭</v>
          </cell>
          <cell r="J1223">
            <v>45804</v>
          </cell>
          <cell r="K1223">
            <v>2</v>
          </cell>
        </row>
        <row r="1224">
          <cell r="C1224" t="str">
            <v>陳威諭</v>
          </cell>
          <cell r="F1224" t="str">
            <v>M250301C1</v>
          </cell>
          <cell r="J1224">
            <v>45804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45804</v>
          </cell>
          <cell r="K1225">
            <v>4</v>
          </cell>
        </row>
        <row r="1226">
          <cell r="C1226" t="str">
            <v>陳威諭</v>
          </cell>
          <cell r="J1226">
            <v>45805</v>
          </cell>
          <cell r="K1226">
            <v>2</v>
          </cell>
        </row>
        <row r="1227">
          <cell r="C1227" t="str">
            <v>陳威諭</v>
          </cell>
          <cell r="J1227">
            <v>45805</v>
          </cell>
          <cell r="K1227">
            <v>1</v>
          </cell>
        </row>
        <row r="1228">
          <cell r="C1228" t="str">
            <v>陳威諭</v>
          </cell>
          <cell r="J1228">
            <v>45805</v>
          </cell>
          <cell r="K1228">
            <v>5</v>
          </cell>
        </row>
        <row r="1229">
          <cell r="C1229" t="str">
            <v>陳威諭</v>
          </cell>
          <cell r="J1229">
            <v>45806</v>
          </cell>
          <cell r="K1229">
            <v>3</v>
          </cell>
        </row>
        <row r="1230">
          <cell r="C1230" t="str">
            <v>陳威諭</v>
          </cell>
          <cell r="J1230">
            <v>45806</v>
          </cell>
          <cell r="K1230">
            <v>1</v>
          </cell>
        </row>
        <row r="1231">
          <cell r="C1231" t="str">
            <v>陳威諭</v>
          </cell>
          <cell r="J1231">
            <v>45806</v>
          </cell>
          <cell r="K1231">
            <v>2</v>
          </cell>
        </row>
        <row r="1232">
          <cell r="C1232" t="str">
            <v>陳威諭</v>
          </cell>
          <cell r="F1232" t="str">
            <v>M250301C1</v>
          </cell>
          <cell r="J1232">
            <v>45806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45806</v>
          </cell>
          <cell r="K1233">
            <v>1</v>
          </cell>
        </row>
        <row r="1234">
          <cell r="C1234" t="str">
            <v>陳威諭</v>
          </cell>
          <cell r="J1234">
            <v>45810</v>
          </cell>
          <cell r="K1234">
            <v>3</v>
          </cell>
        </row>
        <row r="1235">
          <cell r="C1235" t="str">
            <v>陳威諭</v>
          </cell>
          <cell r="J1235">
            <v>45810</v>
          </cell>
          <cell r="K1235">
            <v>2</v>
          </cell>
        </row>
        <row r="1236">
          <cell r="C1236" t="str">
            <v>陳威諭</v>
          </cell>
          <cell r="F1236" t="str">
            <v>M240704R1</v>
          </cell>
          <cell r="J1236">
            <v>45810</v>
          </cell>
          <cell r="K1236">
            <v>2</v>
          </cell>
        </row>
        <row r="1237">
          <cell r="C1237" t="str">
            <v>陳威諭</v>
          </cell>
          <cell r="F1237" t="str">
            <v>M250301C1</v>
          </cell>
          <cell r="J1237">
            <v>45810</v>
          </cell>
          <cell r="K1237">
            <v>1</v>
          </cell>
        </row>
        <row r="1238">
          <cell r="C1238" t="str">
            <v>陳威諭</v>
          </cell>
          <cell r="J1238">
            <v>45811</v>
          </cell>
          <cell r="K1238">
            <v>3</v>
          </cell>
        </row>
        <row r="1239">
          <cell r="C1239" t="str">
            <v>陳威諭</v>
          </cell>
          <cell r="F1239" t="str">
            <v>M240704R1</v>
          </cell>
          <cell r="J1239">
            <v>45811</v>
          </cell>
          <cell r="K1239">
            <v>2</v>
          </cell>
        </row>
        <row r="1240">
          <cell r="C1240" t="str">
            <v>陳威諭</v>
          </cell>
          <cell r="J1240">
            <v>45811</v>
          </cell>
          <cell r="K1240">
            <v>3</v>
          </cell>
        </row>
        <row r="1241">
          <cell r="C1241" t="str">
            <v>陳威諭</v>
          </cell>
          <cell r="J1241">
            <v>45812</v>
          </cell>
          <cell r="K1241">
            <v>3</v>
          </cell>
        </row>
        <row r="1242">
          <cell r="C1242" t="str">
            <v>陳威諭</v>
          </cell>
          <cell r="J1242">
            <v>45812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45812</v>
          </cell>
          <cell r="K1243">
            <v>1</v>
          </cell>
        </row>
        <row r="1244">
          <cell r="C1244" t="str">
            <v>陳威諭</v>
          </cell>
          <cell r="F1244" t="str">
            <v>M250301C1</v>
          </cell>
          <cell r="J1244">
            <v>45812</v>
          </cell>
          <cell r="K1244">
            <v>3</v>
          </cell>
        </row>
        <row r="1245">
          <cell r="C1245" t="str">
            <v>陳威諭</v>
          </cell>
          <cell r="J1245">
            <v>45813</v>
          </cell>
          <cell r="K1245">
            <v>2</v>
          </cell>
        </row>
        <row r="1246">
          <cell r="C1246" t="str">
            <v>陳威諭</v>
          </cell>
          <cell r="J1246">
            <v>45813</v>
          </cell>
          <cell r="K1246">
            <v>2</v>
          </cell>
        </row>
        <row r="1247">
          <cell r="C1247" t="str">
            <v>陳威諭</v>
          </cell>
          <cell r="F1247" t="str">
            <v>M250301C1</v>
          </cell>
          <cell r="J1247">
            <v>45813</v>
          </cell>
          <cell r="K1247">
            <v>3</v>
          </cell>
        </row>
        <row r="1248">
          <cell r="C1248" t="str">
            <v>陳威諭</v>
          </cell>
          <cell r="F1248" t="str">
            <v>M240704R1</v>
          </cell>
          <cell r="J1248">
            <v>45813</v>
          </cell>
          <cell r="K1248">
            <v>0.5</v>
          </cell>
        </row>
        <row r="1249">
          <cell r="C1249" t="str">
            <v>陳威諭</v>
          </cell>
          <cell r="F1249" t="str">
            <v>M240704R1</v>
          </cell>
          <cell r="J1249">
            <v>45813</v>
          </cell>
          <cell r="K1249">
            <v>0.5</v>
          </cell>
        </row>
        <row r="1250">
          <cell r="C1250" t="str">
            <v>陳威諭</v>
          </cell>
          <cell r="J1250">
            <v>45814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45814</v>
          </cell>
          <cell r="K1251">
            <v>4</v>
          </cell>
        </row>
        <row r="1252">
          <cell r="C1252" t="str">
            <v>陳威諭</v>
          </cell>
          <cell r="F1252" t="str">
            <v>M250301C1</v>
          </cell>
          <cell r="J1252">
            <v>45814</v>
          </cell>
          <cell r="K1252">
            <v>3</v>
          </cell>
        </row>
        <row r="1253">
          <cell r="C1253" t="str">
            <v>陳威諭</v>
          </cell>
          <cell r="J1253">
            <v>45817</v>
          </cell>
          <cell r="K1253">
            <v>1</v>
          </cell>
        </row>
        <row r="1254">
          <cell r="C1254" t="str">
            <v>陳威諭</v>
          </cell>
          <cell r="F1254" t="str">
            <v>M250301C1</v>
          </cell>
          <cell r="J1254">
            <v>45817</v>
          </cell>
          <cell r="K1254">
            <v>2</v>
          </cell>
        </row>
        <row r="1255">
          <cell r="C1255" t="str">
            <v>陳威諭</v>
          </cell>
          <cell r="F1255" t="str">
            <v>M240704R1</v>
          </cell>
          <cell r="J1255">
            <v>45817</v>
          </cell>
          <cell r="K1255">
            <v>5</v>
          </cell>
        </row>
        <row r="1256">
          <cell r="C1256" t="str">
            <v>陳威諭</v>
          </cell>
          <cell r="J1256">
            <v>45818</v>
          </cell>
          <cell r="K1256">
            <v>1.5</v>
          </cell>
        </row>
        <row r="1257">
          <cell r="C1257" t="str">
            <v>陳威諭</v>
          </cell>
          <cell r="J1257">
            <v>45818</v>
          </cell>
          <cell r="K1257">
            <v>0.5</v>
          </cell>
        </row>
        <row r="1258">
          <cell r="C1258" t="str">
            <v>陳威諭</v>
          </cell>
          <cell r="F1258" t="str">
            <v>M250301C1</v>
          </cell>
          <cell r="J1258">
            <v>45818</v>
          </cell>
          <cell r="K1258">
            <v>2</v>
          </cell>
        </row>
        <row r="1259">
          <cell r="C1259" t="str">
            <v>陳威諭</v>
          </cell>
          <cell r="F1259" t="str">
            <v>M240704R1</v>
          </cell>
          <cell r="J1259">
            <v>45818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45818</v>
          </cell>
          <cell r="K1260">
            <v>3</v>
          </cell>
        </row>
        <row r="1261">
          <cell r="C1261" t="str">
            <v>陳威諭</v>
          </cell>
          <cell r="F1261" t="str">
            <v>M250301C1</v>
          </cell>
          <cell r="J1261">
            <v>45819</v>
          </cell>
          <cell r="K1261">
            <v>1</v>
          </cell>
        </row>
        <row r="1262">
          <cell r="C1262" t="str">
            <v>陳威諭</v>
          </cell>
          <cell r="J1262">
            <v>45819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45819</v>
          </cell>
          <cell r="K1263">
            <v>6</v>
          </cell>
        </row>
        <row r="1264">
          <cell r="C1264" t="str">
            <v>陳威諭</v>
          </cell>
          <cell r="F1264" t="str">
            <v>D250101R1</v>
          </cell>
          <cell r="J1264">
            <v>45820</v>
          </cell>
          <cell r="K1264">
            <v>1</v>
          </cell>
        </row>
        <row r="1265">
          <cell r="C1265" t="str">
            <v>陳威諭</v>
          </cell>
          <cell r="F1265" t="str">
            <v>M250301C1</v>
          </cell>
          <cell r="J1265">
            <v>45820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45820</v>
          </cell>
          <cell r="K1266">
            <v>6</v>
          </cell>
        </row>
        <row r="1267">
          <cell r="C1267" t="str">
            <v>陳威諭</v>
          </cell>
          <cell r="F1267" t="str">
            <v>M250301C1</v>
          </cell>
          <cell r="J1267">
            <v>45821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45821</v>
          </cell>
          <cell r="K1268">
            <v>7</v>
          </cell>
        </row>
        <row r="1269">
          <cell r="C1269" t="str">
            <v>陳威諭</v>
          </cell>
          <cell r="F1269" t="str">
            <v>D250101R1</v>
          </cell>
          <cell r="J1269">
            <v>45824</v>
          </cell>
          <cell r="K1269">
            <v>2</v>
          </cell>
        </row>
        <row r="1270">
          <cell r="C1270" t="str">
            <v>陳威諭</v>
          </cell>
          <cell r="J1270">
            <v>45824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45824</v>
          </cell>
          <cell r="K1271">
            <v>4</v>
          </cell>
        </row>
        <row r="1272">
          <cell r="C1272" t="str">
            <v>陳威諭</v>
          </cell>
          <cell r="F1272" t="str">
            <v>D250101R1</v>
          </cell>
          <cell r="J1272">
            <v>45825</v>
          </cell>
          <cell r="K1272">
            <v>1</v>
          </cell>
        </row>
        <row r="1273">
          <cell r="C1273" t="str">
            <v>陳威諭</v>
          </cell>
          <cell r="F1273" t="str">
            <v>M250301C1</v>
          </cell>
          <cell r="J1273">
            <v>45825</v>
          </cell>
          <cell r="K1273">
            <v>3</v>
          </cell>
        </row>
        <row r="1274">
          <cell r="C1274" t="str">
            <v>陳威諭</v>
          </cell>
          <cell r="J1274">
            <v>45825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45825</v>
          </cell>
          <cell r="K1275">
            <v>3</v>
          </cell>
        </row>
        <row r="1276">
          <cell r="C1276" t="str">
            <v>陳威諭</v>
          </cell>
          <cell r="J1276">
            <v>45826</v>
          </cell>
          <cell r="K1276">
            <v>2</v>
          </cell>
        </row>
        <row r="1277">
          <cell r="C1277" t="str">
            <v>陳威諭</v>
          </cell>
          <cell r="F1277" t="str">
            <v>M250301C1</v>
          </cell>
          <cell r="J1277">
            <v>45826</v>
          </cell>
          <cell r="K1277">
            <v>3</v>
          </cell>
        </row>
        <row r="1278">
          <cell r="C1278" t="str">
            <v>陳威諭</v>
          </cell>
          <cell r="F1278" t="str">
            <v>M240704R1</v>
          </cell>
          <cell r="J1278">
            <v>45826</v>
          </cell>
          <cell r="K1278">
            <v>3</v>
          </cell>
        </row>
        <row r="1279">
          <cell r="C1279" t="str">
            <v>陳威諭</v>
          </cell>
          <cell r="J1279">
            <v>45827</v>
          </cell>
          <cell r="K1279">
            <v>8</v>
          </cell>
        </row>
        <row r="1280">
          <cell r="C1280" t="str">
            <v>陳威諭</v>
          </cell>
          <cell r="F1280" t="str">
            <v>M250301C1</v>
          </cell>
          <cell r="J1280">
            <v>45828</v>
          </cell>
          <cell r="K1280">
            <v>1.5</v>
          </cell>
        </row>
        <row r="1281">
          <cell r="C1281" t="str">
            <v>陳威諭</v>
          </cell>
          <cell r="F1281" t="str">
            <v>D250101R1</v>
          </cell>
          <cell r="J1281">
            <v>45828</v>
          </cell>
          <cell r="K1281">
            <v>1.5</v>
          </cell>
        </row>
        <row r="1282">
          <cell r="C1282" t="str">
            <v>陳威諭</v>
          </cell>
          <cell r="J1282">
            <v>45828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J1283">
            <v>45828</v>
          </cell>
          <cell r="K1283">
            <v>4</v>
          </cell>
        </row>
        <row r="1284">
          <cell r="C1284" t="str">
            <v>陳威諭</v>
          </cell>
          <cell r="F1284" t="str">
            <v>M250301C1</v>
          </cell>
          <cell r="J1284">
            <v>45831</v>
          </cell>
          <cell r="K1284">
            <v>1</v>
          </cell>
        </row>
        <row r="1285">
          <cell r="C1285" t="str">
            <v>陳威諭</v>
          </cell>
          <cell r="F1285" t="str">
            <v>D250101R1</v>
          </cell>
          <cell r="J1285">
            <v>45831</v>
          </cell>
          <cell r="K1285">
            <v>3</v>
          </cell>
        </row>
        <row r="1286">
          <cell r="C1286" t="str">
            <v>陳威諭</v>
          </cell>
          <cell r="F1286" t="str">
            <v>M240704R1</v>
          </cell>
          <cell r="J1286">
            <v>45831</v>
          </cell>
          <cell r="K1286">
            <v>4</v>
          </cell>
        </row>
        <row r="1287">
          <cell r="C1287" t="str">
            <v>陳威諭</v>
          </cell>
          <cell r="F1287" t="str">
            <v>D250702R1</v>
          </cell>
          <cell r="J1287">
            <v>45832</v>
          </cell>
          <cell r="K1287">
            <v>1.5</v>
          </cell>
        </row>
        <row r="1288">
          <cell r="C1288" t="str">
            <v>陳威諭</v>
          </cell>
          <cell r="F1288" t="str">
            <v>D250101R1</v>
          </cell>
          <cell r="J1288">
            <v>45832</v>
          </cell>
          <cell r="K1288">
            <v>2.5</v>
          </cell>
        </row>
        <row r="1289">
          <cell r="C1289" t="str">
            <v>陳威諭</v>
          </cell>
          <cell r="F1289" t="str">
            <v>M240704R1</v>
          </cell>
          <cell r="J1289">
            <v>45832</v>
          </cell>
          <cell r="K1289">
            <v>4</v>
          </cell>
        </row>
        <row r="1290">
          <cell r="C1290" t="str">
            <v>陳威諭</v>
          </cell>
          <cell r="F1290" t="str">
            <v>D250101R1</v>
          </cell>
          <cell r="J1290">
            <v>45833</v>
          </cell>
          <cell r="K1290">
            <v>3</v>
          </cell>
        </row>
        <row r="1291">
          <cell r="C1291" t="str">
            <v>陳威諭</v>
          </cell>
          <cell r="F1291" t="str">
            <v>D250702R1</v>
          </cell>
          <cell r="J1291">
            <v>45833</v>
          </cell>
          <cell r="K1291">
            <v>2</v>
          </cell>
        </row>
        <row r="1292">
          <cell r="C1292" t="str">
            <v>陳威諭</v>
          </cell>
          <cell r="F1292" t="str">
            <v>M240704R1</v>
          </cell>
          <cell r="J1292">
            <v>45833</v>
          </cell>
          <cell r="K1292">
            <v>3</v>
          </cell>
        </row>
        <row r="1293">
          <cell r="C1293" t="str">
            <v>陳威諭</v>
          </cell>
          <cell r="J1293">
            <v>45834</v>
          </cell>
          <cell r="K1293">
            <v>2</v>
          </cell>
        </row>
        <row r="1294">
          <cell r="C1294" t="str">
            <v>陳威諭</v>
          </cell>
          <cell r="F1294" t="str">
            <v>D250101R1</v>
          </cell>
          <cell r="J1294">
            <v>45834</v>
          </cell>
          <cell r="K1294">
            <v>1</v>
          </cell>
        </row>
        <row r="1295">
          <cell r="C1295" t="str">
            <v>陳威諭</v>
          </cell>
          <cell r="F1295" t="str">
            <v>M240704R1</v>
          </cell>
          <cell r="J1295">
            <v>45834</v>
          </cell>
          <cell r="K1295">
            <v>5</v>
          </cell>
        </row>
        <row r="1296">
          <cell r="C1296" t="str">
            <v>陳威諭</v>
          </cell>
          <cell r="F1296" t="str">
            <v>M250301C1</v>
          </cell>
          <cell r="J1296">
            <v>45835</v>
          </cell>
          <cell r="K1296">
            <v>1.5</v>
          </cell>
        </row>
        <row r="1297">
          <cell r="C1297" t="str">
            <v>陳威諭</v>
          </cell>
          <cell r="F1297" t="str">
            <v>D250101R1</v>
          </cell>
          <cell r="J1297">
            <v>45835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45835</v>
          </cell>
          <cell r="K1298">
            <v>5.5</v>
          </cell>
        </row>
        <row r="1299">
          <cell r="C1299" t="str">
            <v>陳威諭</v>
          </cell>
          <cell r="F1299" t="str">
            <v>M250301C1</v>
          </cell>
          <cell r="J1299">
            <v>45838</v>
          </cell>
          <cell r="K1299">
            <v>1</v>
          </cell>
        </row>
        <row r="1300">
          <cell r="C1300" t="str">
            <v>陳威諭</v>
          </cell>
          <cell r="F1300" t="str">
            <v>M250301C1</v>
          </cell>
          <cell r="J1300">
            <v>45838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45838</v>
          </cell>
          <cell r="K1301">
            <v>6</v>
          </cell>
        </row>
        <row r="1302">
          <cell r="C1302" t="str">
            <v>陳威諭</v>
          </cell>
          <cell r="F1302" t="str">
            <v>M250301C1</v>
          </cell>
          <cell r="J1302">
            <v>45839</v>
          </cell>
          <cell r="K1302">
            <v>1</v>
          </cell>
        </row>
        <row r="1303">
          <cell r="C1303" t="str">
            <v>陳威諭</v>
          </cell>
          <cell r="F1303" t="str">
            <v>M240704R1</v>
          </cell>
          <cell r="J1303">
            <v>45839</v>
          </cell>
          <cell r="K1303">
            <v>7</v>
          </cell>
        </row>
        <row r="1304">
          <cell r="C1304" t="str">
            <v>陳威諭</v>
          </cell>
          <cell r="F1304" t="str">
            <v>M250301C1</v>
          </cell>
          <cell r="J1304">
            <v>45840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45840</v>
          </cell>
          <cell r="K1305">
            <v>7</v>
          </cell>
        </row>
        <row r="1306">
          <cell r="C1306" t="str">
            <v>陳威諭</v>
          </cell>
          <cell r="F1306" t="str">
            <v>M240704R1</v>
          </cell>
          <cell r="J1306">
            <v>45841</v>
          </cell>
          <cell r="K1306">
            <v>8</v>
          </cell>
        </row>
        <row r="1307">
          <cell r="C1307" t="str">
            <v>陳威諭</v>
          </cell>
          <cell r="F1307" t="str">
            <v>D250101R1</v>
          </cell>
          <cell r="J1307">
            <v>45842</v>
          </cell>
          <cell r="K1307">
            <v>2.5</v>
          </cell>
        </row>
        <row r="1308">
          <cell r="C1308" t="str">
            <v>陳威諭</v>
          </cell>
          <cell r="F1308" t="str">
            <v>M250301C1</v>
          </cell>
          <cell r="J1308">
            <v>45842</v>
          </cell>
          <cell r="K1308">
            <v>1</v>
          </cell>
        </row>
        <row r="1309">
          <cell r="C1309" t="str">
            <v>陳威諭</v>
          </cell>
          <cell r="F1309" t="str">
            <v>M240704R1</v>
          </cell>
          <cell r="J1309">
            <v>45842</v>
          </cell>
          <cell r="K1309">
            <v>4.5</v>
          </cell>
        </row>
        <row r="1310">
          <cell r="C1310" t="str">
            <v>陳威諭</v>
          </cell>
          <cell r="F1310" t="str">
            <v>D250702R1</v>
          </cell>
          <cell r="J1310">
            <v>45845</v>
          </cell>
          <cell r="K1310">
            <v>7</v>
          </cell>
        </row>
        <row r="1311">
          <cell r="C1311" t="str">
            <v>陳威諭</v>
          </cell>
          <cell r="F1311" t="str">
            <v>M250301C1</v>
          </cell>
          <cell r="J1311">
            <v>45845</v>
          </cell>
          <cell r="K1311">
            <v>1</v>
          </cell>
        </row>
        <row r="1312">
          <cell r="C1312" t="str">
            <v>陳威諭</v>
          </cell>
          <cell r="F1312" t="str">
            <v>D240902R1</v>
          </cell>
          <cell r="J1312">
            <v>45846</v>
          </cell>
          <cell r="K1312">
            <v>1</v>
          </cell>
        </row>
        <row r="1313">
          <cell r="C1313" t="str">
            <v>陳威諭</v>
          </cell>
          <cell r="F1313" t="str">
            <v>M250301C1</v>
          </cell>
          <cell r="J1313">
            <v>45846</v>
          </cell>
          <cell r="K1313">
            <v>2</v>
          </cell>
        </row>
        <row r="1314">
          <cell r="C1314" t="str">
            <v>陳威諭</v>
          </cell>
          <cell r="F1314" t="str">
            <v>D250101R1</v>
          </cell>
          <cell r="J1314">
            <v>45846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45846</v>
          </cell>
          <cell r="K1315">
            <v>1</v>
          </cell>
        </row>
        <row r="1316">
          <cell r="C1316" t="str">
            <v>陳威諭</v>
          </cell>
          <cell r="F1316" t="str">
            <v>M240704R1</v>
          </cell>
          <cell r="J1316">
            <v>45846</v>
          </cell>
          <cell r="K1316">
            <v>2</v>
          </cell>
        </row>
        <row r="1317">
          <cell r="C1317" t="str">
            <v>陳威諭</v>
          </cell>
          <cell r="F1317" t="str">
            <v>D240902R1</v>
          </cell>
          <cell r="J1317">
            <v>45847</v>
          </cell>
          <cell r="K1317">
            <v>1</v>
          </cell>
        </row>
        <row r="1318">
          <cell r="C1318" t="str">
            <v>陳威諭</v>
          </cell>
          <cell r="F1318" t="str">
            <v>D250101R1</v>
          </cell>
          <cell r="J1318">
            <v>45847</v>
          </cell>
          <cell r="K1318">
            <v>4</v>
          </cell>
        </row>
        <row r="1319">
          <cell r="C1319" t="str">
            <v>陳威諭</v>
          </cell>
          <cell r="F1319" t="str">
            <v>M240704R1</v>
          </cell>
          <cell r="J1319">
            <v>45847</v>
          </cell>
          <cell r="K1319">
            <v>3</v>
          </cell>
        </row>
        <row r="1320">
          <cell r="C1320" t="str">
            <v>陳威諭</v>
          </cell>
          <cell r="J1320">
            <v>45848</v>
          </cell>
          <cell r="K1320">
            <v>1</v>
          </cell>
        </row>
        <row r="1321">
          <cell r="C1321" t="str">
            <v>陳威諭</v>
          </cell>
          <cell r="F1321" t="str">
            <v>D250101R1</v>
          </cell>
          <cell r="J1321">
            <v>45848</v>
          </cell>
          <cell r="K1321">
            <v>1</v>
          </cell>
        </row>
        <row r="1322">
          <cell r="C1322" t="str">
            <v>陳威諭</v>
          </cell>
          <cell r="F1322" t="str">
            <v>D240902R1</v>
          </cell>
          <cell r="J1322">
            <v>45848</v>
          </cell>
          <cell r="K1322">
            <v>2</v>
          </cell>
        </row>
        <row r="1323">
          <cell r="C1323" t="str">
            <v>陳威諭</v>
          </cell>
          <cell r="F1323" t="str">
            <v>M250301C1</v>
          </cell>
          <cell r="J1323">
            <v>45848</v>
          </cell>
          <cell r="K1323">
            <v>2</v>
          </cell>
        </row>
        <row r="1324">
          <cell r="C1324" t="str">
            <v>陳威諭</v>
          </cell>
          <cell r="F1324" t="str">
            <v>M240704R1</v>
          </cell>
          <cell r="J1324">
            <v>45848</v>
          </cell>
          <cell r="K1324">
            <v>2</v>
          </cell>
        </row>
        <row r="1325">
          <cell r="C1325" t="str">
            <v>陳威諭</v>
          </cell>
          <cell r="F1325" t="str">
            <v>D250101R1</v>
          </cell>
          <cell r="J1325">
            <v>45849</v>
          </cell>
          <cell r="K1325">
            <v>3</v>
          </cell>
        </row>
        <row r="1326">
          <cell r="C1326" t="str">
            <v>陳威諭</v>
          </cell>
          <cell r="F1326" t="str">
            <v>D240902R1</v>
          </cell>
          <cell r="J1326">
            <v>45849</v>
          </cell>
          <cell r="K1326">
            <v>2</v>
          </cell>
        </row>
        <row r="1327">
          <cell r="C1327" t="str">
            <v>陳威諭</v>
          </cell>
          <cell r="F1327" t="str">
            <v>M250301C1</v>
          </cell>
          <cell r="J1327">
            <v>45849</v>
          </cell>
          <cell r="K1327">
            <v>2</v>
          </cell>
        </row>
        <row r="1328">
          <cell r="C1328" t="str">
            <v>陳威諭</v>
          </cell>
          <cell r="F1328" t="str">
            <v>M240704R1</v>
          </cell>
          <cell r="J1328">
            <v>45849</v>
          </cell>
          <cell r="K1328">
            <v>1</v>
          </cell>
        </row>
        <row r="1329">
          <cell r="C1329" t="str">
            <v>陳威諭</v>
          </cell>
          <cell r="F1329" t="str">
            <v>D240902R1</v>
          </cell>
          <cell r="J1329">
            <v>45852</v>
          </cell>
          <cell r="K1329">
            <v>1.5</v>
          </cell>
        </row>
        <row r="1330">
          <cell r="C1330" t="str">
            <v>陳威諭</v>
          </cell>
          <cell r="J1330">
            <v>45852</v>
          </cell>
          <cell r="K1330">
            <v>1</v>
          </cell>
        </row>
        <row r="1331">
          <cell r="C1331" t="str">
            <v>陳威諭</v>
          </cell>
          <cell r="F1331" t="str">
            <v>M250301C1</v>
          </cell>
          <cell r="J1331">
            <v>45852</v>
          </cell>
          <cell r="K1331">
            <v>1</v>
          </cell>
        </row>
        <row r="1332">
          <cell r="C1332" t="str">
            <v>陳威諭</v>
          </cell>
          <cell r="F1332" t="str">
            <v>M240704R1</v>
          </cell>
          <cell r="J1332">
            <v>45852</v>
          </cell>
          <cell r="K1332">
            <v>4.5</v>
          </cell>
        </row>
        <row r="1333">
          <cell r="C1333" t="str">
            <v>陳威諭</v>
          </cell>
          <cell r="F1333" t="str">
            <v>D250101R1</v>
          </cell>
          <cell r="J1333">
            <v>45853</v>
          </cell>
          <cell r="K1333">
            <v>1</v>
          </cell>
        </row>
        <row r="1334">
          <cell r="C1334" t="str">
            <v>陳威諭</v>
          </cell>
          <cell r="J1334">
            <v>45853</v>
          </cell>
          <cell r="K1334">
            <v>0.5</v>
          </cell>
        </row>
        <row r="1335">
          <cell r="C1335" t="str">
            <v>陳威諭</v>
          </cell>
          <cell r="F1335" t="str">
            <v>M250301C1</v>
          </cell>
          <cell r="J1335">
            <v>45853</v>
          </cell>
          <cell r="K1335">
            <v>2</v>
          </cell>
        </row>
        <row r="1336">
          <cell r="C1336" t="str">
            <v>陳威諭</v>
          </cell>
          <cell r="F1336" t="str">
            <v>M240704R1</v>
          </cell>
          <cell r="J1336">
            <v>45853</v>
          </cell>
          <cell r="K1336">
            <v>4.5</v>
          </cell>
        </row>
        <row r="1337">
          <cell r="C1337" t="str">
            <v>陳威諭</v>
          </cell>
          <cell r="F1337" t="str">
            <v>D250101R1</v>
          </cell>
          <cell r="J1337">
            <v>45854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45854</v>
          </cell>
          <cell r="K1338">
            <v>1.5</v>
          </cell>
        </row>
        <row r="1339">
          <cell r="C1339" t="str">
            <v>陳威諭</v>
          </cell>
          <cell r="F1339" t="str">
            <v>M240704R1</v>
          </cell>
          <cell r="J1339">
            <v>45854</v>
          </cell>
          <cell r="K1339">
            <v>4.5</v>
          </cell>
        </row>
        <row r="1340">
          <cell r="C1340" t="str">
            <v>陳威諭</v>
          </cell>
          <cell r="F1340" t="str">
            <v>D250101R1</v>
          </cell>
          <cell r="J1340">
            <v>45855</v>
          </cell>
          <cell r="K1340">
            <v>4</v>
          </cell>
        </row>
        <row r="1341">
          <cell r="C1341" t="str">
            <v>陳威諭</v>
          </cell>
          <cell r="F1341" t="str">
            <v>M250301C1</v>
          </cell>
          <cell r="J1341">
            <v>45855</v>
          </cell>
          <cell r="K1341">
            <v>2</v>
          </cell>
        </row>
        <row r="1342">
          <cell r="C1342" t="str">
            <v>陳威諭</v>
          </cell>
          <cell r="F1342" t="str">
            <v>M240704R1</v>
          </cell>
          <cell r="J1342">
            <v>45855</v>
          </cell>
          <cell r="K1342">
            <v>2</v>
          </cell>
        </row>
        <row r="1343">
          <cell r="C1343" t="str">
            <v>陳威諭</v>
          </cell>
          <cell r="F1343" t="str">
            <v>D250101R1</v>
          </cell>
          <cell r="J1343">
            <v>45856</v>
          </cell>
          <cell r="K1343">
            <v>2</v>
          </cell>
        </row>
        <row r="1344">
          <cell r="C1344" t="str">
            <v>陳威諭</v>
          </cell>
          <cell r="F1344" t="str">
            <v>D250702R1</v>
          </cell>
          <cell r="J1344">
            <v>45856</v>
          </cell>
          <cell r="K1344">
            <v>3</v>
          </cell>
        </row>
        <row r="1345">
          <cell r="C1345" t="str">
            <v>陳威諭</v>
          </cell>
          <cell r="F1345" t="str">
            <v>M250301C1</v>
          </cell>
          <cell r="J1345">
            <v>45856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45856</v>
          </cell>
          <cell r="K1346">
            <v>2</v>
          </cell>
        </row>
        <row r="1347">
          <cell r="C1347" t="str">
            <v>陳威諭</v>
          </cell>
          <cell r="F1347" t="str">
            <v>M250301C1</v>
          </cell>
          <cell r="J1347">
            <v>45859</v>
          </cell>
          <cell r="K1347">
            <v>2</v>
          </cell>
        </row>
        <row r="1348">
          <cell r="C1348" t="str">
            <v>陳威諭</v>
          </cell>
          <cell r="F1348" t="str">
            <v>D250702R1</v>
          </cell>
          <cell r="J1348">
            <v>45859</v>
          </cell>
          <cell r="K1348">
            <v>2</v>
          </cell>
        </row>
        <row r="1349">
          <cell r="C1349" t="str">
            <v>陳威諭</v>
          </cell>
          <cell r="F1349" t="str">
            <v>M240704R1</v>
          </cell>
          <cell r="J1349">
            <v>45859</v>
          </cell>
          <cell r="K1349">
            <v>4</v>
          </cell>
        </row>
        <row r="1350">
          <cell r="C1350" t="str">
            <v>陳威諭</v>
          </cell>
          <cell r="F1350" t="str">
            <v>D250501R1</v>
          </cell>
          <cell r="J1350">
            <v>45860</v>
          </cell>
          <cell r="K1350">
            <v>2</v>
          </cell>
        </row>
        <row r="1351">
          <cell r="C1351" t="str">
            <v>陳威諭</v>
          </cell>
          <cell r="F1351" t="str">
            <v>M250301C1</v>
          </cell>
          <cell r="J1351">
            <v>45860</v>
          </cell>
          <cell r="K1351">
            <v>2</v>
          </cell>
        </row>
        <row r="1352">
          <cell r="C1352" t="str">
            <v>陳威諭</v>
          </cell>
          <cell r="F1352" t="str">
            <v>D250101R1</v>
          </cell>
          <cell r="J1352">
            <v>45860</v>
          </cell>
          <cell r="K1352">
            <v>1</v>
          </cell>
        </row>
        <row r="1353">
          <cell r="C1353" t="str">
            <v>陳威諭</v>
          </cell>
          <cell r="F1353" t="str">
            <v>M240704R1</v>
          </cell>
          <cell r="J1353">
            <v>45860</v>
          </cell>
          <cell r="K1353">
            <v>3</v>
          </cell>
        </row>
        <row r="1354">
          <cell r="C1354" t="str">
            <v>陳威諭</v>
          </cell>
          <cell r="F1354" t="str">
            <v>D250101R1</v>
          </cell>
          <cell r="J1354">
            <v>45861</v>
          </cell>
          <cell r="K1354">
            <v>5</v>
          </cell>
        </row>
        <row r="1355">
          <cell r="C1355" t="str">
            <v>陳威諭</v>
          </cell>
          <cell r="F1355" t="str">
            <v>D250501R1</v>
          </cell>
          <cell r="J1355">
            <v>45861</v>
          </cell>
          <cell r="K1355">
            <v>2</v>
          </cell>
        </row>
        <row r="1356">
          <cell r="C1356" t="str">
            <v>陳威諭</v>
          </cell>
          <cell r="J1356">
            <v>45861</v>
          </cell>
          <cell r="K1356">
            <v>1</v>
          </cell>
        </row>
        <row r="1357">
          <cell r="C1357" t="str">
            <v>陳威諭</v>
          </cell>
          <cell r="F1357" t="str">
            <v>D250702R1</v>
          </cell>
          <cell r="J1357">
            <v>45862</v>
          </cell>
          <cell r="K1357">
            <v>7</v>
          </cell>
        </row>
        <row r="1358">
          <cell r="C1358" t="str">
            <v>陳威諭</v>
          </cell>
          <cell r="F1358" t="str">
            <v>D250101R1</v>
          </cell>
          <cell r="J1358">
            <v>45862</v>
          </cell>
          <cell r="K1358">
            <v>1</v>
          </cell>
        </row>
        <row r="1359">
          <cell r="C1359" t="str">
            <v>陳威諭</v>
          </cell>
          <cell r="J1359">
            <v>45863</v>
          </cell>
          <cell r="K1359">
            <v>1</v>
          </cell>
        </row>
        <row r="1360">
          <cell r="C1360" t="str">
            <v>陳威諭</v>
          </cell>
          <cell r="F1360" t="str">
            <v>D250101R1</v>
          </cell>
          <cell r="J1360">
            <v>45863</v>
          </cell>
          <cell r="K1360">
            <v>2</v>
          </cell>
        </row>
        <row r="1361">
          <cell r="C1361" t="str">
            <v>陳威諭</v>
          </cell>
          <cell r="F1361" t="str">
            <v>D250501R1</v>
          </cell>
          <cell r="J1361">
            <v>45863</v>
          </cell>
          <cell r="K1361">
            <v>1</v>
          </cell>
        </row>
        <row r="1362">
          <cell r="C1362" t="str">
            <v>陳威諭</v>
          </cell>
          <cell r="F1362" t="str">
            <v>M250301C1</v>
          </cell>
          <cell r="J1362">
            <v>45863</v>
          </cell>
          <cell r="K1362">
            <v>4</v>
          </cell>
        </row>
        <row r="1363">
          <cell r="C1363" t="str">
            <v>陳威諭</v>
          </cell>
          <cell r="F1363" t="str">
            <v>M250301C1</v>
          </cell>
          <cell r="J1363">
            <v>45866</v>
          </cell>
          <cell r="K1363">
            <v>1</v>
          </cell>
        </row>
        <row r="1364">
          <cell r="C1364" t="str">
            <v>陳威諭</v>
          </cell>
          <cell r="F1364" t="str">
            <v>D250101R1</v>
          </cell>
          <cell r="J1364">
            <v>45866</v>
          </cell>
          <cell r="K1364">
            <v>1</v>
          </cell>
        </row>
        <row r="1365">
          <cell r="C1365" t="str">
            <v>陳威諭</v>
          </cell>
          <cell r="F1365" t="str">
            <v>M240704R1</v>
          </cell>
          <cell r="J1365">
            <v>45866</v>
          </cell>
          <cell r="K1365">
            <v>4</v>
          </cell>
        </row>
        <row r="1366">
          <cell r="C1366" t="str">
            <v>陳威諭</v>
          </cell>
          <cell r="F1366" t="str">
            <v>D250501R1</v>
          </cell>
          <cell r="J1366">
            <v>45866</v>
          </cell>
          <cell r="K1366">
            <v>1</v>
          </cell>
        </row>
        <row r="1367">
          <cell r="C1367" t="str">
            <v>陳威諭</v>
          </cell>
          <cell r="F1367" t="str">
            <v>D250702R1</v>
          </cell>
          <cell r="J1367">
            <v>45866</v>
          </cell>
          <cell r="K1367">
            <v>1</v>
          </cell>
        </row>
        <row r="1368">
          <cell r="C1368" t="str">
            <v>陳威諭</v>
          </cell>
          <cell r="F1368" t="str">
            <v>D250501R1</v>
          </cell>
          <cell r="J1368">
            <v>45867</v>
          </cell>
          <cell r="K1368">
            <v>1</v>
          </cell>
        </row>
        <row r="1369">
          <cell r="C1369" t="str">
            <v>陳威諭</v>
          </cell>
          <cell r="F1369" t="str">
            <v>D250101R1</v>
          </cell>
          <cell r="J1369">
            <v>45867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J1370">
            <v>45867</v>
          </cell>
          <cell r="K1370">
            <v>4</v>
          </cell>
        </row>
        <row r="1371">
          <cell r="C1371" t="str">
            <v>陳威諭</v>
          </cell>
          <cell r="F1371" t="str">
            <v>M250301C1</v>
          </cell>
          <cell r="J1371">
            <v>45867</v>
          </cell>
          <cell r="K1371">
            <v>2</v>
          </cell>
        </row>
        <row r="1372">
          <cell r="C1372" t="str">
            <v>陳威諭</v>
          </cell>
          <cell r="F1372" t="str">
            <v>D250101R1</v>
          </cell>
          <cell r="J1372">
            <v>45868</v>
          </cell>
          <cell r="K1372">
            <v>1</v>
          </cell>
        </row>
        <row r="1373">
          <cell r="C1373" t="str">
            <v>陳威諭</v>
          </cell>
          <cell r="F1373" t="str">
            <v>M240704R1</v>
          </cell>
          <cell r="J1373">
            <v>45868</v>
          </cell>
          <cell r="K1373">
            <v>3</v>
          </cell>
        </row>
        <row r="1374">
          <cell r="C1374" t="str">
            <v>陳威諭</v>
          </cell>
          <cell r="F1374" t="str">
            <v>D250501R1</v>
          </cell>
          <cell r="J1374">
            <v>45868</v>
          </cell>
          <cell r="K1374">
            <v>1</v>
          </cell>
        </row>
        <row r="1375">
          <cell r="C1375" t="str">
            <v>陳威諭</v>
          </cell>
          <cell r="F1375" t="str">
            <v>D250702R1</v>
          </cell>
          <cell r="J1375">
            <v>45868</v>
          </cell>
          <cell r="K1375">
            <v>3</v>
          </cell>
        </row>
        <row r="1376">
          <cell r="C1376" t="str">
            <v>陳威諭</v>
          </cell>
          <cell r="F1376" t="str">
            <v>D250501R1</v>
          </cell>
          <cell r="J1376">
            <v>45869</v>
          </cell>
          <cell r="K1376">
            <v>1</v>
          </cell>
        </row>
        <row r="1377">
          <cell r="C1377" t="str">
            <v>陳威諭</v>
          </cell>
          <cell r="F1377" t="str">
            <v>D250101R1</v>
          </cell>
          <cell r="J1377">
            <v>45869</v>
          </cell>
          <cell r="K1377">
            <v>1</v>
          </cell>
        </row>
        <row r="1378">
          <cell r="C1378" t="str">
            <v>陳威諭</v>
          </cell>
          <cell r="F1378" t="str">
            <v>M240704R1</v>
          </cell>
          <cell r="J1378">
            <v>45869</v>
          </cell>
          <cell r="K1378">
            <v>2</v>
          </cell>
        </row>
        <row r="1379">
          <cell r="C1379" t="str">
            <v>陳威諭</v>
          </cell>
          <cell r="F1379" t="str">
            <v>D250702R1</v>
          </cell>
          <cell r="J1379">
            <v>45869</v>
          </cell>
          <cell r="K1379">
            <v>4</v>
          </cell>
        </row>
        <row r="1380">
          <cell r="C1380" t="str">
            <v>陳威諭</v>
          </cell>
          <cell r="F1380" t="str">
            <v>M240704R1</v>
          </cell>
          <cell r="J1380">
            <v>45870</v>
          </cell>
          <cell r="K1380">
            <v>1</v>
          </cell>
        </row>
        <row r="1381">
          <cell r="C1381" t="str">
            <v>陳威諭</v>
          </cell>
          <cell r="F1381" t="str">
            <v>D250501R1</v>
          </cell>
          <cell r="J1381">
            <v>45870</v>
          </cell>
          <cell r="K1381">
            <v>1</v>
          </cell>
        </row>
        <row r="1382">
          <cell r="C1382" t="str">
            <v>陳威諭</v>
          </cell>
          <cell r="F1382" t="str">
            <v>D250101R1</v>
          </cell>
          <cell r="J1382">
            <v>45870</v>
          </cell>
          <cell r="K1382">
            <v>1</v>
          </cell>
        </row>
        <row r="1383">
          <cell r="C1383" t="str">
            <v>陳威諭</v>
          </cell>
          <cell r="F1383" t="str">
            <v>D250702R1</v>
          </cell>
          <cell r="J1383">
            <v>45870</v>
          </cell>
          <cell r="K1383">
            <v>5</v>
          </cell>
        </row>
        <row r="1384">
          <cell r="C1384" t="str">
            <v>陳威諭</v>
          </cell>
          <cell r="F1384" t="str">
            <v>M240704R1</v>
          </cell>
          <cell r="J1384">
            <v>45873</v>
          </cell>
          <cell r="K1384">
            <v>4</v>
          </cell>
        </row>
        <row r="1385">
          <cell r="C1385" t="str">
            <v>陳威諭</v>
          </cell>
          <cell r="F1385" t="str">
            <v>D250501R1</v>
          </cell>
          <cell r="J1385">
            <v>45873</v>
          </cell>
          <cell r="K1385">
            <v>2</v>
          </cell>
        </row>
        <row r="1386">
          <cell r="C1386" t="str">
            <v>陳威諭</v>
          </cell>
          <cell r="F1386" t="str">
            <v>D250101R1</v>
          </cell>
          <cell r="J1386">
            <v>45873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45873</v>
          </cell>
          <cell r="K1387">
            <v>1</v>
          </cell>
        </row>
        <row r="1388">
          <cell r="C1388" t="str">
            <v>陳威諭</v>
          </cell>
          <cell r="F1388" t="str">
            <v>D250101R1</v>
          </cell>
          <cell r="J1388">
            <v>45874</v>
          </cell>
          <cell r="K1388">
            <v>2</v>
          </cell>
        </row>
        <row r="1389">
          <cell r="C1389" t="str">
            <v>陳威諭</v>
          </cell>
          <cell r="F1389" t="str">
            <v>D250501R1</v>
          </cell>
          <cell r="J1389">
            <v>45874</v>
          </cell>
          <cell r="K1389">
            <v>4</v>
          </cell>
        </row>
        <row r="1390">
          <cell r="C1390" t="str">
            <v>陳威諭</v>
          </cell>
          <cell r="F1390" t="str">
            <v>M240704R1</v>
          </cell>
          <cell r="J1390">
            <v>45874</v>
          </cell>
          <cell r="K1390">
            <v>1</v>
          </cell>
        </row>
        <row r="1391">
          <cell r="C1391" t="str">
            <v>陳威諭</v>
          </cell>
          <cell r="F1391" t="str">
            <v>D250702R1</v>
          </cell>
          <cell r="J1391">
            <v>45874</v>
          </cell>
          <cell r="K1391">
            <v>1</v>
          </cell>
        </row>
        <row r="1392">
          <cell r="C1392" t="str">
            <v>陳威諭</v>
          </cell>
          <cell r="F1392" t="str">
            <v>M240704R1</v>
          </cell>
          <cell r="J1392">
            <v>45875</v>
          </cell>
          <cell r="K1392">
            <v>1</v>
          </cell>
        </row>
        <row r="1393">
          <cell r="C1393" t="str">
            <v>陳威諭</v>
          </cell>
          <cell r="F1393" t="str">
            <v>D250101R1</v>
          </cell>
          <cell r="J1393">
            <v>45875</v>
          </cell>
          <cell r="K1393">
            <v>1</v>
          </cell>
        </row>
        <row r="1394">
          <cell r="C1394" t="str">
            <v>陳威諭</v>
          </cell>
          <cell r="F1394" t="str">
            <v>D250501R1</v>
          </cell>
          <cell r="J1394">
            <v>45875</v>
          </cell>
          <cell r="K1394">
            <v>5</v>
          </cell>
        </row>
        <row r="1395">
          <cell r="C1395" t="str">
            <v>陳威諭</v>
          </cell>
          <cell r="F1395" t="str">
            <v>D250702R1</v>
          </cell>
          <cell r="J1395">
            <v>45875</v>
          </cell>
          <cell r="K1395">
            <v>1</v>
          </cell>
        </row>
        <row r="1396">
          <cell r="C1396" t="str">
            <v>陳威諭</v>
          </cell>
          <cell r="F1396" t="str">
            <v>M250301C1</v>
          </cell>
          <cell r="J1396">
            <v>45876</v>
          </cell>
          <cell r="K1396">
            <v>1</v>
          </cell>
        </row>
        <row r="1397">
          <cell r="C1397" t="str">
            <v>陳威諭</v>
          </cell>
          <cell r="F1397" t="str">
            <v>D250501R1</v>
          </cell>
          <cell r="J1397">
            <v>45876</v>
          </cell>
          <cell r="K1397">
            <v>6</v>
          </cell>
        </row>
        <row r="1398">
          <cell r="C1398" t="str">
            <v>陳威諭</v>
          </cell>
          <cell r="F1398" t="str">
            <v>D250101R1</v>
          </cell>
          <cell r="J1398">
            <v>45876</v>
          </cell>
          <cell r="K1398">
            <v>1</v>
          </cell>
        </row>
        <row r="1399">
          <cell r="C1399" t="str">
            <v>陳威諭</v>
          </cell>
          <cell r="F1399" t="str">
            <v>D250101R1</v>
          </cell>
          <cell r="J1399">
            <v>45877</v>
          </cell>
          <cell r="K1399">
            <v>1</v>
          </cell>
        </row>
        <row r="1400">
          <cell r="C1400" t="str">
            <v>陳威諭</v>
          </cell>
          <cell r="F1400" t="str">
            <v>M250301C1</v>
          </cell>
          <cell r="J1400">
            <v>45877</v>
          </cell>
          <cell r="K1400">
            <v>1</v>
          </cell>
        </row>
        <row r="1401">
          <cell r="C1401" t="str">
            <v>陳威諭</v>
          </cell>
          <cell r="F1401" t="str">
            <v>M240704R1</v>
          </cell>
          <cell r="J1401">
            <v>45877</v>
          </cell>
          <cell r="K1401">
            <v>1</v>
          </cell>
        </row>
        <row r="1402">
          <cell r="C1402" t="str">
            <v>陳威諭</v>
          </cell>
          <cell r="F1402" t="str">
            <v>D250501R1</v>
          </cell>
          <cell r="J1402">
            <v>45877</v>
          </cell>
          <cell r="K1402">
            <v>1</v>
          </cell>
        </row>
        <row r="1403">
          <cell r="C1403" t="str">
            <v>陳威諭</v>
          </cell>
          <cell r="F1403" t="str">
            <v>D250702R1</v>
          </cell>
          <cell r="J1403">
            <v>45877</v>
          </cell>
          <cell r="K1403">
            <v>4</v>
          </cell>
        </row>
        <row r="1404">
          <cell r="C1404" t="str">
            <v>陳威諭</v>
          </cell>
          <cell r="F1404" t="str">
            <v>M250301C1</v>
          </cell>
          <cell r="J1404">
            <v>45880</v>
          </cell>
          <cell r="K1404">
            <v>4</v>
          </cell>
        </row>
        <row r="1405">
          <cell r="C1405" t="str">
            <v>陳威諭</v>
          </cell>
          <cell r="F1405" t="str">
            <v>D250101R1</v>
          </cell>
          <cell r="J1405">
            <v>45880</v>
          </cell>
          <cell r="K1405">
            <v>1</v>
          </cell>
        </row>
        <row r="1406">
          <cell r="C1406" t="str">
            <v>陳威諭</v>
          </cell>
          <cell r="F1406" t="str">
            <v>M240704R1</v>
          </cell>
          <cell r="J1406">
            <v>45880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45880</v>
          </cell>
          <cell r="K1407">
            <v>2</v>
          </cell>
        </row>
        <row r="1408">
          <cell r="C1408" t="str">
            <v>陳威諭</v>
          </cell>
          <cell r="F1408" t="str">
            <v>M250301C1</v>
          </cell>
          <cell r="J1408">
            <v>45881</v>
          </cell>
          <cell r="K1408">
            <v>1</v>
          </cell>
        </row>
        <row r="1409">
          <cell r="C1409" t="str">
            <v>陳威諭</v>
          </cell>
          <cell r="F1409" t="str">
            <v>D250101R1</v>
          </cell>
          <cell r="J1409">
            <v>45881</v>
          </cell>
          <cell r="K1409">
            <v>1</v>
          </cell>
        </row>
        <row r="1410">
          <cell r="C1410" t="str">
            <v>陳威諭</v>
          </cell>
          <cell r="F1410" t="str">
            <v>M240704R1</v>
          </cell>
          <cell r="J1410">
            <v>45881</v>
          </cell>
          <cell r="K1410">
            <v>1</v>
          </cell>
        </row>
        <row r="1411">
          <cell r="C1411" t="str">
            <v>陳威諭</v>
          </cell>
          <cell r="F1411" t="str">
            <v>D250702R1</v>
          </cell>
          <cell r="J1411">
            <v>45881</v>
          </cell>
          <cell r="K1411">
            <v>5</v>
          </cell>
        </row>
        <row r="1412">
          <cell r="C1412" t="str">
            <v>陳威諭</v>
          </cell>
          <cell r="F1412" t="str">
            <v>D250101R1</v>
          </cell>
          <cell r="J1412">
            <v>45882</v>
          </cell>
          <cell r="K1412">
            <v>1</v>
          </cell>
        </row>
        <row r="1413">
          <cell r="C1413" t="str">
            <v>陳威諭</v>
          </cell>
          <cell r="F1413" t="str">
            <v>M240704R1</v>
          </cell>
          <cell r="J1413">
            <v>45882</v>
          </cell>
          <cell r="K1413">
            <v>0.5</v>
          </cell>
        </row>
        <row r="1414">
          <cell r="C1414" t="str">
            <v>陳威諭</v>
          </cell>
          <cell r="F1414" t="str">
            <v>D250501R1</v>
          </cell>
          <cell r="J1414">
            <v>45882</v>
          </cell>
          <cell r="K1414">
            <v>4</v>
          </cell>
        </row>
        <row r="1415">
          <cell r="C1415" t="str">
            <v>陳威諭</v>
          </cell>
          <cell r="J1415">
            <v>45882</v>
          </cell>
          <cell r="K1415">
            <v>0.5</v>
          </cell>
        </row>
        <row r="1416">
          <cell r="C1416" t="str">
            <v>陳威諭</v>
          </cell>
          <cell r="F1416" t="str">
            <v>D250702R1</v>
          </cell>
          <cell r="J1416">
            <v>45882</v>
          </cell>
          <cell r="K1416">
            <v>2</v>
          </cell>
        </row>
        <row r="1417">
          <cell r="C1417" t="str">
            <v>陳威諭</v>
          </cell>
          <cell r="J1417">
            <v>45883</v>
          </cell>
          <cell r="K1417">
            <v>2</v>
          </cell>
        </row>
        <row r="1418">
          <cell r="C1418" t="str">
            <v>陳威諭</v>
          </cell>
          <cell r="F1418" t="str">
            <v>D250501R1</v>
          </cell>
          <cell r="J1418">
            <v>45883</v>
          </cell>
          <cell r="K1418">
            <v>1</v>
          </cell>
        </row>
        <row r="1419">
          <cell r="C1419" t="str">
            <v>陳威諭</v>
          </cell>
          <cell r="F1419" t="str">
            <v>D250101R1</v>
          </cell>
          <cell r="J1419">
            <v>45883</v>
          </cell>
          <cell r="K1419">
            <v>1</v>
          </cell>
        </row>
        <row r="1420">
          <cell r="C1420" t="str">
            <v>陳威諭</v>
          </cell>
          <cell r="J1420">
            <v>45883</v>
          </cell>
          <cell r="K1420">
            <v>1</v>
          </cell>
        </row>
        <row r="1421">
          <cell r="C1421" t="str">
            <v>陳威諭</v>
          </cell>
          <cell r="F1421" t="str">
            <v>D250702R1</v>
          </cell>
          <cell r="J1421">
            <v>45883</v>
          </cell>
          <cell r="K1421">
            <v>3</v>
          </cell>
        </row>
        <row r="1422">
          <cell r="C1422" t="str">
            <v>陳威諭</v>
          </cell>
          <cell r="F1422" t="str">
            <v>M250301C1</v>
          </cell>
          <cell r="J1422">
            <v>45884</v>
          </cell>
          <cell r="K1422">
            <v>2</v>
          </cell>
        </row>
        <row r="1423">
          <cell r="C1423" t="str">
            <v>陳威諭</v>
          </cell>
          <cell r="F1423" t="str">
            <v>D250101R1</v>
          </cell>
          <cell r="J1423">
            <v>45884</v>
          </cell>
          <cell r="K1423">
            <v>1</v>
          </cell>
        </row>
        <row r="1424">
          <cell r="C1424" t="str">
            <v>陳威諭</v>
          </cell>
          <cell r="F1424" t="str">
            <v>D250702R1</v>
          </cell>
          <cell r="J1424">
            <v>45884</v>
          </cell>
          <cell r="K1424">
            <v>5</v>
          </cell>
        </row>
        <row r="1425">
          <cell r="C1425" t="str">
            <v>陳威諭</v>
          </cell>
          <cell r="F1425" t="str">
            <v>M250301C1</v>
          </cell>
          <cell r="J1425">
            <v>45887</v>
          </cell>
          <cell r="K1425">
            <v>3</v>
          </cell>
        </row>
        <row r="1426">
          <cell r="C1426" t="str">
            <v>陳威諭</v>
          </cell>
          <cell r="F1426" t="str">
            <v>D250101R1</v>
          </cell>
          <cell r="J1426">
            <v>45887</v>
          </cell>
          <cell r="K1426">
            <v>1</v>
          </cell>
        </row>
        <row r="1427">
          <cell r="C1427" t="str">
            <v>陳威諭</v>
          </cell>
          <cell r="F1427" t="str">
            <v>D250702R1</v>
          </cell>
          <cell r="J1427">
            <v>45887</v>
          </cell>
          <cell r="K1427">
            <v>4</v>
          </cell>
        </row>
        <row r="1428">
          <cell r="C1428" t="str">
            <v>陳威諭</v>
          </cell>
          <cell r="F1428" t="str">
            <v>D250101R1</v>
          </cell>
          <cell r="J1428">
            <v>45888</v>
          </cell>
          <cell r="K1428">
            <v>1</v>
          </cell>
        </row>
        <row r="1429">
          <cell r="C1429" t="str">
            <v>陳威諭</v>
          </cell>
          <cell r="F1429" t="str">
            <v>M240704R1</v>
          </cell>
          <cell r="J1429">
            <v>45888</v>
          </cell>
          <cell r="K1429">
            <v>1</v>
          </cell>
        </row>
        <row r="1430">
          <cell r="C1430" t="str">
            <v>陳威諭</v>
          </cell>
          <cell r="F1430" t="str">
            <v>M250301C1</v>
          </cell>
          <cell r="J1430">
            <v>45888</v>
          </cell>
          <cell r="K1430">
            <v>2</v>
          </cell>
        </row>
        <row r="1431">
          <cell r="C1431" t="str">
            <v>陳威諭</v>
          </cell>
          <cell r="F1431" t="str">
            <v>D250702R1</v>
          </cell>
          <cell r="J1431">
            <v>45888</v>
          </cell>
          <cell r="K1431">
            <v>4</v>
          </cell>
        </row>
        <row r="1432">
          <cell r="C1432" t="str">
            <v>陳威諭</v>
          </cell>
          <cell r="F1432" t="str">
            <v>D250101R1</v>
          </cell>
          <cell r="J1432">
            <v>45889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J1433">
            <v>45889</v>
          </cell>
          <cell r="K1433">
            <v>3</v>
          </cell>
        </row>
        <row r="1434">
          <cell r="C1434" t="str">
            <v>陳威諭</v>
          </cell>
          <cell r="F1434" t="str">
            <v>M240704R1</v>
          </cell>
          <cell r="J1434">
            <v>45889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45889</v>
          </cell>
          <cell r="K1435">
            <v>3</v>
          </cell>
        </row>
        <row r="1436">
          <cell r="C1436" t="str">
            <v>陳威諭</v>
          </cell>
          <cell r="J1436">
            <v>45890</v>
          </cell>
          <cell r="K1436">
            <v>2.5</v>
          </cell>
        </row>
        <row r="1437">
          <cell r="C1437" t="str">
            <v>陳威諭</v>
          </cell>
          <cell r="J1437">
            <v>45890</v>
          </cell>
          <cell r="K1437">
            <v>3.5</v>
          </cell>
        </row>
        <row r="1438">
          <cell r="C1438" t="str">
            <v>陳威諭</v>
          </cell>
          <cell r="F1438" t="str">
            <v>D250702R1</v>
          </cell>
          <cell r="J1438">
            <v>45890</v>
          </cell>
          <cell r="K1438">
            <v>2</v>
          </cell>
        </row>
        <row r="1439">
          <cell r="C1439" t="str">
            <v>陳威諭</v>
          </cell>
          <cell r="F1439" t="str">
            <v>M250301C1</v>
          </cell>
          <cell r="J1439">
            <v>45891</v>
          </cell>
          <cell r="K1439">
            <v>2</v>
          </cell>
        </row>
        <row r="1440">
          <cell r="C1440" t="str">
            <v>陳威諭</v>
          </cell>
          <cell r="F1440" t="str">
            <v>D250101R1</v>
          </cell>
          <cell r="J1440">
            <v>45891</v>
          </cell>
          <cell r="K1440">
            <v>1</v>
          </cell>
        </row>
        <row r="1441">
          <cell r="C1441" t="str">
            <v>陳威諭</v>
          </cell>
          <cell r="F1441" t="str">
            <v>D250702R1</v>
          </cell>
          <cell r="J1441">
            <v>45891</v>
          </cell>
          <cell r="K1441">
            <v>5</v>
          </cell>
        </row>
        <row r="1442">
          <cell r="C1442" t="str">
            <v>陳威諭</v>
          </cell>
          <cell r="J1442">
            <v>45894</v>
          </cell>
          <cell r="K1442">
            <v>3.5</v>
          </cell>
        </row>
        <row r="1443">
          <cell r="C1443" t="str">
            <v>陳威諭</v>
          </cell>
          <cell r="F1443" t="str">
            <v>M250301C1</v>
          </cell>
          <cell r="J1443">
            <v>45894</v>
          </cell>
          <cell r="K1443">
            <v>1</v>
          </cell>
        </row>
        <row r="1444">
          <cell r="C1444" t="str">
            <v>陳威諭</v>
          </cell>
          <cell r="J1444">
            <v>45894</v>
          </cell>
          <cell r="K1444">
            <v>2.5</v>
          </cell>
        </row>
        <row r="1445">
          <cell r="C1445" t="str">
            <v>陳威諭</v>
          </cell>
          <cell r="F1445" t="str">
            <v>D250702R1</v>
          </cell>
          <cell r="J1445">
            <v>45894</v>
          </cell>
          <cell r="K1445">
            <v>1</v>
          </cell>
        </row>
        <row r="1446">
          <cell r="C1446" t="str">
            <v>陳威諭</v>
          </cell>
          <cell r="F1446" t="str">
            <v>M250301C1</v>
          </cell>
          <cell r="J1446">
            <v>45895</v>
          </cell>
          <cell r="K1446">
            <v>1</v>
          </cell>
        </row>
        <row r="1447">
          <cell r="C1447" t="str">
            <v>陳威諭</v>
          </cell>
          <cell r="J1447">
            <v>45895</v>
          </cell>
          <cell r="K1447">
            <v>3</v>
          </cell>
        </row>
        <row r="1448">
          <cell r="C1448" t="str">
            <v>陳威諭</v>
          </cell>
          <cell r="F1448" t="str">
            <v>D250702R1</v>
          </cell>
          <cell r="J1448">
            <v>45895</v>
          </cell>
          <cell r="K1448">
            <v>4</v>
          </cell>
        </row>
        <row r="1449">
          <cell r="C1449" t="str">
            <v>陳威諭</v>
          </cell>
          <cell r="F1449" t="str">
            <v>M250301C1</v>
          </cell>
          <cell r="J1449">
            <v>45896</v>
          </cell>
          <cell r="K1449">
            <v>3</v>
          </cell>
        </row>
        <row r="1450">
          <cell r="C1450" t="str">
            <v>陳威諭</v>
          </cell>
          <cell r="J1450">
            <v>45896</v>
          </cell>
          <cell r="K1450">
            <v>2</v>
          </cell>
        </row>
        <row r="1451">
          <cell r="C1451" t="str">
            <v>陳威諭</v>
          </cell>
          <cell r="F1451" t="str">
            <v>D250702R1</v>
          </cell>
          <cell r="J1451">
            <v>45896</v>
          </cell>
          <cell r="K1451">
            <v>3</v>
          </cell>
        </row>
        <row r="1452">
          <cell r="C1452" t="str">
            <v>陳威諭</v>
          </cell>
          <cell r="J1452">
            <v>45897</v>
          </cell>
          <cell r="K1452">
            <v>1</v>
          </cell>
        </row>
        <row r="1453">
          <cell r="C1453" t="str">
            <v>陳威諭</v>
          </cell>
          <cell r="F1453" t="str">
            <v>M250301C1</v>
          </cell>
          <cell r="J1453">
            <v>45897</v>
          </cell>
          <cell r="K1453">
            <v>1</v>
          </cell>
        </row>
        <row r="1454">
          <cell r="C1454" t="str">
            <v>陳威諭</v>
          </cell>
          <cell r="F1454" t="str">
            <v>D250702R1</v>
          </cell>
          <cell r="J1454">
            <v>45897</v>
          </cell>
          <cell r="K1454">
            <v>6</v>
          </cell>
        </row>
        <row r="1455">
          <cell r="C1455" t="str">
            <v>陳威諭</v>
          </cell>
          <cell r="F1455" t="str">
            <v>M250301C1</v>
          </cell>
          <cell r="J1455">
            <v>45898</v>
          </cell>
          <cell r="K1455">
            <v>1</v>
          </cell>
        </row>
        <row r="1456">
          <cell r="C1456" t="str">
            <v>陳威諭</v>
          </cell>
          <cell r="J1456">
            <v>45898</v>
          </cell>
          <cell r="K1456">
            <v>1</v>
          </cell>
        </row>
        <row r="1457">
          <cell r="C1457" t="str">
            <v>陳威諭</v>
          </cell>
          <cell r="F1457" t="str">
            <v>D250702R1</v>
          </cell>
          <cell r="J1457">
            <v>45898</v>
          </cell>
          <cell r="K1457">
            <v>6</v>
          </cell>
        </row>
        <row r="1458">
          <cell r="C1458" t="str">
            <v>陳威諭</v>
          </cell>
          <cell r="F1458" t="str">
            <v>M250301C1</v>
          </cell>
          <cell r="J1458">
            <v>45901</v>
          </cell>
          <cell r="K1458">
            <v>1</v>
          </cell>
        </row>
        <row r="1459">
          <cell r="C1459" t="str">
            <v>陳威諭</v>
          </cell>
          <cell r="J1459">
            <v>45901</v>
          </cell>
          <cell r="K1459">
            <v>3</v>
          </cell>
        </row>
        <row r="1460">
          <cell r="C1460" t="str">
            <v>陳威諭</v>
          </cell>
          <cell r="J1460">
            <v>45901</v>
          </cell>
          <cell r="K1460">
            <v>1</v>
          </cell>
        </row>
        <row r="1461">
          <cell r="C1461" t="str">
            <v>陳威諭</v>
          </cell>
          <cell r="F1461" t="str">
            <v>D250702R1</v>
          </cell>
          <cell r="J1461">
            <v>45901</v>
          </cell>
          <cell r="K1461">
            <v>3</v>
          </cell>
        </row>
        <row r="1462">
          <cell r="C1462" t="str">
            <v>陳威諭</v>
          </cell>
          <cell r="F1462" t="str">
            <v>M250301C1</v>
          </cell>
          <cell r="J1462">
            <v>45902</v>
          </cell>
          <cell r="K1462">
            <v>1</v>
          </cell>
        </row>
        <row r="1463">
          <cell r="C1463" t="str">
            <v>陳威諭</v>
          </cell>
          <cell r="J1463">
            <v>45902</v>
          </cell>
          <cell r="K1463">
            <v>4</v>
          </cell>
        </row>
        <row r="1464">
          <cell r="C1464" t="str">
            <v>陳威諭</v>
          </cell>
          <cell r="F1464" t="str">
            <v>D250702R1</v>
          </cell>
          <cell r="J1464">
            <v>45902</v>
          </cell>
          <cell r="K1464">
            <v>3</v>
          </cell>
        </row>
        <row r="1465">
          <cell r="C1465" t="str">
            <v>陳威諭</v>
          </cell>
          <cell r="F1465" t="str">
            <v>D250501R1</v>
          </cell>
          <cell r="J1465">
            <v>45903</v>
          </cell>
          <cell r="K1465">
            <v>5</v>
          </cell>
        </row>
        <row r="1466">
          <cell r="C1466" t="str">
            <v>陳威諭</v>
          </cell>
          <cell r="F1466" t="str">
            <v>M250301C1</v>
          </cell>
          <cell r="J1466">
            <v>45903</v>
          </cell>
          <cell r="K1466">
            <v>1</v>
          </cell>
        </row>
        <row r="1467">
          <cell r="C1467" t="str">
            <v>陳威諭</v>
          </cell>
          <cell r="J1467">
            <v>45903</v>
          </cell>
          <cell r="K1467">
            <v>2</v>
          </cell>
        </row>
        <row r="1468">
          <cell r="C1468" t="str">
            <v>陳威諭</v>
          </cell>
          <cell r="F1468" t="str">
            <v>M250301C1</v>
          </cell>
          <cell r="J1468">
            <v>45904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45904</v>
          </cell>
          <cell r="K1469">
            <v>2</v>
          </cell>
        </row>
        <row r="1470">
          <cell r="C1470" t="str">
            <v>陳威諭</v>
          </cell>
          <cell r="J1470">
            <v>45904</v>
          </cell>
          <cell r="K1470">
            <v>1</v>
          </cell>
        </row>
        <row r="1471">
          <cell r="C1471" t="str">
            <v>陳威諭</v>
          </cell>
          <cell r="F1471" t="str">
            <v>D250702R1</v>
          </cell>
          <cell r="J1471">
            <v>45904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45905</v>
          </cell>
          <cell r="K1472">
            <v>2</v>
          </cell>
        </row>
        <row r="1473">
          <cell r="C1473" t="str">
            <v>陳威諭</v>
          </cell>
          <cell r="J1473">
            <v>45905</v>
          </cell>
          <cell r="K1473">
            <v>3</v>
          </cell>
        </row>
        <row r="1474">
          <cell r="C1474" t="str">
            <v>陳威諭</v>
          </cell>
          <cell r="F1474" t="str">
            <v>D250702R1</v>
          </cell>
          <cell r="J1474">
            <v>45905</v>
          </cell>
          <cell r="K1474">
            <v>3</v>
          </cell>
        </row>
        <row r="1475">
          <cell r="C1475" t="str">
            <v>陳威諭</v>
          </cell>
          <cell r="J1475">
            <v>45908</v>
          </cell>
          <cell r="K1475">
            <v>3</v>
          </cell>
        </row>
        <row r="1476">
          <cell r="C1476" t="str">
            <v>陳威諭</v>
          </cell>
          <cell r="F1476" t="str">
            <v>M250301C1</v>
          </cell>
          <cell r="J1476">
            <v>45908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45908</v>
          </cell>
          <cell r="K1477">
            <v>4</v>
          </cell>
        </row>
        <row r="1478">
          <cell r="C1478" t="str">
            <v>陳威諭</v>
          </cell>
          <cell r="J1478">
            <v>45909</v>
          </cell>
          <cell r="K1478">
            <v>1</v>
          </cell>
        </row>
        <row r="1479">
          <cell r="C1479" t="str">
            <v>陳威諭</v>
          </cell>
          <cell r="F1479" t="str">
            <v>D250501R1</v>
          </cell>
          <cell r="J1479">
            <v>45909</v>
          </cell>
          <cell r="K1479">
            <v>1</v>
          </cell>
        </row>
        <row r="1480">
          <cell r="C1480" t="str">
            <v>陳威諭</v>
          </cell>
          <cell r="F1480" t="str">
            <v>M250301C1</v>
          </cell>
          <cell r="J1480">
            <v>45909</v>
          </cell>
          <cell r="K1480">
            <v>2</v>
          </cell>
        </row>
        <row r="1481">
          <cell r="C1481" t="str">
            <v>陳威諭</v>
          </cell>
          <cell r="F1481" t="str">
            <v>D250702R1</v>
          </cell>
          <cell r="J1481">
            <v>45909</v>
          </cell>
          <cell r="K1481">
            <v>4</v>
          </cell>
        </row>
        <row r="1482">
          <cell r="C1482" t="str">
            <v>陳威諭</v>
          </cell>
          <cell r="J1482">
            <v>45910</v>
          </cell>
          <cell r="K1482">
            <v>1</v>
          </cell>
        </row>
        <row r="1483">
          <cell r="C1483" t="str">
            <v>陳威諭</v>
          </cell>
          <cell r="F1483" t="str">
            <v>D250501R1</v>
          </cell>
          <cell r="J1483">
            <v>45910</v>
          </cell>
          <cell r="K1483">
            <v>1</v>
          </cell>
        </row>
        <row r="1484">
          <cell r="C1484" t="str">
            <v>陳威諭</v>
          </cell>
          <cell r="F1484" t="str">
            <v>M250301C1</v>
          </cell>
          <cell r="J1484">
            <v>45910</v>
          </cell>
          <cell r="K1484">
            <v>2</v>
          </cell>
        </row>
        <row r="1485">
          <cell r="C1485" t="str">
            <v>陳威諭</v>
          </cell>
          <cell r="J1485">
            <v>45910</v>
          </cell>
          <cell r="K1485">
            <v>1</v>
          </cell>
        </row>
        <row r="1486">
          <cell r="C1486" t="str">
            <v>陳威諭</v>
          </cell>
          <cell r="F1486" t="str">
            <v>D250702R1</v>
          </cell>
          <cell r="J1486">
            <v>45910</v>
          </cell>
          <cell r="K1486">
            <v>3</v>
          </cell>
        </row>
        <row r="1487">
          <cell r="C1487" t="str">
            <v>陳威諭</v>
          </cell>
          <cell r="J1487">
            <v>45911</v>
          </cell>
          <cell r="K1487">
            <v>1</v>
          </cell>
        </row>
        <row r="1488">
          <cell r="C1488" t="str">
            <v>陳威諭</v>
          </cell>
          <cell r="F1488" t="str">
            <v>D250501R1</v>
          </cell>
          <cell r="J1488">
            <v>45911</v>
          </cell>
          <cell r="K1488">
            <v>1</v>
          </cell>
        </row>
        <row r="1489">
          <cell r="C1489" t="str">
            <v>陳威諭</v>
          </cell>
          <cell r="F1489" t="str">
            <v>M250301C1</v>
          </cell>
          <cell r="J1489">
            <v>45911</v>
          </cell>
          <cell r="K1489">
            <v>4</v>
          </cell>
        </row>
        <row r="1490">
          <cell r="C1490" t="str">
            <v>陳威諭</v>
          </cell>
          <cell r="F1490" t="str">
            <v>D250702R1</v>
          </cell>
          <cell r="J1490">
            <v>45911</v>
          </cell>
          <cell r="K1490">
            <v>2</v>
          </cell>
        </row>
        <row r="1491">
          <cell r="C1491" t="str">
            <v>陳威諭</v>
          </cell>
          <cell r="F1491" t="str">
            <v>M250301C1</v>
          </cell>
          <cell r="J1491">
            <v>45912</v>
          </cell>
          <cell r="K1491">
            <v>4</v>
          </cell>
        </row>
        <row r="1492">
          <cell r="C1492" t="str">
            <v>陳威諭</v>
          </cell>
          <cell r="F1492" t="str">
            <v>D250501R1</v>
          </cell>
          <cell r="J1492">
            <v>45912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J1493">
            <v>45912</v>
          </cell>
          <cell r="K1493">
            <v>3</v>
          </cell>
        </row>
        <row r="1494">
          <cell r="C1494" t="str">
            <v>陳威諭</v>
          </cell>
          <cell r="F1494" t="str">
            <v>M250301C1</v>
          </cell>
          <cell r="J1494">
            <v>45915</v>
          </cell>
          <cell r="K1494">
            <v>4</v>
          </cell>
        </row>
        <row r="1495">
          <cell r="C1495" t="str">
            <v>陳威諭</v>
          </cell>
          <cell r="J1495">
            <v>45915</v>
          </cell>
          <cell r="K1495">
            <v>1.5</v>
          </cell>
        </row>
        <row r="1496">
          <cell r="C1496" t="str">
            <v>陳威諭</v>
          </cell>
          <cell r="F1496" t="str">
            <v>D250702R1</v>
          </cell>
          <cell r="J1496">
            <v>45915</v>
          </cell>
          <cell r="K1496">
            <v>2.5</v>
          </cell>
        </row>
        <row r="1497">
          <cell r="C1497" t="str">
            <v>陳威諭</v>
          </cell>
          <cell r="J1497">
            <v>45916</v>
          </cell>
          <cell r="K1497">
            <v>1</v>
          </cell>
        </row>
        <row r="1498">
          <cell r="C1498" t="str">
            <v>陳威諭</v>
          </cell>
          <cell r="F1498" t="str">
            <v>D250501R1</v>
          </cell>
          <cell r="J1498">
            <v>45916</v>
          </cell>
          <cell r="K1498">
            <v>1</v>
          </cell>
        </row>
        <row r="1499">
          <cell r="C1499" t="str">
            <v>陳威諭</v>
          </cell>
          <cell r="F1499" t="str">
            <v>M250301C1</v>
          </cell>
          <cell r="J1499">
            <v>45916</v>
          </cell>
          <cell r="K1499">
            <v>1</v>
          </cell>
        </row>
        <row r="1500">
          <cell r="C1500" t="str">
            <v>陳威諭</v>
          </cell>
          <cell r="F1500" t="str">
            <v>D250702R1</v>
          </cell>
          <cell r="J1500">
            <v>45916</v>
          </cell>
          <cell r="K1500">
            <v>5</v>
          </cell>
        </row>
        <row r="1501">
          <cell r="C1501" t="str">
            <v>陳威諭</v>
          </cell>
          <cell r="J1501">
            <v>45917</v>
          </cell>
          <cell r="K1501">
            <v>1.5</v>
          </cell>
        </row>
        <row r="1502">
          <cell r="C1502" t="str">
            <v>陳威諭</v>
          </cell>
          <cell r="F1502" t="str">
            <v>M250301C1</v>
          </cell>
          <cell r="J1502">
            <v>45917</v>
          </cell>
          <cell r="K1502">
            <v>1</v>
          </cell>
        </row>
        <row r="1503">
          <cell r="C1503" t="str">
            <v>陳威諭</v>
          </cell>
          <cell r="F1503" t="str">
            <v>D250501R1</v>
          </cell>
          <cell r="J1503">
            <v>45917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45917</v>
          </cell>
          <cell r="K1504">
            <v>4.5</v>
          </cell>
        </row>
        <row r="1505">
          <cell r="C1505" t="str">
            <v>陳威諭</v>
          </cell>
          <cell r="J1505">
            <v>45918</v>
          </cell>
          <cell r="K1505">
            <v>3</v>
          </cell>
        </row>
        <row r="1506">
          <cell r="C1506" t="str">
            <v>陳威諭</v>
          </cell>
          <cell r="F1506" t="str">
            <v>D250501R1</v>
          </cell>
          <cell r="J1506">
            <v>45918</v>
          </cell>
          <cell r="K1506">
            <v>1</v>
          </cell>
        </row>
        <row r="1507">
          <cell r="C1507" t="str">
            <v>陳威諭</v>
          </cell>
          <cell r="J1507">
            <v>45918</v>
          </cell>
          <cell r="K1507">
            <v>3</v>
          </cell>
        </row>
        <row r="1508">
          <cell r="C1508" t="str">
            <v>陳威諭</v>
          </cell>
          <cell r="F1508" t="str">
            <v>D250702R1</v>
          </cell>
          <cell r="J1508">
            <v>45918</v>
          </cell>
          <cell r="K1508">
            <v>1</v>
          </cell>
        </row>
        <row r="1509">
          <cell r="C1509" t="str">
            <v>陳威諭</v>
          </cell>
          <cell r="J1509">
            <v>45919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J1510">
            <v>45919</v>
          </cell>
          <cell r="K1510">
            <v>3</v>
          </cell>
        </row>
        <row r="1511">
          <cell r="C1511" t="str">
            <v>陳威諭</v>
          </cell>
          <cell r="F1511" t="str">
            <v>D250501R1</v>
          </cell>
          <cell r="J1511">
            <v>45919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45919</v>
          </cell>
          <cell r="K1512">
            <v>2</v>
          </cell>
        </row>
        <row r="1513">
          <cell r="C1513" t="str">
            <v>陳威諭</v>
          </cell>
          <cell r="F1513" t="str">
            <v>M250301C1</v>
          </cell>
          <cell r="J1513">
            <v>45922</v>
          </cell>
          <cell r="K1513">
            <v>2</v>
          </cell>
        </row>
        <row r="1514">
          <cell r="C1514" t="str">
            <v>陳威諭</v>
          </cell>
          <cell r="F1514" t="str">
            <v>D250501R1</v>
          </cell>
          <cell r="J1514">
            <v>45922</v>
          </cell>
          <cell r="K1514">
            <v>1</v>
          </cell>
        </row>
        <row r="1515">
          <cell r="C1515" t="str">
            <v>陳威諭</v>
          </cell>
          <cell r="J1515">
            <v>45922</v>
          </cell>
          <cell r="K1515">
            <v>2</v>
          </cell>
        </row>
        <row r="1516">
          <cell r="C1516" t="str">
            <v>陳威諭</v>
          </cell>
          <cell r="J1516">
            <v>45922</v>
          </cell>
          <cell r="K1516">
            <v>1.5</v>
          </cell>
        </row>
        <row r="1517">
          <cell r="C1517" t="str">
            <v>陳威諭</v>
          </cell>
          <cell r="F1517" t="str">
            <v>D250702R1</v>
          </cell>
          <cell r="J1517">
            <v>45922</v>
          </cell>
          <cell r="K1517">
            <v>1.5</v>
          </cell>
        </row>
        <row r="1518">
          <cell r="C1518" t="str">
            <v>陳威諭</v>
          </cell>
          <cell r="F1518" t="str">
            <v>D250501R1</v>
          </cell>
          <cell r="J1518">
            <v>45923</v>
          </cell>
          <cell r="K1518">
            <v>0.5</v>
          </cell>
        </row>
        <row r="1519">
          <cell r="C1519" t="str">
            <v>陳威諭</v>
          </cell>
          <cell r="J1519">
            <v>45923</v>
          </cell>
          <cell r="K1519">
            <v>2.5</v>
          </cell>
        </row>
        <row r="1520">
          <cell r="C1520" t="str">
            <v>陳威諭</v>
          </cell>
          <cell r="F1520" t="str">
            <v>D250702R1</v>
          </cell>
          <cell r="J1520">
            <v>45923</v>
          </cell>
          <cell r="K1520">
            <v>4</v>
          </cell>
        </row>
        <row r="1521">
          <cell r="C1521" t="str">
            <v>陳威諭</v>
          </cell>
          <cell r="F1521" t="str">
            <v>M250301C1</v>
          </cell>
          <cell r="J1521">
            <v>45923</v>
          </cell>
          <cell r="K1521">
            <v>1</v>
          </cell>
        </row>
        <row r="1522">
          <cell r="C1522" t="str">
            <v>陳威諭</v>
          </cell>
          <cell r="F1522" t="str">
            <v>D250501R1</v>
          </cell>
          <cell r="J1522">
            <v>45924</v>
          </cell>
          <cell r="K1522">
            <v>1</v>
          </cell>
        </row>
        <row r="1523">
          <cell r="C1523" t="str">
            <v>陳威諭</v>
          </cell>
          <cell r="J1523">
            <v>45924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J1524">
            <v>45924</v>
          </cell>
          <cell r="K1524">
            <v>2</v>
          </cell>
        </row>
        <row r="1525">
          <cell r="C1525" t="str">
            <v>陳威諭</v>
          </cell>
          <cell r="F1525" t="str">
            <v>D250702R1</v>
          </cell>
          <cell r="J1525">
            <v>45924</v>
          </cell>
          <cell r="K1525">
            <v>2</v>
          </cell>
        </row>
        <row r="1526">
          <cell r="C1526" t="str">
            <v>陳威諭</v>
          </cell>
          <cell r="F1526" t="str">
            <v>D250501R1</v>
          </cell>
          <cell r="J1526">
            <v>45925</v>
          </cell>
          <cell r="K1526">
            <v>1</v>
          </cell>
        </row>
        <row r="1527">
          <cell r="C1527" t="str">
            <v>陳威諭</v>
          </cell>
          <cell r="J1527">
            <v>45925</v>
          </cell>
          <cell r="K1527">
            <v>4</v>
          </cell>
        </row>
        <row r="1528">
          <cell r="C1528" t="str">
            <v>陳威諭</v>
          </cell>
          <cell r="F1528" t="str">
            <v>M250301C1</v>
          </cell>
          <cell r="J1528">
            <v>45925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45925</v>
          </cell>
          <cell r="K1529">
            <v>2</v>
          </cell>
        </row>
        <row r="1530">
          <cell r="C1530" t="str">
            <v>陳威諭</v>
          </cell>
          <cell r="J1530">
            <v>45926</v>
          </cell>
          <cell r="K1530">
            <v>3</v>
          </cell>
        </row>
        <row r="1531">
          <cell r="C1531" t="str">
            <v>陳威諭</v>
          </cell>
          <cell r="J1531">
            <v>45926</v>
          </cell>
          <cell r="K1531">
            <v>3</v>
          </cell>
        </row>
        <row r="1532">
          <cell r="C1532" t="str">
            <v>陳威諭</v>
          </cell>
          <cell r="F1532" t="str">
            <v>M250301C1</v>
          </cell>
          <cell r="J1532">
            <v>45926</v>
          </cell>
          <cell r="K1532">
            <v>2</v>
          </cell>
        </row>
        <row r="1533">
          <cell r="C1533" t="str">
            <v>陳威諭</v>
          </cell>
          <cell r="J1533">
            <v>45929</v>
          </cell>
          <cell r="K1533">
            <v>8</v>
          </cell>
        </row>
        <row r="1534">
          <cell r="C1534" t="str">
            <v>陳威諭</v>
          </cell>
          <cell r="J1534">
            <v>45930</v>
          </cell>
          <cell r="K1534">
            <v>4</v>
          </cell>
        </row>
        <row r="1535">
          <cell r="C1535" t="str">
            <v>陳威諭</v>
          </cell>
          <cell r="F1535" t="str">
            <v>M250301C1</v>
          </cell>
          <cell r="J1535">
            <v>45930</v>
          </cell>
          <cell r="K1535">
            <v>2</v>
          </cell>
        </row>
        <row r="1536">
          <cell r="C1536" t="str">
            <v>陳威諭</v>
          </cell>
          <cell r="J1536">
            <v>45930</v>
          </cell>
          <cell r="K1536">
            <v>1</v>
          </cell>
        </row>
        <row r="1537">
          <cell r="C1537" t="str">
            <v>陳威諭</v>
          </cell>
          <cell r="F1537" t="str">
            <v>D250501R1</v>
          </cell>
          <cell r="J1537">
            <v>45930</v>
          </cell>
          <cell r="K1537">
            <v>1</v>
          </cell>
        </row>
        <row r="1538">
          <cell r="C1538" t="str">
            <v>陳威諭</v>
          </cell>
          <cell r="J1538">
            <v>45931</v>
          </cell>
          <cell r="K1538">
            <v>7.5</v>
          </cell>
        </row>
        <row r="1539">
          <cell r="C1539" t="str">
            <v>陳威諭</v>
          </cell>
          <cell r="J1539">
            <v>45931</v>
          </cell>
          <cell r="K1539">
            <v>0.5</v>
          </cell>
        </row>
        <row r="1540">
          <cell r="C1540" t="str">
            <v>陳威諭</v>
          </cell>
          <cell r="J1540">
            <v>45932</v>
          </cell>
          <cell r="K1540">
            <v>1</v>
          </cell>
        </row>
        <row r="1541">
          <cell r="C1541" t="str">
            <v>陳威諭</v>
          </cell>
          <cell r="J1541">
            <v>45932</v>
          </cell>
          <cell r="K1541">
            <v>1</v>
          </cell>
        </row>
        <row r="1542">
          <cell r="C1542" t="str">
            <v>陳威諭</v>
          </cell>
          <cell r="J1542">
            <v>45932</v>
          </cell>
          <cell r="K1542">
            <v>6</v>
          </cell>
        </row>
        <row r="1543">
          <cell r="C1543" t="str">
            <v>陳威諭</v>
          </cell>
          <cell r="J1543">
            <v>45933</v>
          </cell>
          <cell r="K1543">
            <v>4</v>
          </cell>
        </row>
        <row r="1544">
          <cell r="C1544" t="str">
            <v>陳威諭</v>
          </cell>
          <cell r="J1544">
            <v>45933</v>
          </cell>
          <cell r="K1544">
            <v>4</v>
          </cell>
        </row>
        <row r="1545">
          <cell r="C1545" t="str">
            <v>陳威諭</v>
          </cell>
          <cell r="J1545">
            <v>45936</v>
          </cell>
          <cell r="K1545">
            <v>8</v>
          </cell>
        </row>
        <row r="1546">
          <cell r="C1546" t="str">
            <v>陳威諭</v>
          </cell>
          <cell r="J1546">
            <v>45937</v>
          </cell>
          <cell r="K1546">
            <v>2</v>
          </cell>
        </row>
        <row r="1547">
          <cell r="C1547" t="str">
            <v>陳威諭</v>
          </cell>
          <cell r="J1547">
            <v>45937</v>
          </cell>
          <cell r="K1547">
            <v>3</v>
          </cell>
        </row>
        <row r="1548">
          <cell r="C1548" t="str">
            <v>陳威諭</v>
          </cell>
          <cell r="F1548" t="str">
            <v>M250301C1</v>
          </cell>
          <cell r="J1548">
            <v>45937</v>
          </cell>
          <cell r="K1548">
            <v>3</v>
          </cell>
        </row>
        <row r="1549">
          <cell r="C1549" t="str">
            <v>陳威諭</v>
          </cell>
          <cell r="J1549">
            <v>45938</v>
          </cell>
          <cell r="K1549">
            <v>2</v>
          </cell>
        </row>
        <row r="1550">
          <cell r="C1550" t="str">
            <v>陳威諭</v>
          </cell>
          <cell r="J1550">
            <v>45938</v>
          </cell>
          <cell r="K1550">
            <v>3</v>
          </cell>
        </row>
        <row r="1551">
          <cell r="C1551" t="str">
            <v>陳威諭</v>
          </cell>
          <cell r="F1551" t="str">
            <v>M250301C1</v>
          </cell>
          <cell r="J1551">
            <v>45938</v>
          </cell>
          <cell r="K1551">
            <v>3</v>
          </cell>
        </row>
        <row r="1552">
          <cell r="C1552" t="str">
            <v>陳威諭</v>
          </cell>
          <cell r="J1552">
            <v>45939</v>
          </cell>
          <cell r="K1552">
            <v>4</v>
          </cell>
        </row>
        <row r="1553">
          <cell r="C1553" t="str">
            <v>陳威諭</v>
          </cell>
          <cell r="J1553">
            <v>45939</v>
          </cell>
          <cell r="K1553">
            <v>2</v>
          </cell>
        </row>
        <row r="1554">
          <cell r="C1554" t="str">
            <v>陳威諭</v>
          </cell>
          <cell r="F1554" t="str">
            <v>M250301C1</v>
          </cell>
          <cell r="J1554">
            <v>45939</v>
          </cell>
          <cell r="K1554">
            <v>2</v>
          </cell>
        </row>
        <row r="1555">
          <cell r="C1555" t="str">
            <v>陳威諭</v>
          </cell>
          <cell r="J1555">
            <v>45940</v>
          </cell>
          <cell r="K1555">
            <v>8</v>
          </cell>
        </row>
        <row r="1556">
          <cell r="C1556" t="str">
            <v>陳威諭</v>
          </cell>
          <cell r="J1556">
            <v>45943</v>
          </cell>
          <cell r="K1556">
            <v>1.5</v>
          </cell>
        </row>
        <row r="1557">
          <cell r="C1557" t="str">
            <v>陳威諭</v>
          </cell>
          <cell r="J1557">
            <v>45943</v>
          </cell>
          <cell r="K1557">
            <v>1</v>
          </cell>
        </row>
        <row r="1558">
          <cell r="C1558" t="str">
            <v>陳威諭</v>
          </cell>
          <cell r="J1558">
            <v>45943</v>
          </cell>
          <cell r="K1558">
            <v>2.5</v>
          </cell>
        </row>
        <row r="1559">
          <cell r="C1559" t="str">
            <v>陳威諭</v>
          </cell>
          <cell r="F1559" t="str">
            <v>M250301C1</v>
          </cell>
          <cell r="J1559">
            <v>45943</v>
          </cell>
          <cell r="K1559">
            <v>1</v>
          </cell>
        </row>
        <row r="1560">
          <cell r="C1560" t="str">
            <v>陳威諭</v>
          </cell>
          <cell r="F1560" t="str">
            <v>D250702R1</v>
          </cell>
          <cell r="J1560">
            <v>45943</v>
          </cell>
          <cell r="K1560">
            <v>2</v>
          </cell>
        </row>
        <row r="1561">
          <cell r="C1561" t="str">
            <v>陳威諭</v>
          </cell>
          <cell r="J1561">
            <v>45944</v>
          </cell>
          <cell r="K1561">
            <v>2</v>
          </cell>
        </row>
        <row r="1562">
          <cell r="C1562" t="str">
            <v>陳威諭</v>
          </cell>
          <cell r="J1562">
            <v>45944</v>
          </cell>
          <cell r="K1562">
            <v>2</v>
          </cell>
        </row>
        <row r="1563">
          <cell r="C1563" t="str">
            <v>陳威諭</v>
          </cell>
          <cell r="F1563" t="str">
            <v>M250301C1</v>
          </cell>
          <cell r="J1563">
            <v>45944</v>
          </cell>
          <cell r="K1563">
            <v>2</v>
          </cell>
        </row>
        <row r="1564">
          <cell r="C1564" t="str">
            <v>陳威諭</v>
          </cell>
          <cell r="F1564" t="str">
            <v>D250702R1</v>
          </cell>
          <cell r="J1564">
            <v>45944</v>
          </cell>
          <cell r="K1564">
            <v>2</v>
          </cell>
        </row>
        <row r="1565">
          <cell r="C1565" t="str">
            <v>陳威諭</v>
          </cell>
          <cell r="F1565" t="str">
            <v>D250702R1</v>
          </cell>
          <cell r="J1565">
            <v>45945</v>
          </cell>
          <cell r="K1565">
            <v>2</v>
          </cell>
        </row>
        <row r="1566">
          <cell r="C1566" t="str">
            <v>陳威諭</v>
          </cell>
          <cell r="J1566">
            <v>45945</v>
          </cell>
          <cell r="K1566">
            <v>3</v>
          </cell>
        </row>
        <row r="1567">
          <cell r="C1567" t="str">
            <v>陳威諭</v>
          </cell>
          <cell r="J1567">
            <v>45945</v>
          </cell>
          <cell r="K1567">
            <v>3</v>
          </cell>
        </row>
        <row r="1568">
          <cell r="C1568" t="str">
            <v>陳威諭</v>
          </cell>
          <cell r="J1568">
            <v>45946</v>
          </cell>
          <cell r="K1568">
            <v>1</v>
          </cell>
        </row>
        <row r="1569">
          <cell r="C1569" t="str">
            <v>陳威諭</v>
          </cell>
          <cell r="J1569">
            <v>45946</v>
          </cell>
          <cell r="K1569">
            <v>5</v>
          </cell>
        </row>
        <row r="1570">
          <cell r="C1570" t="str">
            <v>陳威諭</v>
          </cell>
          <cell r="F1570" t="str">
            <v>M250301C1</v>
          </cell>
          <cell r="J1570">
            <v>45946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J1571">
            <v>45946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45947</v>
          </cell>
          <cell r="K1572">
            <v>1</v>
          </cell>
        </row>
        <row r="1573">
          <cell r="C1573" t="str">
            <v>陳威諭</v>
          </cell>
          <cell r="J1573">
            <v>45947</v>
          </cell>
          <cell r="K1573">
            <v>1</v>
          </cell>
        </row>
        <row r="1574">
          <cell r="C1574" t="str">
            <v>陳威諭</v>
          </cell>
          <cell r="J1574">
            <v>45947</v>
          </cell>
          <cell r="K1574">
            <v>6</v>
          </cell>
        </row>
        <row r="1575">
          <cell r="C1575" t="str">
            <v>陳威諭</v>
          </cell>
          <cell r="J1575">
            <v>45950</v>
          </cell>
          <cell r="K1575">
            <v>2</v>
          </cell>
        </row>
        <row r="1576">
          <cell r="C1576" t="str">
            <v>陳威諭</v>
          </cell>
          <cell r="J1576">
            <v>45950</v>
          </cell>
          <cell r="K1576">
            <v>1.5</v>
          </cell>
        </row>
        <row r="1577">
          <cell r="C1577" t="str">
            <v>陳威諭</v>
          </cell>
          <cell r="F1577" t="str">
            <v>M250301C1</v>
          </cell>
          <cell r="J1577">
            <v>45950</v>
          </cell>
          <cell r="K1577">
            <v>3</v>
          </cell>
        </row>
        <row r="1578">
          <cell r="C1578" t="str">
            <v>陳威諭</v>
          </cell>
          <cell r="F1578" t="str">
            <v>D250702R1</v>
          </cell>
          <cell r="J1578">
            <v>45950</v>
          </cell>
          <cell r="K1578">
            <v>1.5</v>
          </cell>
        </row>
        <row r="1579">
          <cell r="C1579" t="str">
            <v>陳威諭</v>
          </cell>
          <cell r="F1579" t="str">
            <v>M250301C1</v>
          </cell>
          <cell r="J1579">
            <v>45951</v>
          </cell>
          <cell r="K1579">
            <v>2</v>
          </cell>
        </row>
        <row r="1580">
          <cell r="C1580" t="str">
            <v>陳威諭</v>
          </cell>
          <cell r="J1580">
            <v>45951</v>
          </cell>
          <cell r="K1580">
            <v>6</v>
          </cell>
        </row>
        <row r="1581">
          <cell r="C1581" t="str">
            <v>陳威諭</v>
          </cell>
          <cell r="J1581">
            <v>45952</v>
          </cell>
          <cell r="K1581">
            <v>5</v>
          </cell>
        </row>
        <row r="1582">
          <cell r="C1582" t="str">
            <v>陳威諭</v>
          </cell>
          <cell r="F1582" t="str">
            <v>M250301C1</v>
          </cell>
          <cell r="J1582">
            <v>45952</v>
          </cell>
          <cell r="K1582">
            <v>3</v>
          </cell>
        </row>
        <row r="1583">
          <cell r="C1583" t="str">
            <v>陳威諭</v>
          </cell>
          <cell r="J1583">
            <v>45953</v>
          </cell>
          <cell r="K1583">
            <v>4</v>
          </cell>
        </row>
        <row r="1584">
          <cell r="C1584" t="str">
            <v>陳威諭</v>
          </cell>
          <cell r="F1584" t="str">
            <v>M250301C1</v>
          </cell>
          <cell r="J1584">
            <v>45953</v>
          </cell>
          <cell r="K1584">
            <v>4</v>
          </cell>
        </row>
        <row r="1585">
          <cell r="C1585" t="str">
            <v>陳威諭</v>
          </cell>
          <cell r="J1585">
            <v>45954</v>
          </cell>
          <cell r="K1585">
            <v>8</v>
          </cell>
        </row>
        <row r="1586">
          <cell r="C1586" t="str">
            <v>陳威諭</v>
          </cell>
          <cell r="J1586">
            <v>45957</v>
          </cell>
          <cell r="K1586">
            <v>4</v>
          </cell>
        </row>
        <row r="1587">
          <cell r="C1587" t="str">
            <v>陳威諭</v>
          </cell>
          <cell r="F1587" t="str">
            <v>M250301C1</v>
          </cell>
          <cell r="J1587">
            <v>45957</v>
          </cell>
          <cell r="K1587">
            <v>2</v>
          </cell>
        </row>
        <row r="1588">
          <cell r="C1588" t="str">
            <v>陳威諭</v>
          </cell>
          <cell r="J1588">
            <v>45957</v>
          </cell>
          <cell r="K1588">
            <v>1</v>
          </cell>
        </row>
        <row r="1589">
          <cell r="C1589" t="str">
            <v>陳威諭</v>
          </cell>
          <cell r="J1589">
            <v>45957</v>
          </cell>
          <cell r="K1589">
            <v>1</v>
          </cell>
        </row>
        <row r="1590">
          <cell r="C1590" t="str">
            <v>陳威諭</v>
          </cell>
          <cell r="J1590">
            <v>45958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45958</v>
          </cell>
          <cell r="K1591">
            <v>1</v>
          </cell>
        </row>
        <row r="1592">
          <cell r="C1592" t="str">
            <v>陳威諭</v>
          </cell>
          <cell r="J1592">
            <v>45958</v>
          </cell>
          <cell r="K1592">
            <v>5</v>
          </cell>
        </row>
        <row r="1593">
          <cell r="C1593" t="str">
            <v>陳威諭</v>
          </cell>
          <cell r="F1593" t="str">
            <v>D250702R1</v>
          </cell>
          <cell r="J1593">
            <v>45958</v>
          </cell>
          <cell r="K1593">
            <v>1</v>
          </cell>
        </row>
        <row r="1594">
          <cell r="C1594" t="str">
            <v>陳威諭</v>
          </cell>
          <cell r="J1594">
            <v>45959</v>
          </cell>
          <cell r="K1594">
            <v>2</v>
          </cell>
        </row>
        <row r="1595">
          <cell r="C1595" t="str">
            <v>陳威諭</v>
          </cell>
          <cell r="J1595">
            <v>45959</v>
          </cell>
          <cell r="K1595">
            <v>4</v>
          </cell>
        </row>
        <row r="1596">
          <cell r="C1596" t="str">
            <v>陳威諭</v>
          </cell>
          <cell r="F1596" t="str">
            <v>D250702R1</v>
          </cell>
          <cell r="J1596">
            <v>45959</v>
          </cell>
          <cell r="K1596">
            <v>2</v>
          </cell>
        </row>
        <row r="1597">
          <cell r="C1597" t="str">
            <v>陳威諭</v>
          </cell>
          <cell r="J1597">
            <v>45960</v>
          </cell>
          <cell r="K1597">
            <v>1</v>
          </cell>
        </row>
        <row r="1598">
          <cell r="C1598" t="str">
            <v>陳威諭</v>
          </cell>
          <cell r="J1598">
            <v>45960</v>
          </cell>
          <cell r="K1598">
            <v>1</v>
          </cell>
        </row>
        <row r="1599">
          <cell r="C1599" t="str">
            <v>陳威諭</v>
          </cell>
          <cell r="F1599" t="str">
            <v>D250702R1</v>
          </cell>
          <cell r="J1599">
            <v>45960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45960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J1601">
            <v>45960</v>
          </cell>
          <cell r="K1601">
            <v>3</v>
          </cell>
        </row>
        <row r="1602">
          <cell r="C1602" t="str">
            <v>陳威諭</v>
          </cell>
          <cell r="J1602">
            <v>45961</v>
          </cell>
          <cell r="K1602">
            <v>1</v>
          </cell>
        </row>
        <row r="1603">
          <cell r="C1603" t="str">
            <v>陳威諭</v>
          </cell>
          <cell r="F1603" t="str">
            <v>M250301C1</v>
          </cell>
          <cell r="J1603">
            <v>45961</v>
          </cell>
          <cell r="K1603">
            <v>3</v>
          </cell>
        </row>
        <row r="1604">
          <cell r="C1604" t="str">
            <v>陳威諭</v>
          </cell>
          <cell r="J1604">
            <v>45961</v>
          </cell>
          <cell r="K1604">
            <v>2</v>
          </cell>
        </row>
        <row r="1605">
          <cell r="C1605" t="str">
            <v>陳威諭</v>
          </cell>
          <cell r="F1605" t="str">
            <v>D250702R1</v>
          </cell>
          <cell r="J1605">
            <v>45961</v>
          </cell>
          <cell r="K1605">
            <v>2</v>
          </cell>
        </row>
        <row r="1606">
          <cell r="C1606" t="str">
            <v>陳威諭</v>
          </cell>
          <cell r="J1606">
            <v>45964</v>
          </cell>
          <cell r="K1606">
            <v>1</v>
          </cell>
        </row>
        <row r="1607">
          <cell r="C1607" t="str">
            <v>陳威諭</v>
          </cell>
          <cell r="F1607" t="str">
            <v>M250301C1</v>
          </cell>
          <cell r="J1607">
            <v>45964</v>
          </cell>
          <cell r="K1607">
            <v>1</v>
          </cell>
        </row>
        <row r="1608">
          <cell r="C1608" t="str">
            <v>陳威諭</v>
          </cell>
          <cell r="J1608">
            <v>45964</v>
          </cell>
          <cell r="K1608">
            <v>3</v>
          </cell>
        </row>
        <row r="1609">
          <cell r="C1609" t="str">
            <v>陳威諭</v>
          </cell>
          <cell r="J1609">
            <v>45964</v>
          </cell>
          <cell r="K1609">
            <v>3</v>
          </cell>
        </row>
        <row r="1610">
          <cell r="C1610" t="str">
            <v>陳威諭</v>
          </cell>
          <cell r="J1610">
            <v>45965</v>
          </cell>
          <cell r="K1610">
            <v>2</v>
          </cell>
        </row>
        <row r="1611">
          <cell r="C1611" t="str">
            <v>陳威諭</v>
          </cell>
          <cell r="J1611">
            <v>45965</v>
          </cell>
          <cell r="K1611">
            <v>1</v>
          </cell>
        </row>
        <row r="1612">
          <cell r="C1612" t="str">
            <v>陳威諭</v>
          </cell>
          <cell r="J1612">
            <v>45965</v>
          </cell>
          <cell r="K1612">
            <v>4</v>
          </cell>
        </row>
        <row r="1613">
          <cell r="C1613" t="str">
            <v>陳威諭</v>
          </cell>
          <cell r="F1613" t="str">
            <v>M250301C1</v>
          </cell>
          <cell r="J1613">
            <v>45965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45966</v>
          </cell>
          <cell r="K1614">
            <v>1</v>
          </cell>
        </row>
        <row r="1615">
          <cell r="C1615" t="str">
            <v>陳威諭</v>
          </cell>
          <cell r="J1615">
            <v>45966</v>
          </cell>
          <cell r="K1615">
            <v>6</v>
          </cell>
        </row>
        <row r="1616">
          <cell r="C1616" t="str">
            <v>陳威諭</v>
          </cell>
          <cell r="J1616">
            <v>45966</v>
          </cell>
          <cell r="K1616">
            <v>1</v>
          </cell>
        </row>
        <row r="1617">
          <cell r="C1617" t="str">
            <v>陳威諭</v>
          </cell>
          <cell r="J1617">
            <v>45967</v>
          </cell>
          <cell r="K1617">
            <v>1</v>
          </cell>
        </row>
        <row r="1618">
          <cell r="C1618" t="str">
            <v>陳威諭</v>
          </cell>
          <cell r="J1618">
            <v>45967</v>
          </cell>
          <cell r="K1618">
            <v>5</v>
          </cell>
        </row>
        <row r="1619">
          <cell r="C1619" t="str">
            <v>陳威諭</v>
          </cell>
          <cell r="F1619" t="str">
            <v>M250301C1</v>
          </cell>
          <cell r="J1619">
            <v>45967</v>
          </cell>
          <cell r="K1619">
            <v>2</v>
          </cell>
        </row>
        <row r="1620">
          <cell r="C1620" t="str">
            <v>陳威諭</v>
          </cell>
          <cell r="J1620">
            <v>45968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45968</v>
          </cell>
          <cell r="K1621">
            <v>1</v>
          </cell>
        </row>
        <row r="1622">
          <cell r="C1622" t="str">
            <v>陳威諭</v>
          </cell>
          <cell r="F1622" t="str">
            <v>D240902R1</v>
          </cell>
          <cell r="J1622">
            <v>45968</v>
          </cell>
          <cell r="K1622">
            <v>6</v>
          </cell>
        </row>
        <row r="1623">
          <cell r="C1623" t="str">
            <v>陳威諭</v>
          </cell>
          <cell r="F1623" t="str">
            <v>M250301C1</v>
          </cell>
          <cell r="J1623">
            <v>45971</v>
          </cell>
          <cell r="K1623">
            <v>2</v>
          </cell>
        </row>
        <row r="1624">
          <cell r="C1624" t="str">
            <v>陳威諭</v>
          </cell>
          <cell r="F1624" t="str">
            <v>M250301C1</v>
          </cell>
          <cell r="J1624">
            <v>45971</v>
          </cell>
          <cell r="K1624">
            <v>2</v>
          </cell>
        </row>
        <row r="1625">
          <cell r="C1625" t="str">
            <v>陳威諭</v>
          </cell>
          <cell r="J1625">
            <v>45971</v>
          </cell>
          <cell r="K1625">
            <v>2</v>
          </cell>
        </row>
        <row r="1626">
          <cell r="C1626" t="str">
            <v>陳威諭</v>
          </cell>
          <cell r="J1626">
            <v>45971</v>
          </cell>
          <cell r="K1626">
            <v>2</v>
          </cell>
        </row>
        <row r="1627">
          <cell r="C1627" t="str">
            <v>陳威諭</v>
          </cell>
          <cell r="J1627">
            <v>45972</v>
          </cell>
          <cell r="K1627">
            <v>2</v>
          </cell>
        </row>
        <row r="1628">
          <cell r="C1628" t="str">
            <v>陳威諭</v>
          </cell>
          <cell r="F1628" t="str">
            <v>M250301C1</v>
          </cell>
          <cell r="J1628">
            <v>45972</v>
          </cell>
          <cell r="K1628">
            <v>4</v>
          </cell>
        </row>
        <row r="1629">
          <cell r="C1629" t="str">
            <v>陳威諭</v>
          </cell>
          <cell r="J1629">
            <v>45972</v>
          </cell>
          <cell r="K1629">
            <v>2</v>
          </cell>
        </row>
        <row r="1630">
          <cell r="C1630" t="str">
            <v>陳威諭</v>
          </cell>
          <cell r="J1630">
            <v>45973</v>
          </cell>
          <cell r="K1630">
            <v>3</v>
          </cell>
        </row>
        <row r="1631">
          <cell r="C1631" t="str">
            <v>陳威諭</v>
          </cell>
          <cell r="F1631" t="str">
            <v>M250301C1</v>
          </cell>
          <cell r="J1631">
            <v>45973</v>
          </cell>
          <cell r="K1631">
            <v>2</v>
          </cell>
        </row>
        <row r="1632">
          <cell r="C1632" t="str">
            <v>陳威諭</v>
          </cell>
          <cell r="J1632">
            <v>45973</v>
          </cell>
          <cell r="K1632">
            <v>3</v>
          </cell>
        </row>
        <row r="1633">
          <cell r="C1633" t="str">
            <v>陳威諭</v>
          </cell>
          <cell r="F1633" t="str">
            <v>M250301C1</v>
          </cell>
          <cell r="J1633">
            <v>45974</v>
          </cell>
          <cell r="K1633">
            <v>2</v>
          </cell>
        </row>
        <row r="1634">
          <cell r="C1634" t="str">
            <v>陳威諭</v>
          </cell>
          <cell r="J1634">
            <v>45974</v>
          </cell>
          <cell r="K1634">
            <v>3</v>
          </cell>
        </row>
        <row r="1635">
          <cell r="C1635" t="str">
            <v>陳威諭</v>
          </cell>
          <cell r="J1635">
            <v>45974</v>
          </cell>
          <cell r="K1635">
            <v>3</v>
          </cell>
        </row>
        <row r="1636">
          <cell r="C1636" t="str">
            <v>陳威諭</v>
          </cell>
          <cell r="F1636" t="str">
            <v>M250301C1</v>
          </cell>
          <cell r="J1636">
            <v>45975</v>
          </cell>
          <cell r="K1636">
            <v>2</v>
          </cell>
        </row>
        <row r="1637">
          <cell r="C1637" t="str">
            <v>陳威諭</v>
          </cell>
          <cell r="J1637">
            <v>45975</v>
          </cell>
          <cell r="K1637">
            <v>4</v>
          </cell>
        </row>
        <row r="1638">
          <cell r="C1638" t="str">
            <v>陳威諭</v>
          </cell>
          <cell r="J1638">
            <v>45975</v>
          </cell>
          <cell r="K1638">
            <v>2</v>
          </cell>
        </row>
        <row r="1639">
          <cell r="C1639" t="str">
            <v>陳威諭</v>
          </cell>
          <cell r="J1639">
            <v>45978</v>
          </cell>
          <cell r="K1639">
            <v>4</v>
          </cell>
        </row>
        <row r="1640">
          <cell r="C1640" t="str">
            <v>陳威諭</v>
          </cell>
          <cell r="J1640">
            <v>45978</v>
          </cell>
          <cell r="K1640">
            <v>2</v>
          </cell>
        </row>
        <row r="1641">
          <cell r="C1641" t="str">
            <v>陳威諭</v>
          </cell>
          <cell r="F1641" t="str">
            <v>M250301C1</v>
          </cell>
          <cell r="J1641">
            <v>45978</v>
          </cell>
          <cell r="K1641">
            <v>2</v>
          </cell>
        </row>
        <row r="1642">
          <cell r="C1642" t="str">
            <v>陳威諭</v>
          </cell>
          <cell r="J1642">
            <v>45979</v>
          </cell>
          <cell r="K1642">
            <v>1</v>
          </cell>
        </row>
        <row r="1643">
          <cell r="C1643" t="str">
            <v>陳威諭</v>
          </cell>
          <cell r="F1643" t="str">
            <v>M250301C1</v>
          </cell>
          <cell r="J1643">
            <v>45979</v>
          </cell>
          <cell r="K1643">
            <v>3</v>
          </cell>
        </row>
        <row r="1644">
          <cell r="C1644" t="str">
            <v>陳威諭</v>
          </cell>
          <cell r="J1644">
            <v>45979</v>
          </cell>
          <cell r="K1644">
            <v>4</v>
          </cell>
        </row>
        <row r="1645">
          <cell r="C1645" t="str">
            <v>陳威諭</v>
          </cell>
          <cell r="J1645">
            <v>45980</v>
          </cell>
          <cell r="K1645">
            <v>2</v>
          </cell>
        </row>
        <row r="1646">
          <cell r="C1646" t="str">
            <v>陳威諭</v>
          </cell>
          <cell r="F1646" t="str">
            <v>M250301C1</v>
          </cell>
          <cell r="J1646">
            <v>45980</v>
          </cell>
          <cell r="K1646">
            <v>6</v>
          </cell>
        </row>
        <row r="1647">
          <cell r="C1647" t="str">
            <v>陳威諭</v>
          </cell>
          <cell r="F1647" t="str">
            <v>M250301C1</v>
          </cell>
          <cell r="J1647">
            <v>45981</v>
          </cell>
          <cell r="K1647">
            <v>6</v>
          </cell>
        </row>
        <row r="1648">
          <cell r="C1648" t="str">
            <v>陳威諭</v>
          </cell>
          <cell r="J1648">
            <v>45981</v>
          </cell>
          <cell r="K1648">
            <v>1</v>
          </cell>
        </row>
        <row r="1649">
          <cell r="C1649" t="str">
            <v>陳威諭</v>
          </cell>
          <cell r="J1649">
            <v>45981</v>
          </cell>
          <cell r="K1649">
            <v>1</v>
          </cell>
        </row>
        <row r="1650">
          <cell r="C1650" t="str">
            <v>陳威諭</v>
          </cell>
          <cell r="J1650">
            <v>45982</v>
          </cell>
          <cell r="K1650">
            <v>1</v>
          </cell>
        </row>
        <row r="1651">
          <cell r="C1651" t="str">
            <v>陳威諭</v>
          </cell>
          <cell r="F1651" t="str">
            <v>M250301C1</v>
          </cell>
          <cell r="J1651">
            <v>45982</v>
          </cell>
          <cell r="K1651">
            <v>7</v>
          </cell>
        </row>
        <row r="1652">
          <cell r="C1652" t="str">
            <v>陳威諭</v>
          </cell>
          <cell r="F1652" t="str">
            <v>M250301C1</v>
          </cell>
          <cell r="J1652">
            <v>45985</v>
          </cell>
          <cell r="K1652">
            <v>6</v>
          </cell>
        </row>
        <row r="1653">
          <cell r="C1653" t="str">
            <v>陳威諭</v>
          </cell>
          <cell r="J1653">
            <v>45985</v>
          </cell>
          <cell r="K1653">
            <v>1</v>
          </cell>
        </row>
        <row r="1654">
          <cell r="C1654" t="str">
            <v>陳威諭</v>
          </cell>
          <cell r="J1654">
            <v>45985</v>
          </cell>
          <cell r="K1654">
            <v>1</v>
          </cell>
        </row>
        <row r="1655">
          <cell r="C1655" t="str">
            <v>陳威諭</v>
          </cell>
          <cell r="J1655">
            <v>45986</v>
          </cell>
          <cell r="K1655">
            <v>1</v>
          </cell>
        </row>
        <row r="1656">
          <cell r="C1656" t="str">
            <v>陳威諭</v>
          </cell>
          <cell r="F1656" t="str">
            <v>M250301C1</v>
          </cell>
          <cell r="J1656">
            <v>45986</v>
          </cell>
          <cell r="K1656">
            <v>6</v>
          </cell>
        </row>
        <row r="1657">
          <cell r="C1657" t="str">
            <v>陳威諭</v>
          </cell>
          <cell r="J1657">
            <v>45986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45987</v>
          </cell>
          <cell r="K1658">
            <v>6</v>
          </cell>
        </row>
        <row r="1659">
          <cell r="C1659" t="str">
            <v>陳威諭</v>
          </cell>
          <cell r="J1659">
            <v>45987</v>
          </cell>
          <cell r="K1659">
            <v>2</v>
          </cell>
        </row>
        <row r="1660">
          <cell r="C1660" t="str">
            <v>陳威諭</v>
          </cell>
          <cell r="F1660" t="str">
            <v>M250301C1</v>
          </cell>
          <cell r="J1660">
            <v>45988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45988</v>
          </cell>
          <cell r="K1661">
            <v>3</v>
          </cell>
        </row>
        <row r="1662">
          <cell r="C1662" t="str">
            <v>陳威諭</v>
          </cell>
          <cell r="J1662">
            <v>45988</v>
          </cell>
          <cell r="K1662">
            <v>2</v>
          </cell>
        </row>
        <row r="1663">
          <cell r="C1663" t="str">
            <v>陳威諭</v>
          </cell>
          <cell r="F1663" t="str">
            <v>D250702R1</v>
          </cell>
          <cell r="J1663">
            <v>45988</v>
          </cell>
          <cell r="K1663">
            <v>1</v>
          </cell>
        </row>
        <row r="1664">
          <cell r="C1664" t="str">
            <v>陳威諭</v>
          </cell>
          <cell r="F1664" t="str">
            <v>M250301C1</v>
          </cell>
          <cell r="J1664">
            <v>45989</v>
          </cell>
          <cell r="K1664">
            <v>4</v>
          </cell>
        </row>
        <row r="1665">
          <cell r="C1665" t="str">
            <v>陳威諭</v>
          </cell>
          <cell r="J1665">
            <v>45989</v>
          </cell>
          <cell r="K1665">
            <v>4</v>
          </cell>
        </row>
        <row r="1666">
          <cell r="C1666" t="str">
            <v>陳威諭</v>
          </cell>
          <cell r="J1666">
            <v>45992</v>
          </cell>
          <cell r="K1666">
            <v>3</v>
          </cell>
        </row>
        <row r="1667">
          <cell r="C1667" t="str">
            <v>陳威諭</v>
          </cell>
          <cell r="F1667" t="str">
            <v>M250301C1</v>
          </cell>
          <cell r="J1667">
            <v>45992</v>
          </cell>
          <cell r="K1667">
            <v>5</v>
          </cell>
        </row>
        <row r="1668">
          <cell r="C1668" t="str">
            <v>陳威諭</v>
          </cell>
          <cell r="J1668">
            <v>45993</v>
          </cell>
          <cell r="K1668">
            <v>2</v>
          </cell>
        </row>
        <row r="1669">
          <cell r="C1669" t="str">
            <v>陳威諭</v>
          </cell>
          <cell r="F1669" t="str">
            <v>M250301C1</v>
          </cell>
          <cell r="J1669">
            <v>45993</v>
          </cell>
          <cell r="K1669">
            <v>4.5</v>
          </cell>
        </row>
        <row r="1670">
          <cell r="C1670" t="str">
            <v>陳威諭</v>
          </cell>
          <cell r="F1670" t="str">
            <v>M250301C1</v>
          </cell>
          <cell r="J1670">
            <v>45993</v>
          </cell>
          <cell r="K1670">
            <v>1.5</v>
          </cell>
        </row>
        <row r="1671">
          <cell r="C1671" t="str">
            <v>陳威諭</v>
          </cell>
          <cell r="F1671" t="str">
            <v>M250301C1</v>
          </cell>
          <cell r="J1671">
            <v>45994</v>
          </cell>
          <cell r="K1671">
            <v>6</v>
          </cell>
        </row>
        <row r="1672">
          <cell r="C1672" t="str">
            <v>陳威諭</v>
          </cell>
          <cell r="J1672">
            <v>45994</v>
          </cell>
          <cell r="K1672">
            <v>2</v>
          </cell>
        </row>
        <row r="1673">
          <cell r="C1673" t="str">
            <v>陳威諭</v>
          </cell>
          <cell r="J1673">
            <v>45995</v>
          </cell>
          <cell r="K1673">
            <v>5</v>
          </cell>
        </row>
        <row r="1674">
          <cell r="C1674" t="str">
            <v>陳威諭</v>
          </cell>
          <cell r="F1674" t="str">
            <v>M250301C1</v>
          </cell>
          <cell r="J1674">
            <v>45995</v>
          </cell>
          <cell r="K1674">
            <v>3</v>
          </cell>
        </row>
        <row r="1675">
          <cell r="C1675" t="str">
            <v>陳威諭</v>
          </cell>
          <cell r="F1675" t="str">
            <v>M250301C1</v>
          </cell>
          <cell r="J1675">
            <v>45996</v>
          </cell>
          <cell r="K1675">
            <v>3</v>
          </cell>
        </row>
        <row r="1676">
          <cell r="C1676" t="str">
            <v>陳威諭</v>
          </cell>
          <cell r="J1676">
            <v>45996</v>
          </cell>
          <cell r="K1676">
            <v>2</v>
          </cell>
        </row>
        <row r="1677">
          <cell r="C1677" t="str">
            <v>陳威諭</v>
          </cell>
          <cell r="J1677">
            <v>45996</v>
          </cell>
          <cell r="K1677">
            <v>3</v>
          </cell>
        </row>
        <row r="1678">
          <cell r="C1678" t="str">
            <v>陳威諭</v>
          </cell>
          <cell r="J1678">
            <v>45999</v>
          </cell>
          <cell r="K1678">
            <v>4</v>
          </cell>
        </row>
        <row r="1679">
          <cell r="C1679" t="str">
            <v>陳威諭</v>
          </cell>
          <cell r="F1679" t="str">
            <v>M250301C1</v>
          </cell>
          <cell r="J1679">
            <v>45999</v>
          </cell>
          <cell r="K1679">
            <v>2</v>
          </cell>
        </row>
        <row r="1680">
          <cell r="C1680" t="str">
            <v>陳威諭</v>
          </cell>
          <cell r="J1680">
            <v>45999</v>
          </cell>
          <cell r="K1680">
            <v>2</v>
          </cell>
        </row>
        <row r="1681">
          <cell r="C1681" t="str">
            <v>陳威諭</v>
          </cell>
          <cell r="F1681" t="str">
            <v>D250702R1</v>
          </cell>
          <cell r="J1681">
            <v>46000</v>
          </cell>
          <cell r="K1681">
            <v>2</v>
          </cell>
        </row>
        <row r="1682">
          <cell r="C1682" t="str">
            <v>陳威諭</v>
          </cell>
          <cell r="F1682" t="str">
            <v>M250301C1</v>
          </cell>
          <cell r="J1682">
            <v>46000</v>
          </cell>
          <cell r="K1682">
            <v>2</v>
          </cell>
        </row>
        <row r="1683">
          <cell r="C1683" t="str">
            <v>陳威諭</v>
          </cell>
          <cell r="J1683">
            <v>46000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46000</v>
          </cell>
          <cell r="K1684">
            <v>1</v>
          </cell>
        </row>
        <row r="1685">
          <cell r="C1685" t="str">
            <v>陳威諭</v>
          </cell>
          <cell r="J1685">
            <v>46000</v>
          </cell>
          <cell r="K1685">
            <v>1</v>
          </cell>
        </row>
        <row r="1686">
          <cell r="C1686" t="str">
            <v>陳威諭</v>
          </cell>
          <cell r="F1686" t="str">
            <v>D250702R1</v>
          </cell>
          <cell r="J1686">
            <v>46001</v>
          </cell>
          <cell r="K1686">
            <v>3</v>
          </cell>
        </row>
        <row r="1687">
          <cell r="C1687" t="str">
            <v>陳威諭</v>
          </cell>
          <cell r="J1687">
            <v>46001</v>
          </cell>
          <cell r="K1687">
            <v>2</v>
          </cell>
        </row>
        <row r="1688">
          <cell r="C1688" t="str">
            <v>陳威諭</v>
          </cell>
          <cell r="F1688" t="str">
            <v>M250301C1</v>
          </cell>
          <cell r="J1688">
            <v>46001</v>
          </cell>
          <cell r="K1688">
            <v>3</v>
          </cell>
        </row>
        <row r="1689">
          <cell r="C1689" t="str">
            <v>陳威諭</v>
          </cell>
          <cell r="F1689" t="str">
            <v>D250702R1</v>
          </cell>
          <cell r="J1689">
            <v>46002</v>
          </cell>
          <cell r="K1689">
            <v>1</v>
          </cell>
        </row>
        <row r="1690">
          <cell r="C1690" t="str">
            <v>陳威諭</v>
          </cell>
          <cell r="J1690">
            <v>46002</v>
          </cell>
          <cell r="K1690">
            <v>1</v>
          </cell>
        </row>
        <row r="1691">
          <cell r="C1691" t="str">
            <v>陳威諭</v>
          </cell>
          <cell r="J1691">
            <v>46002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46002</v>
          </cell>
          <cell r="K1692">
            <v>4</v>
          </cell>
        </row>
        <row r="1693">
          <cell r="C1693" t="str">
            <v>陳威諭</v>
          </cell>
          <cell r="F1693" t="str">
            <v>D250702R1</v>
          </cell>
          <cell r="J1693">
            <v>46003</v>
          </cell>
          <cell r="K1693">
            <v>1</v>
          </cell>
        </row>
        <row r="1694">
          <cell r="C1694" t="str">
            <v>陳威諭</v>
          </cell>
          <cell r="J1694">
            <v>46003</v>
          </cell>
          <cell r="K1694">
            <v>4</v>
          </cell>
        </row>
        <row r="1695">
          <cell r="C1695" t="str">
            <v>陳威諭</v>
          </cell>
          <cell r="J1695">
            <v>46003</v>
          </cell>
          <cell r="K1695">
            <v>1</v>
          </cell>
        </row>
        <row r="1696">
          <cell r="C1696" t="str">
            <v>陳威諭</v>
          </cell>
          <cell r="J1696">
            <v>46003</v>
          </cell>
          <cell r="K1696">
            <v>1</v>
          </cell>
        </row>
        <row r="1697">
          <cell r="C1697" t="str">
            <v>陳威諭</v>
          </cell>
          <cell r="F1697" t="str">
            <v>M250301C1</v>
          </cell>
          <cell r="J1697">
            <v>46003</v>
          </cell>
          <cell r="K1697">
            <v>1</v>
          </cell>
        </row>
        <row r="1698">
          <cell r="C1698" t="str">
            <v>陳威諭</v>
          </cell>
          <cell r="J1698">
            <v>46006</v>
          </cell>
          <cell r="K1698">
            <v>3</v>
          </cell>
        </row>
        <row r="1699">
          <cell r="C1699" t="str">
            <v>陳威諭</v>
          </cell>
          <cell r="F1699" t="str">
            <v>D250702R1</v>
          </cell>
          <cell r="J1699">
            <v>46006</v>
          </cell>
          <cell r="K1699">
            <v>1</v>
          </cell>
        </row>
        <row r="1700">
          <cell r="C1700" t="str">
            <v>陳威諭</v>
          </cell>
          <cell r="F1700" t="str">
            <v>M250301C1</v>
          </cell>
          <cell r="J1700">
            <v>46006</v>
          </cell>
          <cell r="K1700">
            <v>4</v>
          </cell>
        </row>
        <row r="1701">
          <cell r="C1701" t="str">
            <v>陳威諭</v>
          </cell>
          <cell r="J1701">
            <v>46007</v>
          </cell>
          <cell r="K1701">
            <v>2</v>
          </cell>
        </row>
        <row r="1702">
          <cell r="C1702" t="str">
            <v>陳威諭</v>
          </cell>
          <cell r="J1702">
            <v>46007</v>
          </cell>
          <cell r="K1702">
            <v>2</v>
          </cell>
        </row>
        <row r="1703">
          <cell r="C1703" t="str">
            <v>陳威諭</v>
          </cell>
          <cell r="F1703" t="str">
            <v>D250702R1</v>
          </cell>
          <cell r="J1703">
            <v>46007</v>
          </cell>
          <cell r="K1703">
            <v>1</v>
          </cell>
        </row>
        <row r="1704">
          <cell r="C1704" t="str">
            <v>陳威諭</v>
          </cell>
          <cell r="F1704" t="str">
            <v>M250301C1</v>
          </cell>
          <cell r="J1704">
            <v>46007</v>
          </cell>
          <cell r="K1704">
            <v>3</v>
          </cell>
        </row>
        <row r="1705">
          <cell r="C1705" t="str">
            <v>陳威諭</v>
          </cell>
          <cell r="J1705">
            <v>46008</v>
          </cell>
          <cell r="K1705">
            <v>2</v>
          </cell>
        </row>
        <row r="1706">
          <cell r="C1706" t="str">
            <v>陳威諭</v>
          </cell>
          <cell r="F1706" t="str">
            <v>M250301C1</v>
          </cell>
          <cell r="J1706">
            <v>46008</v>
          </cell>
          <cell r="K1706">
            <v>3</v>
          </cell>
        </row>
        <row r="1707">
          <cell r="C1707" t="str">
            <v>陳威諭</v>
          </cell>
          <cell r="F1707" t="str">
            <v>D250702R1</v>
          </cell>
          <cell r="J1707">
            <v>46008</v>
          </cell>
          <cell r="K1707">
            <v>1</v>
          </cell>
        </row>
        <row r="1708">
          <cell r="C1708" t="str">
            <v>陳威諭</v>
          </cell>
          <cell r="J1708">
            <v>46008</v>
          </cell>
          <cell r="K1708">
            <v>2</v>
          </cell>
        </row>
        <row r="1709">
          <cell r="C1709" t="str">
            <v>陳威諭</v>
          </cell>
          <cell r="J1709">
            <v>46009</v>
          </cell>
          <cell r="K1709">
            <v>2</v>
          </cell>
        </row>
        <row r="1710">
          <cell r="C1710" t="str">
            <v>陳威諭</v>
          </cell>
          <cell r="F1710" t="str">
            <v>M250301C1</v>
          </cell>
          <cell r="J1710">
            <v>46009</v>
          </cell>
          <cell r="K1710">
            <v>3</v>
          </cell>
        </row>
        <row r="1711">
          <cell r="C1711" t="str">
            <v>陳威諭</v>
          </cell>
          <cell r="F1711" t="str">
            <v>D250702R1</v>
          </cell>
          <cell r="J1711">
            <v>46009</v>
          </cell>
          <cell r="K1711">
            <v>1</v>
          </cell>
        </row>
        <row r="1712">
          <cell r="C1712" t="str">
            <v>陳威諭</v>
          </cell>
          <cell r="J1712">
            <v>46009</v>
          </cell>
          <cell r="K1712">
            <v>2</v>
          </cell>
        </row>
        <row r="1713">
          <cell r="C1713" t="str">
            <v>陳威諭</v>
          </cell>
          <cell r="F1713" t="str">
            <v>M250301C1</v>
          </cell>
          <cell r="J1713">
            <v>46010</v>
          </cell>
          <cell r="K1713">
            <v>3</v>
          </cell>
        </row>
        <row r="1714">
          <cell r="C1714" t="str">
            <v>陳威諭</v>
          </cell>
          <cell r="J1714">
            <v>46010</v>
          </cell>
          <cell r="K1714">
            <v>2</v>
          </cell>
        </row>
        <row r="1715">
          <cell r="C1715" t="str">
            <v>陳威諭</v>
          </cell>
          <cell r="F1715" t="str">
            <v>D250702R1</v>
          </cell>
          <cell r="J1715">
            <v>46010</v>
          </cell>
          <cell r="K1715">
            <v>1</v>
          </cell>
        </row>
        <row r="1716">
          <cell r="C1716" t="str">
            <v>陳威諭</v>
          </cell>
          <cell r="J1716">
            <v>46010</v>
          </cell>
          <cell r="K1716">
            <v>2</v>
          </cell>
        </row>
        <row r="1717">
          <cell r="C1717" t="str">
            <v>陳威諭</v>
          </cell>
          <cell r="F1717" t="str">
            <v>M250301C1</v>
          </cell>
          <cell r="J1717">
            <v>46013</v>
          </cell>
          <cell r="K1717">
            <v>4</v>
          </cell>
        </row>
        <row r="1718">
          <cell r="C1718" t="str">
            <v>陳威諭</v>
          </cell>
          <cell r="F1718" t="str">
            <v>D250702R1</v>
          </cell>
          <cell r="J1718">
            <v>46013</v>
          </cell>
          <cell r="K1718">
            <v>1</v>
          </cell>
        </row>
        <row r="1719">
          <cell r="C1719" t="str">
            <v>陳威諭</v>
          </cell>
          <cell r="J1719">
            <v>46013</v>
          </cell>
          <cell r="K1719">
            <v>3</v>
          </cell>
        </row>
        <row r="1720">
          <cell r="C1720" t="str">
            <v>陳威諭</v>
          </cell>
          <cell r="J1720">
            <v>46014</v>
          </cell>
          <cell r="K1720">
            <v>3</v>
          </cell>
        </row>
        <row r="1721">
          <cell r="C1721" t="str">
            <v>陳威諭</v>
          </cell>
          <cell r="F1721" t="str">
            <v>M250301C1</v>
          </cell>
          <cell r="J1721">
            <v>46014</v>
          </cell>
          <cell r="K1721">
            <v>4</v>
          </cell>
        </row>
        <row r="1722">
          <cell r="C1722" t="str">
            <v>陳威諭</v>
          </cell>
          <cell r="F1722" t="str">
            <v>D250702R1</v>
          </cell>
          <cell r="J1722">
            <v>46014</v>
          </cell>
          <cell r="K1722">
            <v>1</v>
          </cell>
        </row>
        <row r="1723">
          <cell r="C1723" t="str">
            <v>陳威諭</v>
          </cell>
          <cell r="J1723">
            <v>46015</v>
          </cell>
          <cell r="K1723">
            <v>5</v>
          </cell>
        </row>
        <row r="1724">
          <cell r="C1724" t="str">
            <v>陳威諭</v>
          </cell>
          <cell r="F1724" t="str">
            <v>M250301C1</v>
          </cell>
          <cell r="J1724">
            <v>46015</v>
          </cell>
          <cell r="K1724">
            <v>2</v>
          </cell>
        </row>
        <row r="1725">
          <cell r="C1725" t="str">
            <v>陳威諭</v>
          </cell>
          <cell r="F1725" t="str">
            <v>D250702R1</v>
          </cell>
          <cell r="J1725">
            <v>46015</v>
          </cell>
          <cell r="K1725">
            <v>1</v>
          </cell>
        </row>
        <row r="1726">
          <cell r="C1726" t="str">
            <v>陳威諭</v>
          </cell>
          <cell r="F1726" t="str">
            <v>M250301C1</v>
          </cell>
          <cell r="J1726">
            <v>46017</v>
          </cell>
          <cell r="K1726">
            <v>2</v>
          </cell>
        </row>
        <row r="1727">
          <cell r="C1727" t="str">
            <v>陳威諭</v>
          </cell>
          <cell r="J1727">
            <v>46017</v>
          </cell>
          <cell r="K1727">
            <v>4</v>
          </cell>
        </row>
        <row r="1728">
          <cell r="C1728" t="str">
            <v>陳威諭</v>
          </cell>
          <cell r="F1728" t="str">
            <v>D250702R1</v>
          </cell>
          <cell r="J1728">
            <v>46017</v>
          </cell>
          <cell r="K1728">
            <v>1</v>
          </cell>
        </row>
        <row r="1729">
          <cell r="C1729" t="str">
            <v>陳威諭</v>
          </cell>
          <cell r="F1729" t="str">
            <v>M251001R1</v>
          </cell>
          <cell r="J1729">
            <v>46017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46020</v>
          </cell>
          <cell r="K1730">
            <v>3</v>
          </cell>
        </row>
        <row r="1731">
          <cell r="C1731" t="str">
            <v>陳威諭</v>
          </cell>
          <cell r="F1731" t="str">
            <v>D250702R1</v>
          </cell>
          <cell r="J1731">
            <v>46020</v>
          </cell>
          <cell r="K1731">
            <v>1</v>
          </cell>
        </row>
        <row r="1732">
          <cell r="C1732" t="str">
            <v>陳威諭</v>
          </cell>
          <cell r="J1732">
            <v>46020</v>
          </cell>
          <cell r="K1732">
            <v>3</v>
          </cell>
        </row>
        <row r="1733">
          <cell r="C1733" t="str">
            <v>陳威諭</v>
          </cell>
          <cell r="F1733" t="str">
            <v>M251001R1</v>
          </cell>
          <cell r="J1733">
            <v>46020</v>
          </cell>
          <cell r="K1733">
            <v>1</v>
          </cell>
        </row>
        <row r="1734">
          <cell r="C1734" t="str">
            <v>陳威諭</v>
          </cell>
          <cell r="F1734" t="str">
            <v>M250301C1</v>
          </cell>
          <cell r="J1734">
            <v>46021</v>
          </cell>
          <cell r="K1734">
            <v>3</v>
          </cell>
        </row>
        <row r="1735">
          <cell r="C1735" t="str">
            <v>陳威諭</v>
          </cell>
          <cell r="F1735" t="str">
            <v>D250702R1</v>
          </cell>
          <cell r="J1735">
            <v>46021</v>
          </cell>
          <cell r="K1735">
            <v>1</v>
          </cell>
        </row>
        <row r="1736">
          <cell r="C1736" t="str">
            <v>陳威諭</v>
          </cell>
          <cell r="J1736">
            <v>46021</v>
          </cell>
          <cell r="K1736">
            <v>4</v>
          </cell>
        </row>
        <row r="1737">
          <cell r="C1737" t="str">
            <v>陳威諭</v>
          </cell>
          <cell r="F1737" t="str">
            <v>M250301C1</v>
          </cell>
          <cell r="J1737">
            <v>46022</v>
          </cell>
          <cell r="K1737">
            <v>2</v>
          </cell>
        </row>
        <row r="1738">
          <cell r="C1738" t="str">
            <v>陳威諭</v>
          </cell>
          <cell r="J1738">
            <v>46022</v>
          </cell>
          <cell r="K1738">
            <v>4</v>
          </cell>
        </row>
        <row r="1739">
          <cell r="C1739" t="str">
            <v>陳威諭</v>
          </cell>
          <cell r="J1739">
            <v>46022</v>
          </cell>
          <cell r="K1739">
            <v>2</v>
          </cell>
        </row>
        <row r="1740">
          <cell r="C1740" t="str">
            <v>陳威諭</v>
          </cell>
          <cell r="J1740">
            <v>46024</v>
          </cell>
          <cell r="K1740">
            <v>1</v>
          </cell>
        </row>
        <row r="1741">
          <cell r="C1741" t="str">
            <v>陳威諭</v>
          </cell>
          <cell r="F1741" t="str">
            <v>M250301C1</v>
          </cell>
          <cell r="J1741">
            <v>46024</v>
          </cell>
          <cell r="K1741">
            <v>7</v>
          </cell>
        </row>
        <row r="1742">
          <cell r="C1742" t="str">
            <v>陳威諭</v>
          </cell>
          <cell r="F1742" t="str">
            <v>D250702R1</v>
          </cell>
          <cell r="J1742">
            <v>46027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J1743">
            <v>46027</v>
          </cell>
          <cell r="K1743">
            <v>6</v>
          </cell>
        </row>
        <row r="1744">
          <cell r="C1744" t="str">
            <v>陳威諭</v>
          </cell>
          <cell r="F1744" t="str">
            <v>M250301C1</v>
          </cell>
          <cell r="J1744">
            <v>46028</v>
          </cell>
          <cell r="K1744">
            <v>6</v>
          </cell>
        </row>
        <row r="1745">
          <cell r="C1745" t="str">
            <v>陳威諭</v>
          </cell>
          <cell r="J1745">
            <v>46028</v>
          </cell>
          <cell r="K1745">
            <v>2</v>
          </cell>
        </row>
        <row r="1746">
          <cell r="C1746" t="str">
            <v>陳威諭</v>
          </cell>
          <cell r="J1746">
            <v>46029</v>
          </cell>
          <cell r="K1746">
            <v>2</v>
          </cell>
        </row>
        <row r="1747">
          <cell r="C1747" t="str">
            <v>陳威諭</v>
          </cell>
          <cell r="F1747" t="str">
            <v>M250301C1</v>
          </cell>
          <cell r="J1747">
            <v>46029</v>
          </cell>
          <cell r="K1747">
            <v>4</v>
          </cell>
        </row>
        <row r="1748">
          <cell r="C1748" t="str">
            <v>陳威諭</v>
          </cell>
          <cell r="F1748" t="str">
            <v>M251001R1</v>
          </cell>
          <cell r="J1748">
            <v>46029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46030</v>
          </cell>
          <cell r="K1749">
            <v>7</v>
          </cell>
        </row>
        <row r="1750">
          <cell r="C1750" t="str">
            <v>陳威諭</v>
          </cell>
          <cell r="J1750">
            <v>46030</v>
          </cell>
          <cell r="K1750">
            <v>1</v>
          </cell>
        </row>
        <row r="1751">
          <cell r="C1751" t="str">
            <v>陳威諭</v>
          </cell>
          <cell r="F1751" t="str">
            <v>M250301C1</v>
          </cell>
          <cell r="J1751">
            <v>46031</v>
          </cell>
          <cell r="K1751">
            <v>7</v>
          </cell>
        </row>
        <row r="1752">
          <cell r="C1752" t="str">
            <v>陳威諭</v>
          </cell>
          <cell r="J1752">
            <v>46031</v>
          </cell>
          <cell r="K1752">
            <v>1</v>
          </cell>
        </row>
        <row r="1753">
          <cell r="C1753" t="str">
            <v>陳威諭</v>
          </cell>
          <cell r="J1753">
            <v>46034</v>
          </cell>
          <cell r="K1753">
            <v>6</v>
          </cell>
        </row>
        <row r="1754">
          <cell r="C1754" t="str">
            <v>陳威諭</v>
          </cell>
          <cell r="F1754" t="str">
            <v>M251001R1</v>
          </cell>
          <cell r="J1754">
            <v>46034</v>
          </cell>
          <cell r="K1754">
            <v>2</v>
          </cell>
        </row>
        <row r="1755">
          <cell r="C1755" t="str">
            <v>陳威諭</v>
          </cell>
          <cell r="J1755">
            <v>46035</v>
          </cell>
          <cell r="K1755">
            <v>2</v>
          </cell>
        </row>
        <row r="1756">
          <cell r="C1756" t="str">
            <v>陳威諭</v>
          </cell>
          <cell r="J1756">
            <v>46035</v>
          </cell>
          <cell r="K1756">
            <v>1</v>
          </cell>
        </row>
        <row r="1757">
          <cell r="C1757" t="str">
            <v>陳威諭</v>
          </cell>
          <cell r="F1757" t="str">
            <v>M250301C1</v>
          </cell>
          <cell r="J1757">
            <v>46035</v>
          </cell>
          <cell r="K1757">
            <v>5</v>
          </cell>
        </row>
        <row r="1758">
          <cell r="C1758" t="str">
            <v>陳威諭</v>
          </cell>
          <cell r="J1758">
            <v>46036</v>
          </cell>
          <cell r="K1758">
            <v>1</v>
          </cell>
        </row>
        <row r="1759">
          <cell r="C1759" t="str">
            <v>陳威諭</v>
          </cell>
          <cell r="F1759" t="str">
            <v>M250301C1</v>
          </cell>
          <cell r="J1759">
            <v>46036</v>
          </cell>
          <cell r="K1759">
            <v>7</v>
          </cell>
        </row>
        <row r="1760">
          <cell r="C1760" t="str">
            <v>陳威諭</v>
          </cell>
          <cell r="J1760">
            <v>46037</v>
          </cell>
          <cell r="K1760">
            <v>4</v>
          </cell>
        </row>
        <row r="1761">
          <cell r="C1761" t="str">
            <v>陳威諭</v>
          </cell>
          <cell r="F1761" t="str">
            <v>M250301C1</v>
          </cell>
          <cell r="J1761">
            <v>46037</v>
          </cell>
          <cell r="K1761">
            <v>4</v>
          </cell>
        </row>
        <row r="1762">
          <cell r="C1762" t="str">
            <v>陳威諭</v>
          </cell>
          <cell r="F1762" t="str">
            <v>M250301C1</v>
          </cell>
          <cell r="J1762">
            <v>46038</v>
          </cell>
          <cell r="K1762">
            <v>7</v>
          </cell>
        </row>
        <row r="1763">
          <cell r="C1763" t="str">
            <v>陳威諭</v>
          </cell>
          <cell r="F1763" t="str">
            <v>M250301C1</v>
          </cell>
          <cell r="J1763">
            <v>46038</v>
          </cell>
          <cell r="K1763">
            <v>1</v>
          </cell>
        </row>
        <row r="1764">
          <cell r="C1764" t="str">
            <v>陳威諭</v>
          </cell>
          <cell r="F1764" t="str">
            <v>M250301C1</v>
          </cell>
          <cell r="J1764">
            <v>46041</v>
          </cell>
          <cell r="K1764">
            <v>7</v>
          </cell>
        </row>
        <row r="1765">
          <cell r="C1765" t="str">
            <v>陳威諭</v>
          </cell>
          <cell r="F1765" t="str">
            <v>M250301C1</v>
          </cell>
          <cell r="J1765">
            <v>46041</v>
          </cell>
          <cell r="K1765">
            <v>1</v>
          </cell>
        </row>
        <row r="1766">
          <cell r="C1766" t="str">
            <v>陳威諭</v>
          </cell>
          <cell r="F1766" t="str">
            <v>M250301C1</v>
          </cell>
          <cell r="J1766">
            <v>46042</v>
          </cell>
          <cell r="K1766">
            <v>3</v>
          </cell>
        </row>
        <row r="1767">
          <cell r="C1767" t="str">
            <v>陳威諭</v>
          </cell>
          <cell r="F1767" t="str">
            <v>M250301C1</v>
          </cell>
          <cell r="J1767">
            <v>46042</v>
          </cell>
          <cell r="K1767">
            <v>4</v>
          </cell>
        </row>
        <row r="1768">
          <cell r="C1768" t="str">
            <v>陳威諭</v>
          </cell>
          <cell r="F1768" t="str">
            <v>M251001R1</v>
          </cell>
          <cell r="J1768">
            <v>46042</v>
          </cell>
          <cell r="K1768">
            <v>1</v>
          </cell>
        </row>
        <row r="1769">
          <cell r="C1769" t="str">
            <v>陳威諭</v>
          </cell>
          <cell r="F1769" t="str">
            <v>M250301C1</v>
          </cell>
          <cell r="J1769">
            <v>46043</v>
          </cell>
          <cell r="K1769">
            <v>5</v>
          </cell>
        </row>
        <row r="1770">
          <cell r="C1770" t="str">
            <v>陳威諭</v>
          </cell>
          <cell r="F1770" t="str">
            <v>M251001R1</v>
          </cell>
          <cell r="J1770">
            <v>46043</v>
          </cell>
          <cell r="K1770">
            <v>3</v>
          </cell>
        </row>
        <row r="1771">
          <cell r="C1771" t="str">
            <v>陳威諭</v>
          </cell>
          <cell r="J1771">
            <v>46044</v>
          </cell>
          <cell r="K1771">
            <v>2</v>
          </cell>
        </row>
        <row r="1772">
          <cell r="C1772" t="str">
            <v>陳威諭</v>
          </cell>
          <cell r="F1772" t="str">
            <v>M250301C1</v>
          </cell>
          <cell r="J1772">
            <v>46044</v>
          </cell>
          <cell r="K1772">
            <v>2</v>
          </cell>
        </row>
        <row r="1773">
          <cell r="C1773" t="str">
            <v>陳威諭</v>
          </cell>
          <cell r="F1773" t="str">
            <v>M251001R1</v>
          </cell>
          <cell r="J1773">
            <v>46044</v>
          </cell>
          <cell r="K1773">
            <v>4</v>
          </cell>
        </row>
        <row r="1774">
          <cell r="C1774" t="str">
            <v>陳威諭</v>
          </cell>
          <cell r="F1774" t="str">
            <v>M251001R1</v>
          </cell>
          <cell r="J1774">
            <v>46045</v>
          </cell>
          <cell r="K1774">
            <v>4</v>
          </cell>
        </row>
        <row r="1775">
          <cell r="C1775" t="str">
            <v>陳威諭</v>
          </cell>
          <cell r="J1775">
            <v>46045</v>
          </cell>
          <cell r="K1775">
            <v>2</v>
          </cell>
        </row>
        <row r="1776">
          <cell r="C1776" t="str">
            <v>陳威諭</v>
          </cell>
          <cell r="F1776" t="str">
            <v>M250301C1</v>
          </cell>
          <cell r="J1776">
            <v>46045</v>
          </cell>
          <cell r="K1776">
            <v>2</v>
          </cell>
        </row>
        <row r="1777">
          <cell r="C1777" t="str">
            <v>陳威諭</v>
          </cell>
          <cell r="J1777">
            <v>46048</v>
          </cell>
          <cell r="K1777">
            <v>4</v>
          </cell>
        </row>
        <row r="1778">
          <cell r="C1778" t="str">
            <v>陳威諭</v>
          </cell>
          <cell r="F1778" t="str">
            <v>M250301C1</v>
          </cell>
          <cell r="J1778">
            <v>46048</v>
          </cell>
          <cell r="K1778">
            <v>2</v>
          </cell>
        </row>
        <row r="1779">
          <cell r="C1779" t="str">
            <v>陳威諭</v>
          </cell>
          <cell r="F1779" t="str">
            <v>M251001R1</v>
          </cell>
          <cell r="J1779">
            <v>46048</v>
          </cell>
          <cell r="K1779">
            <v>2</v>
          </cell>
        </row>
        <row r="1780">
          <cell r="C1780" t="str">
            <v>陳威諭</v>
          </cell>
          <cell r="F1780" t="str">
            <v>M250301C1</v>
          </cell>
          <cell r="J1780">
            <v>46049</v>
          </cell>
          <cell r="K1780">
            <v>3</v>
          </cell>
        </row>
        <row r="1781">
          <cell r="C1781" t="str">
            <v>陳威諭</v>
          </cell>
          <cell r="J1781">
            <v>46049</v>
          </cell>
          <cell r="K1781">
            <v>2</v>
          </cell>
        </row>
        <row r="1782">
          <cell r="C1782" t="str">
            <v>陳威諭</v>
          </cell>
          <cell r="F1782" t="str">
            <v>M251001R1</v>
          </cell>
          <cell r="J1782">
            <v>46049</v>
          </cell>
          <cell r="K1782">
            <v>3</v>
          </cell>
        </row>
        <row r="1783">
          <cell r="C1783" t="str">
            <v>陳威諭</v>
          </cell>
          <cell r="J1783">
            <v>46050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46050</v>
          </cell>
          <cell r="K1784">
            <v>1</v>
          </cell>
        </row>
        <row r="1785">
          <cell r="C1785" t="str">
            <v>陳威諭</v>
          </cell>
          <cell r="F1785" t="str">
            <v>M251001R1</v>
          </cell>
          <cell r="J1785">
            <v>46050</v>
          </cell>
          <cell r="K1785">
            <v>6</v>
          </cell>
        </row>
        <row r="1786">
          <cell r="C1786" t="str">
            <v>陳威諭</v>
          </cell>
          <cell r="J1786">
            <v>46051</v>
          </cell>
          <cell r="K1786">
            <v>3</v>
          </cell>
        </row>
        <row r="1787">
          <cell r="C1787" t="str">
            <v>陳威諭</v>
          </cell>
          <cell r="F1787" t="str">
            <v>M251001R1</v>
          </cell>
          <cell r="J1787">
            <v>46051</v>
          </cell>
          <cell r="K1787">
            <v>3</v>
          </cell>
        </row>
        <row r="1788">
          <cell r="C1788" t="str">
            <v>陳威諭</v>
          </cell>
          <cell r="F1788" t="str">
            <v>M250301C1</v>
          </cell>
          <cell r="J1788">
            <v>46051</v>
          </cell>
          <cell r="K1788">
            <v>2</v>
          </cell>
        </row>
        <row r="1789">
          <cell r="C1789" t="str">
            <v>陳威諭</v>
          </cell>
          <cell r="J1789">
            <v>46052</v>
          </cell>
          <cell r="K1789">
            <v>8</v>
          </cell>
        </row>
        <row r="1790">
          <cell r="C1790" t="str">
            <v>陳威諭</v>
          </cell>
          <cell r="F1790" t="str">
            <v>M251001R1</v>
          </cell>
          <cell r="J1790">
            <v>46055</v>
          </cell>
          <cell r="K1790">
            <v>3</v>
          </cell>
        </row>
        <row r="1791">
          <cell r="C1791" t="str">
            <v>陳威諭</v>
          </cell>
          <cell r="F1791" t="str">
            <v>M250301C1</v>
          </cell>
          <cell r="J1791">
            <v>46055</v>
          </cell>
          <cell r="K1791">
            <v>2</v>
          </cell>
        </row>
        <row r="1792">
          <cell r="C1792" t="str">
            <v>陳威諭</v>
          </cell>
          <cell r="J1792">
            <v>46055</v>
          </cell>
          <cell r="K1792">
            <v>3</v>
          </cell>
        </row>
        <row r="1793">
          <cell r="C1793" t="str">
            <v>陳威諭</v>
          </cell>
          <cell r="F1793" t="str">
            <v>M251001R1</v>
          </cell>
          <cell r="J1793">
            <v>46056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46056</v>
          </cell>
          <cell r="K1794">
            <v>2</v>
          </cell>
        </row>
        <row r="1795">
          <cell r="C1795" t="str">
            <v>陳威諭</v>
          </cell>
          <cell r="J1795">
            <v>46056</v>
          </cell>
          <cell r="K1795">
            <v>4</v>
          </cell>
        </row>
        <row r="1796">
          <cell r="C1796" t="str">
            <v>陳威諭</v>
          </cell>
          <cell r="J1796">
            <v>46057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46057</v>
          </cell>
          <cell r="K1797">
            <v>3</v>
          </cell>
        </row>
        <row r="1798">
          <cell r="C1798" t="str">
            <v>陳威諭</v>
          </cell>
          <cell r="F1798" t="str">
            <v>M251001R1</v>
          </cell>
          <cell r="J1798">
            <v>46057</v>
          </cell>
          <cell r="K1798">
            <v>3</v>
          </cell>
        </row>
        <row r="1799">
          <cell r="C1799" t="str">
            <v>陳威諭</v>
          </cell>
          <cell r="F1799" t="str">
            <v>M251001R1</v>
          </cell>
          <cell r="J1799">
            <v>46058</v>
          </cell>
          <cell r="K1799">
            <v>3</v>
          </cell>
        </row>
        <row r="1800">
          <cell r="C1800" t="str">
            <v>陳威諭</v>
          </cell>
          <cell r="J1800">
            <v>46058</v>
          </cell>
          <cell r="K1800">
            <v>1</v>
          </cell>
        </row>
        <row r="1801">
          <cell r="C1801" t="str">
            <v>陳威諭</v>
          </cell>
          <cell r="J1801">
            <v>46058</v>
          </cell>
          <cell r="K1801">
            <v>3</v>
          </cell>
        </row>
        <row r="1802">
          <cell r="C1802" t="str">
            <v>陳威諭</v>
          </cell>
          <cell r="F1802" t="str">
            <v>M250301C1</v>
          </cell>
          <cell r="J1802">
            <v>46058</v>
          </cell>
          <cell r="K1802">
            <v>1</v>
          </cell>
        </row>
        <row r="1803">
          <cell r="C1803" t="str">
            <v>陳威諭</v>
          </cell>
          <cell r="J1803">
            <v>46059</v>
          </cell>
          <cell r="K1803">
            <v>1</v>
          </cell>
        </row>
        <row r="1804">
          <cell r="C1804" t="str">
            <v>陳威諭</v>
          </cell>
          <cell r="J1804">
            <v>46059</v>
          </cell>
          <cell r="K1804">
            <v>2</v>
          </cell>
        </row>
        <row r="1805">
          <cell r="C1805" t="str">
            <v>陳威諭</v>
          </cell>
          <cell r="F1805" t="str">
            <v>M250301C1</v>
          </cell>
          <cell r="J1805">
            <v>46059</v>
          </cell>
          <cell r="K1805">
            <v>1</v>
          </cell>
        </row>
        <row r="1806">
          <cell r="C1806" t="str">
            <v>陳威諭</v>
          </cell>
          <cell r="F1806" t="str">
            <v>M251001R1</v>
          </cell>
          <cell r="J1806">
            <v>46059</v>
          </cell>
          <cell r="K1806">
            <v>4</v>
          </cell>
        </row>
        <row r="1807">
          <cell r="C1807" t="str">
            <v>陳威諭</v>
          </cell>
          <cell r="F1807" t="str">
            <v>M251001R1</v>
          </cell>
          <cell r="J1807">
            <v>46062</v>
          </cell>
          <cell r="K1807">
            <v>5</v>
          </cell>
        </row>
        <row r="1808">
          <cell r="C1808" t="str">
            <v>陳威諭</v>
          </cell>
          <cell r="J1808">
            <v>46062</v>
          </cell>
          <cell r="K1808">
            <v>2</v>
          </cell>
        </row>
        <row r="1809">
          <cell r="C1809" t="str">
            <v>陳威諭</v>
          </cell>
          <cell r="F1809" t="str">
            <v>M250301C1</v>
          </cell>
          <cell r="J1809">
            <v>46062</v>
          </cell>
          <cell r="K1809">
            <v>1</v>
          </cell>
        </row>
        <row r="1810">
          <cell r="C1810" t="str">
            <v>陳威諭</v>
          </cell>
          <cell r="J1810">
            <v>46063</v>
          </cell>
          <cell r="K1810">
            <v>1</v>
          </cell>
        </row>
        <row r="1811">
          <cell r="C1811" t="str">
            <v>陳威諭</v>
          </cell>
          <cell r="F1811" t="str">
            <v>M250301C1</v>
          </cell>
          <cell r="J1811">
            <v>46063</v>
          </cell>
          <cell r="K1811">
            <v>1</v>
          </cell>
        </row>
        <row r="1812">
          <cell r="C1812" t="str">
            <v>陳威諭</v>
          </cell>
          <cell r="F1812" t="str">
            <v>M251001R1</v>
          </cell>
          <cell r="J1812">
            <v>46063</v>
          </cell>
          <cell r="K1812">
            <v>6</v>
          </cell>
        </row>
        <row r="1813">
          <cell r="C1813" t="str">
            <v>陳威諭</v>
          </cell>
          <cell r="F1813" t="str">
            <v>M251001R1</v>
          </cell>
          <cell r="J1813">
            <v>46064</v>
          </cell>
          <cell r="K1813">
            <v>5</v>
          </cell>
        </row>
        <row r="1814">
          <cell r="C1814" t="str">
            <v>陳威諭</v>
          </cell>
          <cell r="J1814">
            <v>46064</v>
          </cell>
          <cell r="K1814">
            <v>1</v>
          </cell>
        </row>
        <row r="1815">
          <cell r="C1815" t="str">
            <v>陳威諭</v>
          </cell>
          <cell r="F1815" t="str">
            <v>M250301C1</v>
          </cell>
          <cell r="J1815">
            <v>46064</v>
          </cell>
          <cell r="K1815">
            <v>2</v>
          </cell>
        </row>
        <row r="1816">
          <cell r="C1816" t="str">
            <v>陳威諭</v>
          </cell>
          <cell r="F1816" t="str">
            <v>M251001R1</v>
          </cell>
          <cell r="J1816">
            <v>46065</v>
          </cell>
          <cell r="K1816">
            <v>4</v>
          </cell>
        </row>
        <row r="1817">
          <cell r="C1817" t="str">
            <v>陳威諭</v>
          </cell>
          <cell r="J1817">
            <v>46065</v>
          </cell>
          <cell r="K1817">
            <v>2</v>
          </cell>
        </row>
        <row r="1818">
          <cell r="C1818" t="str">
            <v>陳威諭</v>
          </cell>
          <cell r="F1818" t="str">
            <v>M250301C1</v>
          </cell>
          <cell r="J1818">
            <v>46065</v>
          </cell>
          <cell r="K1818">
            <v>2</v>
          </cell>
        </row>
        <row r="1819">
          <cell r="C1819" t="str">
            <v>陳威諭</v>
          </cell>
          <cell r="J1819">
            <v>46066</v>
          </cell>
          <cell r="K1819">
            <v>8</v>
          </cell>
        </row>
        <row r="1820">
          <cell r="C1820" t="str">
            <v>陳威諭</v>
          </cell>
          <cell r="J1820">
            <v>46076</v>
          </cell>
          <cell r="K1820">
            <v>2</v>
          </cell>
        </row>
        <row r="1821">
          <cell r="C1821" t="str">
            <v>陳威諭</v>
          </cell>
          <cell r="F1821" t="str">
            <v>M251001R1</v>
          </cell>
          <cell r="J1821">
            <v>46076</v>
          </cell>
          <cell r="K1821">
            <v>4</v>
          </cell>
        </row>
        <row r="1822">
          <cell r="C1822" t="str">
            <v>陳威諭</v>
          </cell>
          <cell r="F1822" t="str">
            <v>M250301C1</v>
          </cell>
          <cell r="J1822">
            <v>46076</v>
          </cell>
          <cell r="K1822">
            <v>2</v>
          </cell>
        </row>
        <row r="1823">
          <cell r="C1823" t="str">
            <v>陳威諭</v>
          </cell>
          <cell r="J1823">
            <v>46077</v>
          </cell>
          <cell r="K1823">
            <v>3</v>
          </cell>
        </row>
        <row r="1824">
          <cell r="C1824" t="str">
            <v>陳威諭</v>
          </cell>
          <cell r="F1824" t="str">
            <v>M251001R1</v>
          </cell>
          <cell r="J1824">
            <v>46077</v>
          </cell>
          <cell r="K1824">
            <v>3</v>
          </cell>
        </row>
        <row r="1825">
          <cell r="C1825" t="str">
            <v>陳威諭</v>
          </cell>
          <cell r="F1825" t="str">
            <v>M250301C1</v>
          </cell>
          <cell r="J1825">
            <v>46077</v>
          </cell>
          <cell r="K1825">
            <v>2</v>
          </cell>
        </row>
        <row r="1826">
          <cell r="C1826" t="str">
            <v>陳威諭</v>
          </cell>
          <cell r="F1826" t="str">
            <v>M251001R1</v>
          </cell>
          <cell r="J1826">
            <v>46078</v>
          </cell>
          <cell r="K1826">
            <v>4</v>
          </cell>
        </row>
        <row r="1827">
          <cell r="C1827" t="str">
            <v>陳威諭</v>
          </cell>
          <cell r="F1827" t="str">
            <v>M250301C1</v>
          </cell>
          <cell r="J1827">
            <v>46078</v>
          </cell>
          <cell r="K1827">
            <v>1</v>
          </cell>
        </row>
        <row r="1828">
          <cell r="C1828" t="str">
            <v>陳威諭</v>
          </cell>
          <cell r="J1828">
            <v>46078</v>
          </cell>
          <cell r="K1828">
            <v>3</v>
          </cell>
        </row>
        <row r="1829">
          <cell r="C1829" t="str">
            <v>陳威諭</v>
          </cell>
          <cell r="F1829" t="str">
            <v>M251001R1</v>
          </cell>
          <cell r="J1829">
            <v>46079</v>
          </cell>
          <cell r="K1829">
            <v>3</v>
          </cell>
        </row>
        <row r="1830">
          <cell r="C1830" t="str">
            <v>陳威諭</v>
          </cell>
          <cell r="F1830" t="str">
            <v>M250301C1</v>
          </cell>
          <cell r="J1830">
            <v>46079</v>
          </cell>
          <cell r="K1830">
            <v>3</v>
          </cell>
        </row>
        <row r="1831">
          <cell r="C1831" t="str">
            <v>陳威諭</v>
          </cell>
          <cell r="J1831">
            <v>46079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46083</v>
          </cell>
          <cell r="K1832">
            <v>2</v>
          </cell>
        </row>
        <row r="1833">
          <cell r="C1833" t="str">
            <v>陳威諭</v>
          </cell>
          <cell r="J1833">
            <v>46083</v>
          </cell>
          <cell r="K1833">
            <v>3</v>
          </cell>
        </row>
        <row r="1834">
          <cell r="C1834" t="str">
            <v>陳威諭</v>
          </cell>
          <cell r="F1834" t="str">
            <v>M251001R1</v>
          </cell>
          <cell r="J1834">
            <v>46083</v>
          </cell>
          <cell r="K1834">
            <v>3</v>
          </cell>
        </row>
        <row r="1835">
          <cell r="C1835" t="str">
            <v>陳威諭</v>
          </cell>
          <cell r="F1835" t="str">
            <v>M251001R1</v>
          </cell>
          <cell r="J1835">
            <v>46084</v>
          </cell>
          <cell r="K1835">
            <v>4</v>
          </cell>
        </row>
        <row r="1836">
          <cell r="C1836" t="str">
            <v>陳威諭</v>
          </cell>
          <cell r="F1836" t="str">
            <v>M250301C1</v>
          </cell>
          <cell r="J1836">
            <v>46084</v>
          </cell>
          <cell r="K1836">
            <v>3</v>
          </cell>
        </row>
        <row r="1837">
          <cell r="C1837" t="str">
            <v>陳威諭</v>
          </cell>
          <cell r="J1837">
            <v>46084</v>
          </cell>
          <cell r="K1837">
            <v>1</v>
          </cell>
        </row>
        <row r="1838">
          <cell r="C1838" t="str">
            <v>陳威諭</v>
          </cell>
          <cell r="F1838" t="str">
            <v>M251001R1</v>
          </cell>
          <cell r="J1838">
            <v>46085</v>
          </cell>
          <cell r="K1838">
            <v>5</v>
          </cell>
        </row>
        <row r="1839">
          <cell r="C1839" t="str">
            <v>陳威諭</v>
          </cell>
          <cell r="F1839" t="str">
            <v>M250301C1</v>
          </cell>
          <cell r="J1839">
            <v>46085</v>
          </cell>
          <cell r="K1839">
            <v>3</v>
          </cell>
        </row>
        <row r="1840">
          <cell r="C1840" t="str">
            <v>陳威諭</v>
          </cell>
          <cell r="J1840">
            <v>46086</v>
          </cell>
          <cell r="K1840">
            <v>1.5</v>
          </cell>
        </row>
        <row r="1841">
          <cell r="C1841" t="str">
            <v>陳威諭</v>
          </cell>
          <cell r="F1841" t="str">
            <v>M250301C1</v>
          </cell>
          <cell r="J1841">
            <v>46086</v>
          </cell>
          <cell r="K1841">
            <v>2.5</v>
          </cell>
        </row>
        <row r="1842">
          <cell r="C1842" t="str">
            <v>陳威諭</v>
          </cell>
          <cell r="F1842" t="str">
            <v>M251001R1</v>
          </cell>
          <cell r="J1842">
            <v>46086</v>
          </cell>
          <cell r="K1842">
            <v>4</v>
          </cell>
        </row>
        <row r="1843">
          <cell r="C1843" t="str">
            <v>陳威諭</v>
          </cell>
          <cell r="F1843" t="str">
            <v>M251001R1</v>
          </cell>
          <cell r="J1843">
            <v>46087</v>
          </cell>
          <cell r="K1843">
            <v>2</v>
          </cell>
        </row>
        <row r="1844">
          <cell r="C1844" t="str">
            <v>陳威諭</v>
          </cell>
          <cell r="J1844">
            <v>46087</v>
          </cell>
          <cell r="K1844">
            <v>3</v>
          </cell>
        </row>
        <row r="1845">
          <cell r="C1845" t="str">
            <v>陳威諭</v>
          </cell>
          <cell r="F1845" t="str">
            <v>M250301C1</v>
          </cell>
          <cell r="J1845">
            <v>46087</v>
          </cell>
          <cell r="K1845">
            <v>3</v>
          </cell>
        </row>
        <row r="1846">
          <cell r="C1846" t="str">
            <v>陳威諭</v>
          </cell>
          <cell r="J1846">
            <v>46090</v>
          </cell>
          <cell r="K1846">
            <v>4</v>
          </cell>
        </row>
        <row r="1847">
          <cell r="C1847" t="str">
            <v>陳威諭</v>
          </cell>
          <cell r="F1847" t="str">
            <v>M250301C1</v>
          </cell>
          <cell r="J1847">
            <v>46090</v>
          </cell>
          <cell r="K1847">
            <v>3</v>
          </cell>
        </row>
        <row r="1848">
          <cell r="C1848" t="str">
            <v>陳威諭</v>
          </cell>
          <cell r="F1848" t="str">
            <v>M251001R1</v>
          </cell>
          <cell r="J1848">
            <v>46090</v>
          </cell>
          <cell r="K1848">
            <v>1</v>
          </cell>
        </row>
        <row r="1849">
          <cell r="C1849" t="str">
            <v>陳威諭</v>
          </cell>
          <cell r="J1849">
            <v>46091</v>
          </cell>
          <cell r="K1849">
            <v>2</v>
          </cell>
        </row>
        <row r="1850">
          <cell r="C1850" t="str">
            <v>陳威諭</v>
          </cell>
          <cell r="F1850" t="str">
            <v>M250301C1</v>
          </cell>
          <cell r="J1850">
            <v>46091</v>
          </cell>
          <cell r="K1850">
            <v>3</v>
          </cell>
        </row>
        <row r="1851">
          <cell r="C1851" t="str">
            <v>陳威諭</v>
          </cell>
          <cell r="F1851" t="str">
            <v>M251001R1</v>
          </cell>
          <cell r="J1851">
            <v>46091</v>
          </cell>
          <cell r="K1851">
            <v>3</v>
          </cell>
        </row>
        <row r="1852">
          <cell r="C1852" t="str">
            <v>陳威諭</v>
          </cell>
          <cell r="F1852" t="str">
            <v>M251001R1</v>
          </cell>
          <cell r="J1852">
            <v>46092</v>
          </cell>
          <cell r="K1852">
            <v>2</v>
          </cell>
        </row>
        <row r="1853">
          <cell r="C1853" t="str">
            <v>陳威諭</v>
          </cell>
          <cell r="J1853">
            <v>46092</v>
          </cell>
          <cell r="K1853">
            <v>3</v>
          </cell>
        </row>
        <row r="1854">
          <cell r="C1854" t="str">
            <v>陳威諭</v>
          </cell>
          <cell r="F1854" t="str">
            <v>M250301C1</v>
          </cell>
          <cell r="J1854">
            <v>46092</v>
          </cell>
          <cell r="K1854">
            <v>3</v>
          </cell>
        </row>
        <row r="1855">
          <cell r="C1855" t="str">
            <v>陳威諭</v>
          </cell>
          <cell r="F1855" t="str">
            <v>M251001R1</v>
          </cell>
          <cell r="J1855">
            <v>46093</v>
          </cell>
          <cell r="K1855">
            <v>1</v>
          </cell>
        </row>
        <row r="1856">
          <cell r="C1856" t="str">
            <v>陳威諭</v>
          </cell>
          <cell r="F1856" t="str">
            <v>M250301C1</v>
          </cell>
          <cell r="J1856">
            <v>46093</v>
          </cell>
          <cell r="K1856">
            <v>3</v>
          </cell>
        </row>
        <row r="1857">
          <cell r="C1857" t="str">
            <v>陳威諭</v>
          </cell>
          <cell r="J1857">
            <v>46093</v>
          </cell>
          <cell r="K1857">
            <v>4</v>
          </cell>
        </row>
        <row r="1858">
          <cell r="C1858" t="str">
            <v>陳威諭</v>
          </cell>
          <cell r="F1858" t="str">
            <v>M251001R1</v>
          </cell>
          <cell r="J1858">
            <v>46094</v>
          </cell>
          <cell r="K1858">
            <v>2</v>
          </cell>
        </row>
        <row r="1859">
          <cell r="C1859" t="str">
            <v>陳威諭</v>
          </cell>
          <cell r="J1859">
            <v>46094</v>
          </cell>
          <cell r="K1859">
            <v>4</v>
          </cell>
        </row>
        <row r="1860">
          <cell r="C1860" t="str">
            <v>陳威諭</v>
          </cell>
          <cell r="F1860" t="str">
            <v>M250301C1</v>
          </cell>
          <cell r="J1860">
            <v>46094</v>
          </cell>
          <cell r="K1860">
            <v>2</v>
          </cell>
        </row>
        <row r="1861">
          <cell r="C1861" t="str">
            <v>陳威諭</v>
          </cell>
          <cell r="F1861" t="str">
            <v>M251001R1</v>
          </cell>
          <cell r="J1861">
            <v>46097</v>
          </cell>
          <cell r="K1861">
            <v>3</v>
          </cell>
        </row>
        <row r="1862">
          <cell r="C1862" t="str">
            <v>陳威諭</v>
          </cell>
          <cell r="J1862">
            <v>46097</v>
          </cell>
          <cell r="K1862">
            <v>2</v>
          </cell>
        </row>
        <row r="1863">
          <cell r="C1863" t="str">
            <v>陳威諭</v>
          </cell>
          <cell r="F1863" t="str">
            <v>M250301C1</v>
          </cell>
          <cell r="J1863">
            <v>46097</v>
          </cell>
          <cell r="K1863">
            <v>2</v>
          </cell>
        </row>
        <row r="1864">
          <cell r="C1864" t="str">
            <v>陳威諭</v>
          </cell>
          <cell r="J1864">
            <v>46097</v>
          </cell>
          <cell r="K1864">
            <v>1</v>
          </cell>
        </row>
        <row r="1865">
          <cell r="C1865" t="str">
            <v>陳威諭</v>
          </cell>
          <cell r="J1865">
            <v>46098</v>
          </cell>
          <cell r="K1865">
            <v>2</v>
          </cell>
        </row>
        <row r="1866">
          <cell r="C1866" t="str">
            <v>陳威諭</v>
          </cell>
          <cell r="F1866" t="str">
            <v>M251001R1</v>
          </cell>
          <cell r="J1866">
            <v>46098</v>
          </cell>
          <cell r="K1866">
            <v>2</v>
          </cell>
        </row>
        <row r="1867">
          <cell r="C1867" t="str">
            <v>陳威諭</v>
          </cell>
          <cell r="F1867" t="str">
            <v>M250301C1</v>
          </cell>
          <cell r="J1867">
            <v>46098</v>
          </cell>
          <cell r="K1867">
            <v>1</v>
          </cell>
        </row>
        <row r="1868">
          <cell r="C1868" t="str">
            <v>陳威諭</v>
          </cell>
          <cell r="J1868">
            <v>46098</v>
          </cell>
          <cell r="K1868">
            <v>3</v>
          </cell>
        </row>
        <row r="1869">
          <cell r="C1869" t="str">
            <v>陳威諭</v>
          </cell>
          <cell r="J1869">
            <v>46099</v>
          </cell>
          <cell r="K1869">
            <v>2</v>
          </cell>
        </row>
        <row r="1870">
          <cell r="C1870" t="str">
            <v>陳威諭</v>
          </cell>
          <cell r="F1870" t="str">
            <v>M251001R1</v>
          </cell>
          <cell r="J1870">
            <v>46099</v>
          </cell>
          <cell r="K1870">
            <v>1</v>
          </cell>
        </row>
        <row r="1871">
          <cell r="C1871" t="str">
            <v>陳威諭</v>
          </cell>
          <cell r="J1871">
            <v>46099</v>
          </cell>
          <cell r="K1871">
            <v>4</v>
          </cell>
        </row>
        <row r="1872">
          <cell r="C1872" t="str">
            <v>陳威諭</v>
          </cell>
          <cell r="F1872" t="str">
            <v>M250301C1</v>
          </cell>
          <cell r="J1872">
            <v>46099</v>
          </cell>
          <cell r="K1872">
            <v>1</v>
          </cell>
        </row>
        <row r="1873">
          <cell r="C1873" t="str">
            <v>陳威諭</v>
          </cell>
          <cell r="J1873">
            <v>46100</v>
          </cell>
          <cell r="K1873">
            <v>4</v>
          </cell>
        </row>
        <row r="1874">
          <cell r="C1874" t="str">
            <v>陳威諭</v>
          </cell>
          <cell r="F1874" t="str">
            <v>M250301C1</v>
          </cell>
          <cell r="J1874">
            <v>46100</v>
          </cell>
          <cell r="K1874">
            <v>1</v>
          </cell>
        </row>
        <row r="1875">
          <cell r="C1875" t="str">
            <v>陳威諭</v>
          </cell>
          <cell r="F1875" t="str">
            <v>M251001R1</v>
          </cell>
          <cell r="J1875">
            <v>46100</v>
          </cell>
          <cell r="K1875">
            <v>1</v>
          </cell>
        </row>
        <row r="1876">
          <cell r="C1876" t="str">
            <v>陳威諭</v>
          </cell>
          <cell r="J1876">
            <v>46100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46101</v>
          </cell>
          <cell r="K1877">
            <v>1</v>
          </cell>
        </row>
        <row r="1878">
          <cell r="C1878" t="str">
            <v>陳威諭</v>
          </cell>
          <cell r="F1878" t="str">
            <v>M251001R1</v>
          </cell>
          <cell r="J1878">
            <v>46101</v>
          </cell>
          <cell r="K1878">
            <v>1</v>
          </cell>
        </row>
        <row r="1879">
          <cell r="C1879" t="str">
            <v>陳威諭</v>
          </cell>
          <cell r="J1879">
            <v>46101</v>
          </cell>
          <cell r="K1879">
            <v>4</v>
          </cell>
        </row>
        <row r="1880">
          <cell r="C1880" t="str">
            <v>陳威諭</v>
          </cell>
          <cell r="J1880">
            <v>46101</v>
          </cell>
          <cell r="K1880">
            <v>2</v>
          </cell>
        </row>
        <row r="1881">
          <cell r="C1881" t="str">
            <v>陳威諭</v>
          </cell>
          <cell r="J1881">
            <v>46104</v>
          </cell>
          <cell r="K1881">
            <v>1</v>
          </cell>
        </row>
        <row r="1882">
          <cell r="C1882" t="str">
            <v>陳威諭</v>
          </cell>
          <cell r="F1882" t="str">
            <v>M251001R1</v>
          </cell>
          <cell r="J1882">
            <v>46104</v>
          </cell>
          <cell r="K1882">
            <v>4</v>
          </cell>
        </row>
        <row r="1883">
          <cell r="C1883" t="str">
            <v>陳威諭</v>
          </cell>
          <cell r="J1883">
            <v>46104</v>
          </cell>
          <cell r="K1883">
            <v>2</v>
          </cell>
        </row>
        <row r="1884">
          <cell r="C1884" t="str">
            <v>陳威諭</v>
          </cell>
          <cell r="F1884" t="str">
            <v>M250301C1</v>
          </cell>
          <cell r="J1884">
            <v>46104</v>
          </cell>
          <cell r="K1884">
            <v>1</v>
          </cell>
        </row>
        <row r="1885">
          <cell r="C1885" t="str">
            <v>陳威諭</v>
          </cell>
          <cell r="F1885" t="str">
            <v>M250301C1</v>
          </cell>
          <cell r="J1885">
            <v>46105</v>
          </cell>
          <cell r="K1885">
            <v>1</v>
          </cell>
        </row>
        <row r="1886">
          <cell r="C1886" t="str">
            <v>陳威諭</v>
          </cell>
          <cell r="J1886">
            <v>46105</v>
          </cell>
          <cell r="K1886">
            <v>1</v>
          </cell>
        </row>
        <row r="1887">
          <cell r="C1887" t="str">
            <v>陳威諭</v>
          </cell>
          <cell r="F1887" t="str">
            <v>M251001R1</v>
          </cell>
          <cell r="J1887">
            <v>46105</v>
          </cell>
          <cell r="K1887">
            <v>6</v>
          </cell>
        </row>
        <row r="1888">
          <cell r="C1888" t="str">
            <v>陳威諭</v>
          </cell>
          <cell r="F1888" t="str">
            <v>D250101R1</v>
          </cell>
          <cell r="J1888">
            <v>46106</v>
          </cell>
          <cell r="K1888">
            <v>1</v>
          </cell>
        </row>
        <row r="1889">
          <cell r="C1889" t="str">
            <v>陳威諭</v>
          </cell>
          <cell r="F1889" t="str">
            <v>M250301C1</v>
          </cell>
          <cell r="J1889">
            <v>46106</v>
          </cell>
          <cell r="K1889">
            <v>1</v>
          </cell>
        </row>
        <row r="1890">
          <cell r="C1890" t="str">
            <v>陳威諭</v>
          </cell>
          <cell r="F1890" t="str">
            <v>M251001R1</v>
          </cell>
          <cell r="J1890">
            <v>46106</v>
          </cell>
          <cell r="K1890">
            <v>6</v>
          </cell>
        </row>
        <row r="1891">
          <cell r="C1891" t="str">
            <v>陳威諭</v>
          </cell>
          <cell r="F1891" t="str">
            <v>M251001R1</v>
          </cell>
          <cell r="J1891">
            <v>46107</v>
          </cell>
          <cell r="K1891">
            <v>5</v>
          </cell>
        </row>
        <row r="1892">
          <cell r="C1892" t="str">
            <v>陳威諭</v>
          </cell>
          <cell r="J1892">
            <v>46107</v>
          </cell>
          <cell r="K1892">
            <v>1</v>
          </cell>
        </row>
        <row r="1893">
          <cell r="C1893" t="str">
            <v>陳威諭</v>
          </cell>
          <cell r="F1893" t="str">
            <v>M250301C1</v>
          </cell>
          <cell r="J1893">
            <v>46107</v>
          </cell>
          <cell r="K1893">
            <v>2</v>
          </cell>
        </row>
        <row r="1894">
          <cell r="C1894" t="str">
            <v>陳威諭</v>
          </cell>
          <cell r="F1894" t="str">
            <v>M250301C1</v>
          </cell>
          <cell r="J1894">
            <v>46108</v>
          </cell>
          <cell r="K1894">
            <v>1</v>
          </cell>
        </row>
        <row r="1895">
          <cell r="C1895" t="str">
            <v>陳威諭</v>
          </cell>
          <cell r="F1895" t="str">
            <v>M251001R1</v>
          </cell>
          <cell r="J1895">
            <v>46108</v>
          </cell>
          <cell r="K1895">
            <v>5</v>
          </cell>
        </row>
        <row r="1896">
          <cell r="C1896" t="str">
            <v>陳威諭</v>
          </cell>
          <cell r="J1896">
            <v>46108</v>
          </cell>
          <cell r="K1896">
            <v>2</v>
          </cell>
        </row>
        <row r="1897">
          <cell r="C1897" t="str">
            <v>陳威諭</v>
          </cell>
          <cell r="F1897" t="str">
            <v>M251001R1</v>
          </cell>
          <cell r="J1897">
            <v>46111</v>
          </cell>
          <cell r="K1897">
            <v>3</v>
          </cell>
        </row>
        <row r="1898">
          <cell r="C1898" t="str">
            <v>陳威諭</v>
          </cell>
          <cell r="F1898" t="str">
            <v>M250301C1</v>
          </cell>
          <cell r="J1898">
            <v>46111</v>
          </cell>
          <cell r="K1898">
            <v>2</v>
          </cell>
        </row>
        <row r="1899">
          <cell r="C1899" t="str">
            <v>陳威諭</v>
          </cell>
          <cell r="J1899">
            <v>46111</v>
          </cell>
          <cell r="K1899">
            <v>3</v>
          </cell>
        </row>
        <row r="1900">
          <cell r="C1900" t="str">
            <v>陳威諭</v>
          </cell>
          <cell r="J1900">
            <v>46112</v>
          </cell>
          <cell r="K1900">
            <v>3</v>
          </cell>
        </row>
        <row r="1901">
          <cell r="C1901" t="str">
            <v>陳威諭</v>
          </cell>
          <cell r="F1901" t="str">
            <v>M250301C1</v>
          </cell>
          <cell r="J1901">
            <v>46112</v>
          </cell>
          <cell r="K1901">
            <v>1</v>
          </cell>
        </row>
        <row r="1902">
          <cell r="C1902" t="str">
            <v>陳威諭</v>
          </cell>
          <cell r="F1902" t="str">
            <v>M251001R1</v>
          </cell>
          <cell r="J1902">
            <v>46112</v>
          </cell>
          <cell r="K1902">
            <v>4</v>
          </cell>
        </row>
        <row r="1903">
          <cell r="C1903" t="str">
            <v>陳威諭</v>
          </cell>
          <cell r="F1903" t="str">
            <v>M251001R1</v>
          </cell>
          <cell r="J1903">
            <v>46113</v>
          </cell>
          <cell r="K1903">
            <v>2</v>
          </cell>
        </row>
        <row r="1904">
          <cell r="C1904" t="str">
            <v>陳威諭</v>
          </cell>
          <cell r="F1904" t="str">
            <v>M250301C1</v>
          </cell>
          <cell r="J1904">
            <v>46113</v>
          </cell>
          <cell r="K1904">
            <v>1</v>
          </cell>
        </row>
        <row r="1905">
          <cell r="C1905" t="str">
            <v>陳威諭</v>
          </cell>
          <cell r="J1905">
            <v>46113</v>
          </cell>
          <cell r="K1905">
            <v>5</v>
          </cell>
        </row>
        <row r="1906">
          <cell r="C1906" t="str">
            <v>陳威諭</v>
          </cell>
          <cell r="F1906" t="str">
            <v>M251001R1</v>
          </cell>
          <cell r="J1906">
            <v>46114</v>
          </cell>
          <cell r="K1906">
            <v>3</v>
          </cell>
        </row>
        <row r="1907">
          <cell r="C1907" t="str">
            <v>陳威諭</v>
          </cell>
          <cell r="F1907" t="str">
            <v>M250301C1</v>
          </cell>
          <cell r="J1907">
            <v>46114</v>
          </cell>
          <cell r="K1907">
            <v>1</v>
          </cell>
        </row>
        <row r="1908">
          <cell r="C1908" t="str">
            <v>陳威諭</v>
          </cell>
          <cell r="J1908">
            <v>46114</v>
          </cell>
          <cell r="K1908">
            <v>4</v>
          </cell>
        </row>
        <row r="1909">
          <cell r="C1909" t="str">
            <v>陳威諭</v>
          </cell>
          <cell r="J1909">
            <v>46115</v>
          </cell>
          <cell r="K1909">
            <v>8</v>
          </cell>
        </row>
        <row r="1910">
          <cell r="C1910" t="str">
            <v>陳威諭</v>
          </cell>
          <cell r="J1910">
            <v>46118</v>
          </cell>
          <cell r="K1910">
            <v>8</v>
          </cell>
        </row>
        <row r="1911">
          <cell r="C1911" t="str">
            <v>陳威諭</v>
          </cell>
          <cell r="J1911">
            <v>46119</v>
          </cell>
          <cell r="K1911">
            <v>0.5</v>
          </cell>
        </row>
        <row r="1912">
          <cell r="C1912" t="str">
            <v>陳威諭</v>
          </cell>
          <cell r="F1912" t="str">
            <v>M250301C1</v>
          </cell>
          <cell r="J1912">
            <v>46119</v>
          </cell>
          <cell r="K1912">
            <v>0.5</v>
          </cell>
        </row>
        <row r="1913">
          <cell r="C1913" t="str">
            <v>陳威諭</v>
          </cell>
          <cell r="J1913">
            <v>46119</v>
          </cell>
          <cell r="K1913">
            <v>7</v>
          </cell>
        </row>
        <row r="1914">
          <cell r="C1914" t="str">
            <v>陳威諭</v>
          </cell>
          <cell r="F1914" t="str">
            <v>M250301C1</v>
          </cell>
          <cell r="J1914">
            <v>46120</v>
          </cell>
          <cell r="K1914">
            <v>1</v>
          </cell>
        </row>
        <row r="1915">
          <cell r="C1915" t="str">
            <v>陳威諭</v>
          </cell>
          <cell r="J1915">
            <v>46120</v>
          </cell>
          <cell r="K1915">
            <v>6</v>
          </cell>
        </row>
        <row r="1916">
          <cell r="C1916" t="str">
            <v>陳威諭</v>
          </cell>
          <cell r="F1916" t="str">
            <v>M251001R1</v>
          </cell>
          <cell r="J1916">
            <v>46120</v>
          </cell>
          <cell r="K1916">
            <v>1</v>
          </cell>
        </row>
        <row r="1917">
          <cell r="C1917" t="str">
            <v>陳威諭</v>
          </cell>
          <cell r="F1917" t="str">
            <v>M250301C1</v>
          </cell>
          <cell r="J1917">
            <v>46121</v>
          </cell>
          <cell r="K1917">
            <v>1</v>
          </cell>
        </row>
        <row r="1918">
          <cell r="C1918" t="str">
            <v>陳威諭</v>
          </cell>
          <cell r="J1918">
            <v>46121</v>
          </cell>
          <cell r="K1918">
            <v>7</v>
          </cell>
        </row>
        <row r="1919">
          <cell r="C1919" t="str">
            <v>陳威諭</v>
          </cell>
          <cell r="J1919">
            <v>46122</v>
          </cell>
          <cell r="K1919">
            <v>7</v>
          </cell>
        </row>
        <row r="1920">
          <cell r="C1920" t="str">
            <v>陳威諭</v>
          </cell>
          <cell r="F1920" t="str">
            <v>M250301C1</v>
          </cell>
          <cell r="J1920">
            <v>46122</v>
          </cell>
          <cell r="K1920">
            <v>1</v>
          </cell>
        </row>
        <row r="1921">
          <cell r="C1921" t="str">
            <v>陳威諭</v>
          </cell>
          <cell r="F1921" t="str">
            <v>M250301C1</v>
          </cell>
          <cell r="J1921">
            <v>46125</v>
          </cell>
          <cell r="K1921">
            <v>3</v>
          </cell>
        </row>
        <row r="1922">
          <cell r="C1922" t="str">
            <v>陳威諭</v>
          </cell>
          <cell r="J1922">
            <v>46125</v>
          </cell>
          <cell r="K1922">
            <v>4</v>
          </cell>
        </row>
        <row r="1923">
          <cell r="C1923" t="str">
            <v>陳威諭</v>
          </cell>
          <cell r="F1923" t="str">
            <v>M251001R1</v>
          </cell>
          <cell r="J1923">
            <v>46125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46126</v>
          </cell>
          <cell r="K1924">
            <v>1</v>
          </cell>
        </row>
        <row r="1925">
          <cell r="C1925" t="str">
            <v>陳威諭</v>
          </cell>
          <cell r="J1925">
            <v>46126</v>
          </cell>
          <cell r="K1925">
            <v>7</v>
          </cell>
        </row>
        <row r="1926">
          <cell r="C1926" t="str">
            <v>陳威諭</v>
          </cell>
          <cell r="F1926" t="str">
            <v>K251001R1</v>
          </cell>
          <cell r="J1926">
            <v>46127</v>
          </cell>
          <cell r="K1926">
            <v>3</v>
          </cell>
        </row>
        <row r="1927">
          <cell r="C1927" t="str">
            <v>陳威諭</v>
          </cell>
          <cell r="J1927">
            <v>46127</v>
          </cell>
          <cell r="K1927">
            <v>5</v>
          </cell>
        </row>
        <row r="1928">
          <cell r="C1928" t="str">
            <v>陳威諭</v>
          </cell>
          <cell r="J1928">
            <v>46128</v>
          </cell>
          <cell r="K1928">
            <v>7</v>
          </cell>
        </row>
        <row r="1929">
          <cell r="C1929" t="str">
            <v>陳威諭</v>
          </cell>
          <cell r="F1929" t="str">
            <v>K251001R1</v>
          </cell>
          <cell r="J1929">
            <v>46128</v>
          </cell>
          <cell r="K1929">
            <v>1</v>
          </cell>
        </row>
        <row r="1930">
          <cell r="C1930" t="str">
            <v>陳威諭</v>
          </cell>
          <cell r="F1930" t="str">
            <v>M250301C1</v>
          </cell>
          <cell r="J1930">
            <v>46129</v>
          </cell>
          <cell r="K1930">
            <v>1</v>
          </cell>
        </row>
        <row r="1931">
          <cell r="C1931" t="str">
            <v>陳威諭</v>
          </cell>
          <cell r="J1931">
            <v>46129</v>
          </cell>
          <cell r="K1931">
            <v>6</v>
          </cell>
        </row>
        <row r="1932">
          <cell r="C1932" t="str">
            <v>陳威諭</v>
          </cell>
          <cell r="F1932" t="str">
            <v>K251001R1</v>
          </cell>
          <cell r="J1932">
            <v>46129</v>
          </cell>
          <cell r="K1932">
            <v>1</v>
          </cell>
        </row>
        <row r="1933">
          <cell r="C1933" t="str">
            <v>陳威諭</v>
          </cell>
          <cell r="J1933">
            <v>46132</v>
          </cell>
          <cell r="K1933">
            <v>4</v>
          </cell>
        </row>
        <row r="1934">
          <cell r="C1934" t="str">
            <v>陳威諭</v>
          </cell>
          <cell r="F1934" t="str">
            <v>M250301C1</v>
          </cell>
          <cell r="J1934">
            <v>46132</v>
          </cell>
          <cell r="K1934">
            <v>2</v>
          </cell>
        </row>
        <row r="1935">
          <cell r="C1935" t="str">
            <v>陳威諭</v>
          </cell>
          <cell r="J1935">
            <v>46132</v>
          </cell>
          <cell r="K1935">
            <v>2</v>
          </cell>
        </row>
        <row r="1936">
          <cell r="C1936" t="str">
            <v>陳威諭</v>
          </cell>
          <cell r="F1936" t="str">
            <v>K251001R1</v>
          </cell>
          <cell r="J1936">
            <v>46133</v>
          </cell>
          <cell r="K1936">
            <v>2</v>
          </cell>
        </row>
        <row r="1937">
          <cell r="C1937" t="str">
            <v>陳威諭</v>
          </cell>
          <cell r="F1937" t="str">
            <v>M250301C1</v>
          </cell>
          <cell r="J1937">
            <v>46133</v>
          </cell>
          <cell r="K1937">
            <v>1</v>
          </cell>
        </row>
        <row r="1938">
          <cell r="C1938" t="str">
            <v>陳威諭</v>
          </cell>
          <cell r="J1938">
            <v>46133</v>
          </cell>
          <cell r="K1938">
            <v>5</v>
          </cell>
        </row>
        <row r="1939">
          <cell r="C1939" t="str">
            <v>陳威諭</v>
          </cell>
          <cell r="F1939" t="str">
            <v>M250301C1</v>
          </cell>
          <cell r="J1939">
            <v>46134</v>
          </cell>
          <cell r="K1939">
            <v>1</v>
          </cell>
        </row>
        <row r="1940">
          <cell r="C1940" t="str">
            <v>陳威諭</v>
          </cell>
          <cell r="J1940">
            <v>46134</v>
          </cell>
          <cell r="K1940">
            <v>5</v>
          </cell>
        </row>
        <row r="1941">
          <cell r="C1941" t="str">
            <v>陳威諭</v>
          </cell>
          <cell r="F1941" t="str">
            <v>K251001R1</v>
          </cell>
          <cell r="J1941">
            <v>46134</v>
          </cell>
          <cell r="K1941">
            <v>2</v>
          </cell>
        </row>
        <row r="1942">
          <cell r="C1942" t="str">
            <v>陳威諭</v>
          </cell>
          <cell r="J1942">
            <v>46135</v>
          </cell>
          <cell r="K1942">
            <v>4</v>
          </cell>
        </row>
        <row r="1943">
          <cell r="C1943" t="str">
            <v>陳威諭</v>
          </cell>
          <cell r="F1943" t="str">
            <v>K251001R1</v>
          </cell>
          <cell r="J1943">
            <v>46135</v>
          </cell>
          <cell r="K1943">
            <v>4</v>
          </cell>
        </row>
        <row r="1944">
          <cell r="C1944" t="str">
            <v>陳威諭</v>
          </cell>
          <cell r="F1944" t="str">
            <v>K251001R1</v>
          </cell>
          <cell r="J1944">
            <v>46136</v>
          </cell>
          <cell r="K1944">
            <v>3</v>
          </cell>
        </row>
        <row r="1945">
          <cell r="C1945" t="str">
            <v>陳威諭</v>
          </cell>
          <cell r="J1945">
            <v>46136</v>
          </cell>
          <cell r="K1945">
            <v>4</v>
          </cell>
        </row>
        <row r="1946">
          <cell r="C1946" t="str">
            <v>陳威諭</v>
          </cell>
          <cell r="F1946" t="str">
            <v>M251001R1</v>
          </cell>
          <cell r="J1946">
            <v>46136</v>
          </cell>
          <cell r="K1946">
            <v>1</v>
          </cell>
        </row>
        <row r="1947">
          <cell r="C1947" t="str">
            <v>陳威諭</v>
          </cell>
          <cell r="J1947">
            <v>46139</v>
          </cell>
          <cell r="K1947">
            <v>5</v>
          </cell>
        </row>
        <row r="1948">
          <cell r="C1948" t="str">
            <v>陳威諭</v>
          </cell>
          <cell r="F1948" t="str">
            <v>K251001R1</v>
          </cell>
          <cell r="J1948">
            <v>46139</v>
          </cell>
          <cell r="K1948">
            <v>2</v>
          </cell>
        </row>
        <row r="1949">
          <cell r="C1949" t="str">
            <v>陳威諭</v>
          </cell>
          <cell r="F1949" t="str">
            <v>M250301C1</v>
          </cell>
          <cell r="J1949">
            <v>46139</v>
          </cell>
          <cell r="K1949">
            <v>1</v>
          </cell>
        </row>
        <row r="1950">
          <cell r="C1950" t="str">
            <v>陳威諭</v>
          </cell>
          <cell r="J1950">
            <v>46140</v>
          </cell>
          <cell r="K1950">
            <v>5</v>
          </cell>
        </row>
        <row r="1951">
          <cell r="C1951" t="str">
            <v>陳威諭</v>
          </cell>
          <cell r="F1951" t="str">
            <v>M251001R1</v>
          </cell>
          <cell r="J1951">
            <v>46140</v>
          </cell>
          <cell r="K1951">
            <v>1</v>
          </cell>
        </row>
        <row r="1952">
          <cell r="C1952" t="str">
            <v>陳威諭</v>
          </cell>
          <cell r="F1952" t="str">
            <v>K251001R1</v>
          </cell>
          <cell r="J1952">
            <v>46140</v>
          </cell>
          <cell r="K1952">
            <v>2</v>
          </cell>
        </row>
        <row r="1953">
          <cell r="C1953" t="str">
            <v>陳威諭</v>
          </cell>
          <cell r="F1953" t="str">
            <v>M251001R1</v>
          </cell>
          <cell r="J1953">
            <v>46141</v>
          </cell>
          <cell r="K1953">
            <v>1</v>
          </cell>
        </row>
        <row r="1954">
          <cell r="C1954" t="str">
            <v>陳威諭</v>
          </cell>
          <cell r="F1954" t="str">
            <v>K251001R1</v>
          </cell>
          <cell r="J1954">
            <v>46141</v>
          </cell>
          <cell r="K1954">
            <v>2</v>
          </cell>
        </row>
        <row r="1955">
          <cell r="C1955" t="str">
            <v>陳威諭</v>
          </cell>
          <cell r="J1955">
            <v>46141</v>
          </cell>
          <cell r="K1955">
            <v>5</v>
          </cell>
        </row>
        <row r="1956">
          <cell r="C1956" t="str">
            <v>陳威諭</v>
          </cell>
          <cell r="F1956" t="str">
            <v>K251001R1</v>
          </cell>
          <cell r="J1956">
            <v>46142</v>
          </cell>
          <cell r="K1956">
            <v>4</v>
          </cell>
        </row>
        <row r="1957">
          <cell r="C1957" t="str">
            <v>陳威諭</v>
          </cell>
          <cell r="J1957">
            <v>46142</v>
          </cell>
          <cell r="K1957">
            <v>2</v>
          </cell>
        </row>
        <row r="1958">
          <cell r="C1958" t="str">
            <v>陳威諭</v>
          </cell>
          <cell r="F1958" t="str">
            <v>M251001R1</v>
          </cell>
          <cell r="J1958">
            <v>46142</v>
          </cell>
          <cell r="K1958">
            <v>2</v>
          </cell>
        </row>
        <row r="1959">
          <cell r="C1959" t="str">
            <v>陳威諭</v>
          </cell>
          <cell r="F1959" t="str">
            <v>K251001R1</v>
          </cell>
          <cell r="J1959">
            <v>46146</v>
          </cell>
          <cell r="K1959">
            <v>1</v>
          </cell>
        </row>
        <row r="1960">
          <cell r="C1960" t="str">
            <v>陳威諭</v>
          </cell>
          <cell r="J1960">
            <v>46146</v>
          </cell>
          <cell r="K1960">
            <v>1</v>
          </cell>
        </row>
        <row r="1961">
          <cell r="C1961" t="str">
            <v>陳威諭</v>
          </cell>
          <cell r="F1961" t="str">
            <v>M250301C1</v>
          </cell>
          <cell r="J1961">
            <v>46146</v>
          </cell>
          <cell r="K1961">
            <v>3</v>
          </cell>
        </row>
        <row r="1962">
          <cell r="C1962" t="str">
            <v>陳威諭</v>
          </cell>
          <cell r="J1962">
            <v>46146</v>
          </cell>
          <cell r="K1962">
            <v>2</v>
          </cell>
        </row>
        <row r="1963">
          <cell r="C1963" t="str">
            <v>陳威諭</v>
          </cell>
          <cell r="F1963" t="str">
            <v>M251001R1</v>
          </cell>
          <cell r="J1963">
            <v>46146</v>
          </cell>
          <cell r="K1963">
            <v>1</v>
          </cell>
        </row>
        <row r="1964">
          <cell r="C1964" t="str">
            <v>陳威諭</v>
          </cell>
          <cell r="J1964">
            <v>46147</v>
          </cell>
          <cell r="K1964">
            <v>4</v>
          </cell>
        </row>
        <row r="1965">
          <cell r="C1965" t="str">
            <v>陳威諭</v>
          </cell>
          <cell r="F1965" t="str">
            <v>M251001R1</v>
          </cell>
          <cell r="J1965">
            <v>46147</v>
          </cell>
          <cell r="K1965">
            <v>4</v>
          </cell>
        </row>
        <row r="1966">
          <cell r="C1966" t="str">
            <v>陳威諭</v>
          </cell>
          <cell r="F1966" t="str">
            <v>M251001R1</v>
          </cell>
          <cell r="J1966">
            <v>46148</v>
          </cell>
          <cell r="K1966">
            <v>4</v>
          </cell>
        </row>
        <row r="1967">
          <cell r="C1967" t="str">
            <v>陳威諭</v>
          </cell>
          <cell r="J1967">
            <v>46148</v>
          </cell>
          <cell r="K1967">
            <v>4</v>
          </cell>
        </row>
        <row r="1968">
          <cell r="C1968" t="str">
            <v>陳威諭</v>
          </cell>
          <cell r="F1968" t="str">
            <v>M251001R1</v>
          </cell>
          <cell r="J1968">
            <v>46149</v>
          </cell>
          <cell r="K1968">
            <v>1</v>
          </cell>
        </row>
        <row r="1969">
          <cell r="C1969" t="str">
            <v>陳威諭</v>
          </cell>
          <cell r="J1969">
            <v>46149</v>
          </cell>
          <cell r="K1969">
            <v>5</v>
          </cell>
        </row>
        <row r="1970">
          <cell r="C1970" t="str">
            <v>陳威諭</v>
          </cell>
          <cell r="F1970" t="str">
            <v>M250301C1</v>
          </cell>
          <cell r="J1970">
            <v>46149</v>
          </cell>
          <cell r="K1970">
            <v>2</v>
          </cell>
        </row>
        <row r="1971">
          <cell r="C1971" t="str">
            <v>陳威諭</v>
          </cell>
          <cell r="J1971">
            <v>46150</v>
          </cell>
          <cell r="K1971">
            <v>5</v>
          </cell>
        </row>
        <row r="1972">
          <cell r="C1972" t="str">
            <v>陳威諭</v>
          </cell>
          <cell r="F1972" t="str">
            <v>K251001R1</v>
          </cell>
          <cell r="J1972">
            <v>46150</v>
          </cell>
          <cell r="K1972">
            <v>2</v>
          </cell>
        </row>
        <row r="1973">
          <cell r="C1973" t="str">
            <v>陳威諭</v>
          </cell>
          <cell r="F1973" t="str">
            <v>M251001R1</v>
          </cell>
          <cell r="J1973">
            <v>46150</v>
          </cell>
          <cell r="K1973">
            <v>1</v>
          </cell>
        </row>
        <row r="1974">
          <cell r="C1974" t="str">
            <v>陳威諭</v>
          </cell>
          <cell r="F1974" t="str">
            <v>K251001R1</v>
          </cell>
          <cell r="J1974">
            <v>46153</v>
          </cell>
          <cell r="K1974">
            <v>2</v>
          </cell>
        </row>
        <row r="1975">
          <cell r="C1975" t="str">
            <v>陳威諭</v>
          </cell>
          <cell r="J1975">
            <v>46153</v>
          </cell>
          <cell r="K1975">
            <v>5</v>
          </cell>
        </row>
        <row r="1976">
          <cell r="C1976" t="str">
            <v>陳威諭</v>
          </cell>
          <cell r="F1976" t="str">
            <v>M251001R1</v>
          </cell>
          <cell r="J1976">
            <v>46153</v>
          </cell>
          <cell r="K1976">
            <v>1</v>
          </cell>
        </row>
        <row r="1977">
          <cell r="C1977" t="str">
            <v>陳威諭</v>
          </cell>
          <cell r="F1977" t="str">
            <v>M250301C1</v>
          </cell>
          <cell r="J1977">
            <v>46154</v>
          </cell>
          <cell r="K1977">
            <v>1</v>
          </cell>
        </row>
        <row r="1978">
          <cell r="C1978" t="str">
            <v>陳威諭</v>
          </cell>
          <cell r="F1978" t="str">
            <v>K251001R1</v>
          </cell>
          <cell r="J1978">
            <v>46154</v>
          </cell>
          <cell r="K1978">
            <v>2</v>
          </cell>
        </row>
        <row r="1979">
          <cell r="C1979" t="str">
            <v>陳威諭</v>
          </cell>
          <cell r="F1979" t="str">
            <v>M251001R1</v>
          </cell>
          <cell r="J1979">
            <v>46154</v>
          </cell>
          <cell r="K1979">
            <v>2</v>
          </cell>
        </row>
        <row r="1980">
          <cell r="C1980" t="str">
            <v>陳威諭</v>
          </cell>
          <cell r="J1980">
            <v>46154</v>
          </cell>
          <cell r="K1980">
            <v>3</v>
          </cell>
        </row>
        <row r="1981">
          <cell r="C1981" t="str">
            <v>陳威諭</v>
          </cell>
          <cell r="F1981" t="str">
            <v>M251001R1</v>
          </cell>
          <cell r="J1981">
            <v>46155</v>
          </cell>
          <cell r="K1981">
            <v>2</v>
          </cell>
        </row>
        <row r="1982">
          <cell r="C1982" t="str">
            <v>陳威諭</v>
          </cell>
          <cell r="F1982" t="str">
            <v>K251001R1</v>
          </cell>
          <cell r="J1982">
            <v>46155</v>
          </cell>
          <cell r="K1982">
            <v>2</v>
          </cell>
        </row>
        <row r="1983">
          <cell r="C1983" t="str">
            <v>陳威諭</v>
          </cell>
          <cell r="J1983">
            <v>46155</v>
          </cell>
          <cell r="K1983">
            <v>2</v>
          </cell>
        </row>
        <row r="1984">
          <cell r="C1984" t="str">
            <v>陳威諭</v>
          </cell>
          <cell r="F1984" t="str">
            <v>M250301C1</v>
          </cell>
          <cell r="J1984">
            <v>46155</v>
          </cell>
          <cell r="K1984">
            <v>2</v>
          </cell>
        </row>
        <row r="1985">
          <cell r="C1985" t="str">
            <v>陳威諭</v>
          </cell>
          <cell r="F1985" t="str">
            <v>M251001R1</v>
          </cell>
          <cell r="J1985">
            <v>46156</v>
          </cell>
          <cell r="K1985">
            <v>1</v>
          </cell>
        </row>
        <row r="1986">
          <cell r="C1986" t="str">
            <v>陳威諭</v>
          </cell>
          <cell r="F1986" t="str">
            <v>K251001R1</v>
          </cell>
          <cell r="J1986">
            <v>46156</v>
          </cell>
          <cell r="K1986">
            <v>2</v>
          </cell>
        </row>
        <row r="1987">
          <cell r="C1987" t="str">
            <v>陳威諭</v>
          </cell>
          <cell r="F1987" t="str">
            <v>M250301C1</v>
          </cell>
          <cell r="J1987">
            <v>46156</v>
          </cell>
          <cell r="K1987">
            <v>5</v>
          </cell>
        </row>
        <row r="1988">
          <cell r="C1988" t="str">
            <v>陳威諭</v>
          </cell>
          <cell r="J1988">
            <v>46157</v>
          </cell>
          <cell r="K1988">
            <v>4</v>
          </cell>
        </row>
        <row r="1989">
          <cell r="C1989" t="str">
            <v>陳威諭</v>
          </cell>
          <cell r="F1989" t="str">
            <v>M251001R1</v>
          </cell>
          <cell r="J1989">
            <v>46157</v>
          </cell>
          <cell r="K1989">
            <v>1</v>
          </cell>
        </row>
        <row r="1990">
          <cell r="C1990" t="str">
            <v>陳威諭</v>
          </cell>
          <cell r="F1990" t="str">
            <v>K251001R1</v>
          </cell>
          <cell r="J1990">
            <v>46157</v>
          </cell>
          <cell r="K1990">
            <v>1</v>
          </cell>
        </row>
        <row r="1991">
          <cell r="C1991" t="str">
            <v>陳威諭</v>
          </cell>
          <cell r="F1991" t="str">
            <v>M250301C1</v>
          </cell>
          <cell r="J1991">
            <v>46157</v>
          </cell>
          <cell r="K1991">
            <v>2</v>
          </cell>
        </row>
        <row r="1992">
          <cell r="C1992" t="str">
            <v>陳威諭</v>
          </cell>
          <cell r="F1992" t="str">
            <v>M251001R1</v>
          </cell>
          <cell r="J1992">
            <v>46160</v>
          </cell>
          <cell r="K1992">
            <v>1</v>
          </cell>
        </row>
        <row r="1993">
          <cell r="C1993" t="str">
            <v>陳威諭</v>
          </cell>
          <cell r="F1993" t="str">
            <v>K251001R1</v>
          </cell>
          <cell r="J1993">
            <v>46160</v>
          </cell>
          <cell r="K1993">
            <v>1</v>
          </cell>
        </row>
        <row r="1994">
          <cell r="C1994" t="str">
            <v>陳威諭</v>
          </cell>
          <cell r="J1994">
            <v>46160</v>
          </cell>
          <cell r="K1994">
            <v>4</v>
          </cell>
        </row>
        <row r="1995">
          <cell r="C1995" t="str">
            <v>陳威諭</v>
          </cell>
          <cell r="F1995" t="str">
            <v>M250301C1</v>
          </cell>
          <cell r="J1995">
            <v>46160</v>
          </cell>
          <cell r="K1995">
            <v>2</v>
          </cell>
        </row>
        <row r="1996">
          <cell r="C1996" t="str">
            <v>陳威諭</v>
          </cell>
          <cell r="J1996">
            <v>46161</v>
          </cell>
          <cell r="K1996">
            <v>3</v>
          </cell>
        </row>
        <row r="1997">
          <cell r="C1997" t="str">
            <v>陳威諭</v>
          </cell>
          <cell r="F1997" t="str">
            <v>K251001R1</v>
          </cell>
          <cell r="J1997">
            <v>46161</v>
          </cell>
          <cell r="K1997">
            <v>3</v>
          </cell>
        </row>
        <row r="1998">
          <cell r="C1998" t="str">
            <v>陳威諭</v>
          </cell>
          <cell r="F1998" t="str">
            <v>M251001R1</v>
          </cell>
          <cell r="J1998">
            <v>46161</v>
          </cell>
          <cell r="K1998">
            <v>1</v>
          </cell>
        </row>
        <row r="1999">
          <cell r="C1999" t="str">
            <v>陳威諭</v>
          </cell>
          <cell r="F1999" t="str">
            <v>M250301C1</v>
          </cell>
          <cell r="J1999">
            <v>46161</v>
          </cell>
          <cell r="K1999">
            <v>1</v>
          </cell>
        </row>
        <row r="2000">
          <cell r="C2000" t="str">
            <v>陳威諭</v>
          </cell>
          <cell r="F2000" t="str">
            <v>K251001R1</v>
          </cell>
          <cell r="J2000">
            <v>46162</v>
          </cell>
          <cell r="K2000">
            <v>4</v>
          </cell>
        </row>
        <row r="2001">
          <cell r="C2001" t="str">
            <v>陳威諭</v>
          </cell>
          <cell r="F2001" t="str">
            <v>M250301C1</v>
          </cell>
          <cell r="J2001">
            <v>46162</v>
          </cell>
          <cell r="K2001">
            <v>1</v>
          </cell>
        </row>
        <row r="2002">
          <cell r="C2002" t="str">
            <v>陳威諭</v>
          </cell>
          <cell r="F2002" t="str">
            <v>M251001R1</v>
          </cell>
          <cell r="J2002">
            <v>46162</v>
          </cell>
          <cell r="K2002">
            <v>1</v>
          </cell>
        </row>
        <row r="2003">
          <cell r="C2003" t="str">
            <v>陳威諭</v>
          </cell>
          <cell r="J2003">
            <v>46162</v>
          </cell>
          <cell r="K2003">
            <v>2</v>
          </cell>
        </row>
        <row r="2004">
          <cell r="C2004" t="str">
            <v>張良琪</v>
          </cell>
          <cell r="F2004" t="str">
            <v>M230901R1</v>
          </cell>
          <cell r="J2004">
            <v>45471</v>
          </cell>
          <cell r="K2004">
            <v>15.8</v>
          </cell>
        </row>
        <row r="2005">
          <cell r="C2005" t="str">
            <v>張良琪</v>
          </cell>
          <cell r="F2005" t="str">
            <v>K231101R1</v>
          </cell>
          <cell r="J2005">
            <v>45471</v>
          </cell>
          <cell r="K2005">
            <v>79</v>
          </cell>
        </row>
        <row r="2006">
          <cell r="C2006" t="str">
            <v>張良琪</v>
          </cell>
          <cell r="J2006">
            <v>45471</v>
          </cell>
          <cell r="K2006">
            <v>94.8</v>
          </cell>
        </row>
        <row r="2007">
          <cell r="C2007" t="str">
            <v>張良琪</v>
          </cell>
          <cell r="J2007">
            <v>45504</v>
          </cell>
          <cell r="K2007">
            <v>65.7</v>
          </cell>
        </row>
        <row r="2008">
          <cell r="C2008" t="str">
            <v>張良琪</v>
          </cell>
          <cell r="F2008" t="str">
            <v>M230901R1</v>
          </cell>
          <cell r="J2008">
            <v>45504</v>
          </cell>
          <cell r="K2008">
            <v>32.9</v>
          </cell>
        </row>
        <row r="2009">
          <cell r="C2009" t="str">
            <v>張良琪</v>
          </cell>
          <cell r="F2009" t="str">
            <v>K231101R1</v>
          </cell>
          <cell r="J2009">
            <v>45504</v>
          </cell>
          <cell r="K2009">
            <v>65.7</v>
          </cell>
        </row>
        <row r="2010">
          <cell r="C2010" t="str">
            <v>張良琪</v>
          </cell>
          <cell r="J2010">
            <v>45534</v>
          </cell>
          <cell r="K2010">
            <v>30.3</v>
          </cell>
        </row>
        <row r="2011">
          <cell r="C2011" t="str">
            <v>張良琪</v>
          </cell>
          <cell r="F2011" t="str">
            <v>K240801R1</v>
          </cell>
          <cell r="J2011">
            <v>45534</v>
          </cell>
          <cell r="K2011">
            <v>45.4</v>
          </cell>
        </row>
        <row r="2012">
          <cell r="C2012" t="str">
            <v>張良琪</v>
          </cell>
          <cell r="F2012" t="str">
            <v>M240801R1</v>
          </cell>
          <cell r="J2012">
            <v>45534</v>
          </cell>
          <cell r="K2012">
            <v>45.4</v>
          </cell>
        </row>
        <row r="2013">
          <cell r="C2013" t="str">
            <v>張良琪</v>
          </cell>
          <cell r="F2013" t="str">
            <v>M240801R1</v>
          </cell>
          <cell r="J2013">
            <v>45534</v>
          </cell>
          <cell r="K2013">
            <v>15.1</v>
          </cell>
        </row>
        <row r="2014">
          <cell r="C2014" t="str">
            <v>張良琪</v>
          </cell>
          <cell r="F2014" t="str">
            <v>M230901R1</v>
          </cell>
          <cell r="J2014">
            <v>45534</v>
          </cell>
          <cell r="K2014">
            <v>15.1</v>
          </cell>
        </row>
        <row r="2015">
          <cell r="C2015" t="str">
            <v>張良琪</v>
          </cell>
          <cell r="F2015" t="str">
            <v>M240701C1</v>
          </cell>
          <cell r="J2015">
            <v>45562</v>
          </cell>
          <cell r="K2015">
            <v>8.5</v>
          </cell>
        </row>
        <row r="2016">
          <cell r="C2016" t="str">
            <v>張良琪</v>
          </cell>
          <cell r="F2016" t="str">
            <v>K231101R1</v>
          </cell>
          <cell r="J2016">
            <v>45562</v>
          </cell>
          <cell r="K2016">
            <v>34.1</v>
          </cell>
        </row>
        <row r="2017">
          <cell r="C2017" t="str">
            <v>張良琪</v>
          </cell>
          <cell r="F2017" t="str">
            <v>M240801R1</v>
          </cell>
          <cell r="J2017">
            <v>45562</v>
          </cell>
          <cell r="K2017">
            <v>8.5</v>
          </cell>
        </row>
        <row r="2018">
          <cell r="C2018" t="str">
            <v>張良琪</v>
          </cell>
          <cell r="F2018" t="str">
            <v>M230901R1</v>
          </cell>
          <cell r="J2018">
            <v>45562</v>
          </cell>
          <cell r="K2018">
            <v>17</v>
          </cell>
        </row>
        <row r="2019">
          <cell r="C2019" t="str">
            <v>張良琪</v>
          </cell>
          <cell r="J2019">
            <v>45562</v>
          </cell>
          <cell r="K2019">
            <v>34.1</v>
          </cell>
        </row>
        <row r="2020">
          <cell r="C2020" t="str">
            <v>張良琪</v>
          </cell>
          <cell r="F2020" t="str">
            <v>K240801R1</v>
          </cell>
          <cell r="J2020">
            <v>45562</v>
          </cell>
          <cell r="K2020">
            <v>68.099999999999994</v>
          </cell>
        </row>
        <row r="2021">
          <cell r="C2021" t="str">
            <v>張良琪</v>
          </cell>
          <cell r="J2021">
            <v>45596</v>
          </cell>
          <cell r="K2021">
            <v>42.3</v>
          </cell>
        </row>
        <row r="2022">
          <cell r="C2022" t="str">
            <v>張良琪</v>
          </cell>
          <cell r="F2022" t="str">
            <v>M241001R1</v>
          </cell>
          <cell r="J2022">
            <v>45596</v>
          </cell>
          <cell r="K2022">
            <v>28.2</v>
          </cell>
        </row>
        <row r="2023">
          <cell r="C2023" t="str">
            <v>張良琪</v>
          </cell>
          <cell r="F2023" t="str">
            <v>M240801R1</v>
          </cell>
          <cell r="J2023">
            <v>45596</v>
          </cell>
          <cell r="K2023">
            <v>14.1</v>
          </cell>
        </row>
        <row r="2024">
          <cell r="C2024" t="str">
            <v>張良琪</v>
          </cell>
          <cell r="F2024" t="str">
            <v>K240801R1</v>
          </cell>
          <cell r="J2024">
            <v>45596</v>
          </cell>
          <cell r="K2024">
            <v>56.4</v>
          </cell>
        </row>
        <row r="2025">
          <cell r="C2025" t="str">
            <v>張良琪</v>
          </cell>
          <cell r="F2025" t="str">
            <v>M241001R1</v>
          </cell>
          <cell r="J2025">
            <v>45625</v>
          </cell>
          <cell r="K2025">
            <v>48</v>
          </cell>
        </row>
        <row r="2026">
          <cell r="C2026" t="str">
            <v>張良琪</v>
          </cell>
          <cell r="J2026">
            <v>45625</v>
          </cell>
          <cell r="K2026">
            <v>96</v>
          </cell>
        </row>
        <row r="2027">
          <cell r="C2027" t="str">
            <v>張良琪</v>
          </cell>
          <cell r="F2027" t="str">
            <v>M240701C1</v>
          </cell>
          <cell r="J2027">
            <v>45625</v>
          </cell>
          <cell r="K2027">
            <v>8</v>
          </cell>
        </row>
        <row r="2028">
          <cell r="C2028" t="str">
            <v>張良琪</v>
          </cell>
          <cell r="F2028" t="str">
            <v>M240801R1</v>
          </cell>
          <cell r="J2028">
            <v>45625</v>
          </cell>
          <cell r="K2028">
            <v>8</v>
          </cell>
        </row>
        <row r="2029">
          <cell r="C2029" t="str">
            <v>張良琪</v>
          </cell>
          <cell r="J2029">
            <v>45657</v>
          </cell>
          <cell r="K2029">
            <v>96</v>
          </cell>
        </row>
        <row r="2030">
          <cell r="C2030" t="str">
            <v>張良琪</v>
          </cell>
          <cell r="F2030" t="str">
            <v>K240801R2</v>
          </cell>
          <cell r="J2030">
            <v>45657</v>
          </cell>
          <cell r="K2030">
            <v>8</v>
          </cell>
        </row>
        <row r="2031">
          <cell r="C2031" t="str">
            <v>張良琪</v>
          </cell>
          <cell r="F2031" t="str">
            <v>M241001R1</v>
          </cell>
          <cell r="J2031">
            <v>45657</v>
          </cell>
          <cell r="K2031">
            <v>48</v>
          </cell>
        </row>
        <row r="2032">
          <cell r="C2032" t="str">
            <v>張良琪</v>
          </cell>
          <cell r="F2032" t="str">
            <v>K241201R1</v>
          </cell>
          <cell r="J2032">
            <v>45657</v>
          </cell>
          <cell r="K2032">
            <v>8</v>
          </cell>
        </row>
        <row r="2033">
          <cell r="C2033" t="str">
            <v>張良琪</v>
          </cell>
          <cell r="F2033" t="str">
            <v>E250102I1</v>
          </cell>
          <cell r="J2033">
            <v>45681</v>
          </cell>
          <cell r="K2033">
            <v>7.3</v>
          </cell>
        </row>
        <row r="2034">
          <cell r="C2034" t="str">
            <v>張良琪</v>
          </cell>
          <cell r="J2034">
            <v>45681</v>
          </cell>
          <cell r="K2034">
            <v>51.1</v>
          </cell>
        </row>
        <row r="2035">
          <cell r="C2035" t="str">
            <v>張良琪</v>
          </cell>
          <cell r="F2035" t="str">
            <v>M241001R1</v>
          </cell>
          <cell r="J2035">
            <v>45681</v>
          </cell>
          <cell r="K2035">
            <v>7.3</v>
          </cell>
        </row>
        <row r="2036">
          <cell r="C2036" t="str">
            <v>張良琪</v>
          </cell>
          <cell r="F2036" t="str">
            <v>K240801R2</v>
          </cell>
          <cell r="J2036">
            <v>45681</v>
          </cell>
          <cell r="K2036">
            <v>29.2</v>
          </cell>
        </row>
        <row r="2037">
          <cell r="C2037" t="str">
            <v>張良琪</v>
          </cell>
          <cell r="F2037" t="str">
            <v>K241201R1</v>
          </cell>
          <cell r="J2037">
            <v>45681</v>
          </cell>
          <cell r="K2037">
            <v>29.2</v>
          </cell>
        </row>
        <row r="2038">
          <cell r="C2038" t="str">
            <v>張良琪</v>
          </cell>
          <cell r="F2038" t="str">
            <v>K201002P2</v>
          </cell>
          <cell r="J2038">
            <v>45681</v>
          </cell>
          <cell r="K2038">
            <v>7.3</v>
          </cell>
        </row>
        <row r="2039">
          <cell r="C2039" t="str">
            <v>張良琪</v>
          </cell>
          <cell r="F2039" t="str">
            <v>K231101P1</v>
          </cell>
          <cell r="J2039">
            <v>45681</v>
          </cell>
          <cell r="K2039">
            <v>14.6</v>
          </cell>
        </row>
        <row r="2040">
          <cell r="C2040" t="str">
            <v>張良琪</v>
          </cell>
          <cell r="J2040">
            <v>45715</v>
          </cell>
          <cell r="K2040">
            <v>65.8</v>
          </cell>
        </row>
        <row r="2041">
          <cell r="C2041" t="str">
            <v>張良琪</v>
          </cell>
          <cell r="F2041" t="str">
            <v>K201002P2</v>
          </cell>
          <cell r="J2041">
            <v>45715</v>
          </cell>
          <cell r="K2041">
            <v>9.4</v>
          </cell>
        </row>
        <row r="2042">
          <cell r="C2042" t="str">
            <v>張良琪</v>
          </cell>
          <cell r="F2042" t="str">
            <v>M241001R1</v>
          </cell>
          <cell r="J2042">
            <v>45715</v>
          </cell>
          <cell r="K2042">
            <v>18.8</v>
          </cell>
        </row>
        <row r="2043">
          <cell r="C2043" t="str">
            <v>張良琪</v>
          </cell>
          <cell r="F2043" t="str">
            <v>K231101P1</v>
          </cell>
          <cell r="J2043">
            <v>45715</v>
          </cell>
          <cell r="K2043">
            <v>37.6</v>
          </cell>
        </row>
        <row r="2044">
          <cell r="C2044" t="str">
            <v>張良琪</v>
          </cell>
          <cell r="F2044" t="str">
            <v>K240801R2</v>
          </cell>
          <cell r="J2044">
            <v>45715</v>
          </cell>
          <cell r="K2044">
            <v>37.6</v>
          </cell>
        </row>
        <row r="2045">
          <cell r="C2045" t="str">
            <v>張良琪</v>
          </cell>
          <cell r="F2045" t="str">
            <v>K241201R1</v>
          </cell>
          <cell r="J2045">
            <v>45715</v>
          </cell>
          <cell r="K2045">
            <v>18.8</v>
          </cell>
        </row>
        <row r="2046">
          <cell r="C2046" t="str">
            <v>張良琪</v>
          </cell>
          <cell r="F2046" t="str">
            <v>K240801R2</v>
          </cell>
          <cell r="J2046">
            <v>45747</v>
          </cell>
          <cell r="K2046">
            <v>18.3</v>
          </cell>
        </row>
        <row r="2047">
          <cell r="C2047" t="str">
            <v>張良琪</v>
          </cell>
          <cell r="J2047">
            <v>45747</v>
          </cell>
          <cell r="K2047">
            <v>64.2</v>
          </cell>
        </row>
        <row r="2048">
          <cell r="C2048" t="str">
            <v>張良琪</v>
          </cell>
          <cell r="F2048" t="str">
            <v>K231101P1</v>
          </cell>
          <cell r="J2048">
            <v>45747</v>
          </cell>
          <cell r="K2048">
            <v>73.3</v>
          </cell>
        </row>
        <row r="2049">
          <cell r="C2049" t="str">
            <v>張良琪</v>
          </cell>
          <cell r="F2049" t="str">
            <v>M241001R1</v>
          </cell>
          <cell r="J2049">
            <v>45747</v>
          </cell>
          <cell r="K2049">
            <v>9.1999999999999993</v>
          </cell>
        </row>
        <row r="2050">
          <cell r="C2050" t="str">
            <v>張良琪</v>
          </cell>
          <cell r="F2050" t="str">
            <v>K241201R1</v>
          </cell>
          <cell r="J2050">
            <v>45747</v>
          </cell>
          <cell r="K2050">
            <v>18.3</v>
          </cell>
        </row>
        <row r="2051">
          <cell r="C2051" t="str">
            <v>張良琪</v>
          </cell>
          <cell r="F2051" t="str">
            <v>K240801R2</v>
          </cell>
          <cell r="J2051">
            <v>45777</v>
          </cell>
          <cell r="K2051">
            <v>8.6999999999999993</v>
          </cell>
        </row>
        <row r="2052">
          <cell r="C2052" t="str">
            <v>張良琪</v>
          </cell>
          <cell r="F2052" t="str">
            <v>K231101P1</v>
          </cell>
          <cell r="J2052">
            <v>45777</v>
          </cell>
          <cell r="K2052">
            <v>69.3</v>
          </cell>
        </row>
        <row r="2053">
          <cell r="C2053" t="str">
            <v>張良琪</v>
          </cell>
          <cell r="F2053" t="str">
            <v>K241201R1</v>
          </cell>
          <cell r="J2053">
            <v>45777</v>
          </cell>
          <cell r="K2053">
            <v>8.6999999999999993</v>
          </cell>
        </row>
        <row r="2054">
          <cell r="C2054" t="str">
            <v>張良琪</v>
          </cell>
          <cell r="F2054" t="str">
            <v>E250102I1</v>
          </cell>
          <cell r="J2054">
            <v>45777</v>
          </cell>
          <cell r="K2054">
            <v>8.6999999999999993</v>
          </cell>
        </row>
        <row r="2055">
          <cell r="C2055" t="str">
            <v>張良琪</v>
          </cell>
          <cell r="F2055" t="str">
            <v>K201002P2</v>
          </cell>
          <cell r="J2055">
            <v>45777</v>
          </cell>
          <cell r="K2055">
            <v>17.3</v>
          </cell>
        </row>
        <row r="2056">
          <cell r="C2056" t="str">
            <v>張良琪</v>
          </cell>
          <cell r="J2056">
            <v>45777</v>
          </cell>
          <cell r="K2056">
            <v>60.7</v>
          </cell>
        </row>
        <row r="2057">
          <cell r="C2057" t="str">
            <v>張良琪</v>
          </cell>
          <cell r="F2057" t="str">
            <v>K231101P1</v>
          </cell>
          <cell r="J2057">
            <v>45806</v>
          </cell>
          <cell r="K2057">
            <v>35.200000000000003</v>
          </cell>
        </row>
        <row r="2058">
          <cell r="C2058" t="str">
            <v>張良琪</v>
          </cell>
          <cell r="F2058" t="str">
            <v>K201002P2</v>
          </cell>
          <cell r="J2058">
            <v>45806</v>
          </cell>
          <cell r="K2058">
            <v>17.600000000000001</v>
          </cell>
        </row>
        <row r="2059">
          <cell r="C2059" t="str">
            <v>張良琪</v>
          </cell>
          <cell r="F2059" t="str">
            <v>K240801R2</v>
          </cell>
          <cell r="J2059">
            <v>45806</v>
          </cell>
          <cell r="K2059">
            <v>17.600000000000001</v>
          </cell>
        </row>
        <row r="2060">
          <cell r="C2060" t="str">
            <v>張良琪</v>
          </cell>
          <cell r="F2060" t="str">
            <v>K241201R1</v>
          </cell>
          <cell r="J2060">
            <v>45806</v>
          </cell>
          <cell r="K2060">
            <v>8.8000000000000007</v>
          </cell>
        </row>
        <row r="2061">
          <cell r="C2061" t="str">
            <v>張良琪</v>
          </cell>
          <cell r="J2061">
            <v>45806</v>
          </cell>
          <cell r="K2061">
            <v>61.6</v>
          </cell>
        </row>
        <row r="2062">
          <cell r="C2062" t="str">
            <v>張良琪</v>
          </cell>
          <cell r="F2062" t="str">
            <v>E250102I1</v>
          </cell>
          <cell r="J2062">
            <v>45806</v>
          </cell>
          <cell r="K2062">
            <v>35.200000000000003</v>
          </cell>
        </row>
        <row r="2063">
          <cell r="C2063" t="str">
            <v>張良琪</v>
          </cell>
          <cell r="J2063">
            <v>45838</v>
          </cell>
          <cell r="K2063">
            <v>51.3</v>
          </cell>
        </row>
        <row r="2064">
          <cell r="C2064" t="str">
            <v>張良琪</v>
          </cell>
          <cell r="F2064" t="str">
            <v>K240801R2</v>
          </cell>
          <cell r="J2064">
            <v>45838</v>
          </cell>
          <cell r="K2064">
            <v>17.100000000000001</v>
          </cell>
        </row>
        <row r="2065">
          <cell r="C2065" t="str">
            <v>張良琪</v>
          </cell>
          <cell r="F2065" t="str">
            <v>K201002P2</v>
          </cell>
          <cell r="J2065">
            <v>45838</v>
          </cell>
          <cell r="K2065">
            <v>17.100000000000001</v>
          </cell>
        </row>
        <row r="2066">
          <cell r="C2066" t="str">
            <v>張良琪</v>
          </cell>
          <cell r="F2066" t="str">
            <v>K231101P1</v>
          </cell>
          <cell r="J2066">
            <v>45838</v>
          </cell>
          <cell r="K2066">
            <v>85.5</v>
          </cell>
        </row>
        <row r="2067">
          <cell r="C2067" t="str">
            <v>張良琪</v>
          </cell>
          <cell r="F2067" t="str">
            <v>E250102I1</v>
          </cell>
          <cell r="J2067">
            <v>45869</v>
          </cell>
          <cell r="K2067">
            <v>18.600000000000001</v>
          </cell>
        </row>
        <row r="2068">
          <cell r="C2068" t="str">
            <v>張良琪</v>
          </cell>
          <cell r="F2068" t="str">
            <v>K231101P1</v>
          </cell>
          <cell r="J2068">
            <v>45869</v>
          </cell>
          <cell r="K2068">
            <v>74.400000000000006</v>
          </cell>
        </row>
        <row r="2069">
          <cell r="C2069" t="str">
            <v>張良琪</v>
          </cell>
          <cell r="J2069">
            <v>45869</v>
          </cell>
          <cell r="K2069">
            <v>55.8</v>
          </cell>
        </row>
        <row r="2070">
          <cell r="C2070" t="str">
            <v>張良琪</v>
          </cell>
          <cell r="F2070" t="str">
            <v>K240801R2</v>
          </cell>
          <cell r="J2070">
            <v>45869</v>
          </cell>
          <cell r="K2070">
            <v>37.200000000000003</v>
          </cell>
        </row>
        <row r="2071">
          <cell r="C2071" t="str">
            <v>張良琪</v>
          </cell>
          <cell r="F2071" t="str">
            <v>K240801R2</v>
          </cell>
          <cell r="J2071">
            <v>45898</v>
          </cell>
          <cell r="K2071">
            <v>16</v>
          </cell>
        </row>
        <row r="2072">
          <cell r="C2072" t="str">
            <v>張良琪</v>
          </cell>
          <cell r="F2072" t="str">
            <v>K231101P1</v>
          </cell>
          <cell r="J2072">
            <v>45898</v>
          </cell>
          <cell r="K2072">
            <v>80.2</v>
          </cell>
        </row>
        <row r="2073">
          <cell r="C2073" t="str">
            <v>張良琪</v>
          </cell>
          <cell r="F2073" t="str">
            <v>M241001R1</v>
          </cell>
          <cell r="J2073">
            <v>45898</v>
          </cell>
          <cell r="K2073">
            <v>8</v>
          </cell>
        </row>
        <row r="2074">
          <cell r="C2074" t="str">
            <v>張良琪</v>
          </cell>
          <cell r="J2074">
            <v>45898</v>
          </cell>
          <cell r="K2074">
            <v>56.1</v>
          </cell>
        </row>
        <row r="2075">
          <cell r="C2075" t="str">
            <v>張良琪</v>
          </cell>
          <cell r="F2075" t="str">
            <v>K201002P2</v>
          </cell>
          <cell r="J2075">
            <v>45930</v>
          </cell>
          <cell r="K2075">
            <v>17</v>
          </cell>
        </row>
        <row r="2076">
          <cell r="C2076" t="str">
            <v>張良琪</v>
          </cell>
          <cell r="F2076" t="str">
            <v>K240801R2</v>
          </cell>
          <cell r="J2076">
            <v>45930</v>
          </cell>
          <cell r="K2076">
            <v>17</v>
          </cell>
        </row>
        <row r="2077">
          <cell r="C2077" t="str">
            <v>張良琪</v>
          </cell>
          <cell r="J2077">
            <v>45930</v>
          </cell>
          <cell r="K2077">
            <v>51.1</v>
          </cell>
        </row>
        <row r="2078">
          <cell r="C2078" t="str">
            <v>張良琪</v>
          </cell>
          <cell r="F2078" t="str">
            <v>K231101P1</v>
          </cell>
          <cell r="J2078">
            <v>45930</v>
          </cell>
          <cell r="K2078">
            <v>85.2</v>
          </cell>
        </row>
        <row r="2079">
          <cell r="C2079" t="str">
            <v>張良琪</v>
          </cell>
          <cell r="J2079">
            <v>45961</v>
          </cell>
          <cell r="K2079">
            <v>49.6</v>
          </cell>
        </row>
        <row r="2080">
          <cell r="C2080" t="str">
            <v>張良琪</v>
          </cell>
          <cell r="F2080" t="str">
            <v>K240801R2</v>
          </cell>
          <cell r="J2080">
            <v>45961</v>
          </cell>
          <cell r="K2080">
            <v>24.8</v>
          </cell>
        </row>
        <row r="2081">
          <cell r="C2081" t="str">
            <v>張良琪</v>
          </cell>
          <cell r="F2081" t="str">
            <v>D250802R1</v>
          </cell>
          <cell r="J2081">
            <v>45961</v>
          </cell>
          <cell r="K2081">
            <v>8.3000000000000007</v>
          </cell>
        </row>
        <row r="2082">
          <cell r="C2082" t="str">
            <v>張良琪</v>
          </cell>
          <cell r="F2082" t="str">
            <v>K231101P1</v>
          </cell>
          <cell r="J2082">
            <v>45961</v>
          </cell>
          <cell r="K2082">
            <v>82.7</v>
          </cell>
        </row>
        <row r="2083">
          <cell r="C2083" t="str">
            <v>張良琪</v>
          </cell>
          <cell r="J2083">
            <v>45989</v>
          </cell>
          <cell r="K2083">
            <v>31.2</v>
          </cell>
        </row>
        <row r="2084">
          <cell r="C2084" t="str">
            <v>張良琪</v>
          </cell>
          <cell r="F2084" t="str">
            <v>K240801R2</v>
          </cell>
          <cell r="J2084">
            <v>45989</v>
          </cell>
          <cell r="K2084">
            <v>23.4</v>
          </cell>
        </row>
        <row r="2085">
          <cell r="C2085" t="str">
            <v>張良琪</v>
          </cell>
          <cell r="F2085" t="str">
            <v>K231101P1</v>
          </cell>
          <cell r="J2085">
            <v>45989</v>
          </cell>
          <cell r="K2085">
            <v>78</v>
          </cell>
        </row>
        <row r="2086">
          <cell r="C2086" t="str">
            <v>張良琪</v>
          </cell>
          <cell r="F2086" t="str">
            <v>E251002I1</v>
          </cell>
          <cell r="J2086">
            <v>45989</v>
          </cell>
          <cell r="K2086">
            <v>15.6</v>
          </cell>
        </row>
        <row r="2087">
          <cell r="C2087" t="str">
            <v>張良琪</v>
          </cell>
          <cell r="F2087" t="str">
            <v>D250802R1</v>
          </cell>
          <cell r="J2087">
            <v>45989</v>
          </cell>
          <cell r="K2087">
            <v>7.8</v>
          </cell>
        </row>
        <row r="2088">
          <cell r="C2088" t="str">
            <v>張良琪</v>
          </cell>
          <cell r="F2088" t="str">
            <v>K201002P2</v>
          </cell>
          <cell r="J2088">
            <v>46022</v>
          </cell>
          <cell r="K2088">
            <v>7.6</v>
          </cell>
        </row>
        <row r="2089">
          <cell r="C2089" t="str">
            <v>張良琪</v>
          </cell>
          <cell r="J2089">
            <v>46022</v>
          </cell>
          <cell r="K2089">
            <v>45.3</v>
          </cell>
        </row>
        <row r="2090">
          <cell r="C2090" t="str">
            <v>張良琪</v>
          </cell>
          <cell r="F2090" t="str">
            <v>K240801R2</v>
          </cell>
          <cell r="J2090">
            <v>46022</v>
          </cell>
          <cell r="K2090">
            <v>15.1</v>
          </cell>
        </row>
        <row r="2091">
          <cell r="C2091" t="str">
            <v>張良琪</v>
          </cell>
          <cell r="F2091" t="str">
            <v>K231101P1</v>
          </cell>
          <cell r="J2091">
            <v>46022</v>
          </cell>
          <cell r="K2091">
            <v>60.4</v>
          </cell>
        </row>
        <row r="2092">
          <cell r="C2092" t="str">
            <v>張良琪</v>
          </cell>
          <cell r="F2092" t="str">
            <v>E251002I1</v>
          </cell>
          <cell r="J2092">
            <v>46022</v>
          </cell>
          <cell r="K2092">
            <v>7.6</v>
          </cell>
        </row>
        <row r="2093">
          <cell r="C2093" t="str">
            <v>張良琪</v>
          </cell>
          <cell r="F2093" t="str">
            <v>D250702R1</v>
          </cell>
          <cell r="J2093">
            <v>46022</v>
          </cell>
          <cell r="K2093">
            <v>7.6</v>
          </cell>
        </row>
        <row r="2094">
          <cell r="C2094" t="str">
            <v>張良琪</v>
          </cell>
          <cell r="F2094" t="str">
            <v>D250802R1</v>
          </cell>
          <cell r="J2094">
            <v>46022</v>
          </cell>
          <cell r="K2094">
            <v>7.6</v>
          </cell>
        </row>
        <row r="2095">
          <cell r="C2095" t="str">
            <v>張良琪</v>
          </cell>
          <cell r="F2095" t="str">
            <v>K240801R2</v>
          </cell>
          <cell r="J2095">
            <v>46052</v>
          </cell>
          <cell r="K2095">
            <v>16</v>
          </cell>
        </row>
        <row r="2096">
          <cell r="C2096" t="str">
            <v>張良琪</v>
          </cell>
          <cell r="F2096" t="str">
            <v>K231101P1</v>
          </cell>
          <cell r="J2096">
            <v>46052</v>
          </cell>
          <cell r="K2096">
            <v>64</v>
          </cell>
        </row>
        <row r="2097">
          <cell r="C2097" t="str">
            <v>張良琪</v>
          </cell>
          <cell r="F2097" t="str">
            <v>E251002I1</v>
          </cell>
          <cell r="J2097">
            <v>46052</v>
          </cell>
          <cell r="K2097">
            <v>16</v>
          </cell>
        </row>
        <row r="2098">
          <cell r="C2098" t="str">
            <v>張良琪</v>
          </cell>
          <cell r="F2098" t="str">
            <v>K201002P2</v>
          </cell>
          <cell r="J2098">
            <v>46052</v>
          </cell>
          <cell r="K2098">
            <v>16</v>
          </cell>
        </row>
        <row r="2099">
          <cell r="C2099" t="str">
            <v>張良琪</v>
          </cell>
          <cell r="J2099">
            <v>46052</v>
          </cell>
          <cell r="K2099">
            <v>48</v>
          </cell>
        </row>
        <row r="2100">
          <cell r="C2100" t="str">
            <v>張良琪</v>
          </cell>
          <cell r="F2100" t="str">
            <v>K240801R2</v>
          </cell>
          <cell r="J2100">
            <v>46079</v>
          </cell>
          <cell r="K2100">
            <v>10.8</v>
          </cell>
        </row>
        <row r="2101">
          <cell r="C2101" t="str">
            <v>張良琪</v>
          </cell>
          <cell r="F2101" t="str">
            <v>E251002I1</v>
          </cell>
          <cell r="J2101">
            <v>46079</v>
          </cell>
          <cell r="K2101">
            <v>10.8</v>
          </cell>
        </row>
        <row r="2102">
          <cell r="C2102" t="str">
            <v>張良琪</v>
          </cell>
          <cell r="J2102">
            <v>46079</v>
          </cell>
          <cell r="K2102">
            <v>32.4</v>
          </cell>
        </row>
        <row r="2103">
          <cell r="C2103" t="str">
            <v>張良琪</v>
          </cell>
          <cell r="F2103" t="str">
            <v>K231101P1</v>
          </cell>
          <cell r="J2103">
            <v>46079</v>
          </cell>
          <cell r="K2103">
            <v>43.2</v>
          </cell>
        </row>
        <row r="2104">
          <cell r="C2104" t="str">
            <v>張良琪</v>
          </cell>
          <cell r="F2104" t="str">
            <v>K201002P2</v>
          </cell>
          <cell r="J2104">
            <v>46079</v>
          </cell>
          <cell r="K2104">
            <v>10.8</v>
          </cell>
        </row>
        <row r="2105">
          <cell r="C2105" t="str">
            <v>張良琪</v>
          </cell>
          <cell r="F2105" t="str">
            <v>E251002I1</v>
          </cell>
          <cell r="J2105">
            <v>46112</v>
          </cell>
          <cell r="K2105">
            <v>17.2</v>
          </cell>
        </row>
        <row r="2106">
          <cell r="C2106" t="str">
            <v>張良琪</v>
          </cell>
          <cell r="J2106">
            <v>46112</v>
          </cell>
          <cell r="K2106">
            <v>51.6</v>
          </cell>
        </row>
        <row r="2107">
          <cell r="C2107" t="str">
            <v>張良琪</v>
          </cell>
          <cell r="F2107" t="str">
            <v>K201002P2</v>
          </cell>
          <cell r="J2107">
            <v>46112</v>
          </cell>
          <cell r="K2107">
            <v>17.2</v>
          </cell>
        </row>
        <row r="2108">
          <cell r="C2108" t="str">
            <v>張良琪</v>
          </cell>
          <cell r="F2108" t="str">
            <v>K240801R2</v>
          </cell>
          <cell r="J2108">
            <v>46112</v>
          </cell>
          <cell r="K2108">
            <v>17.2</v>
          </cell>
        </row>
        <row r="2109">
          <cell r="C2109" t="str">
            <v>張良琪</v>
          </cell>
          <cell r="F2109" t="str">
            <v>K231101P1</v>
          </cell>
          <cell r="J2109">
            <v>46112</v>
          </cell>
          <cell r="K2109">
            <v>68.8</v>
          </cell>
        </row>
        <row r="2110">
          <cell r="C2110" t="str">
            <v>張良琪</v>
          </cell>
          <cell r="F2110" t="str">
            <v>K201002P2</v>
          </cell>
          <cell r="J2110">
            <v>46142</v>
          </cell>
          <cell r="K2110">
            <v>30.4</v>
          </cell>
        </row>
        <row r="2111">
          <cell r="C2111" t="str">
            <v>張良琪</v>
          </cell>
          <cell r="F2111" t="str">
            <v>E251002I1</v>
          </cell>
          <cell r="J2111">
            <v>46142</v>
          </cell>
          <cell r="K2111">
            <v>15.2</v>
          </cell>
        </row>
        <row r="2112">
          <cell r="C2112" t="str">
            <v>張良琪</v>
          </cell>
          <cell r="F2112" t="str">
            <v>K240801R2</v>
          </cell>
          <cell r="J2112">
            <v>46142</v>
          </cell>
          <cell r="K2112">
            <v>30.4</v>
          </cell>
        </row>
        <row r="2113">
          <cell r="C2113" t="str">
            <v>張良琪</v>
          </cell>
          <cell r="J2113">
            <v>46142</v>
          </cell>
          <cell r="K2113">
            <v>30.4</v>
          </cell>
        </row>
        <row r="2114">
          <cell r="C2114" t="str">
            <v>張良琪</v>
          </cell>
          <cell r="F2114" t="str">
            <v>K231101P1</v>
          </cell>
          <cell r="J2114">
            <v>46142</v>
          </cell>
          <cell r="K2114">
            <v>45.6</v>
          </cell>
        </row>
        <row r="2115">
          <cell r="C2115" t="str">
            <v>張良琪</v>
          </cell>
          <cell r="J2115">
            <v>46146</v>
          </cell>
          <cell r="K2115">
            <v>2.5</v>
          </cell>
        </row>
        <row r="2116">
          <cell r="C2116" t="str">
            <v>張良琪</v>
          </cell>
          <cell r="F2116" t="str">
            <v>D260403R1</v>
          </cell>
          <cell r="J2116">
            <v>46146</v>
          </cell>
          <cell r="K2116">
            <v>6</v>
          </cell>
        </row>
        <row r="2117">
          <cell r="C2117" t="str">
            <v>張良琪</v>
          </cell>
          <cell r="F2117" t="str">
            <v>K231101P1</v>
          </cell>
          <cell r="J2117">
            <v>46147</v>
          </cell>
          <cell r="K2117">
            <v>2</v>
          </cell>
        </row>
        <row r="2118">
          <cell r="C2118" t="str">
            <v>張良琪</v>
          </cell>
          <cell r="J2118">
            <v>46147</v>
          </cell>
          <cell r="K2118">
            <v>6</v>
          </cell>
        </row>
        <row r="2119">
          <cell r="C2119" t="str">
            <v>張良琪</v>
          </cell>
          <cell r="J2119">
            <v>46148</v>
          </cell>
          <cell r="K2119">
            <v>2</v>
          </cell>
        </row>
        <row r="2120">
          <cell r="C2120" t="str">
            <v>張良琪</v>
          </cell>
          <cell r="J2120">
            <v>46148</v>
          </cell>
          <cell r="K2120">
            <v>2</v>
          </cell>
        </row>
        <row r="2121">
          <cell r="C2121" t="str">
            <v>張良琪</v>
          </cell>
          <cell r="F2121" t="str">
            <v>D260403R1</v>
          </cell>
          <cell r="J2121">
            <v>46148</v>
          </cell>
          <cell r="K2121">
            <v>5</v>
          </cell>
        </row>
        <row r="2122">
          <cell r="C2122" t="str">
            <v>張良琪</v>
          </cell>
          <cell r="J2122">
            <v>46149</v>
          </cell>
          <cell r="K2122">
            <v>9</v>
          </cell>
        </row>
        <row r="2123">
          <cell r="C2123" t="str">
            <v>張良琪</v>
          </cell>
          <cell r="J2123">
            <v>46150</v>
          </cell>
          <cell r="K2123">
            <v>2</v>
          </cell>
        </row>
        <row r="2124">
          <cell r="C2124" t="str">
            <v>張良琪</v>
          </cell>
          <cell r="J2124">
            <v>46150</v>
          </cell>
          <cell r="K2124">
            <v>2</v>
          </cell>
        </row>
        <row r="2125">
          <cell r="C2125" t="str">
            <v>張良琪</v>
          </cell>
          <cell r="F2125" t="str">
            <v>D260403R1</v>
          </cell>
          <cell r="J2125">
            <v>46150</v>
          </cell>
          <cell r="K2125">
            <v>2</v>
          </cell>
        </row>
        <row r="2126">
          <cell r="C2126" t="str">
            <v>張良琪</v>
          </cell>
          <cell r="F2126" t="str">
            <v>D260403R1</v>
          </cell>
          <cell r="J2126">
            <v>46150</v>
          </cell>
          <cell r="K2126">
            <v>2</v>
          </cell>
        </row>
        <row r="2127">
          <cell r="C2127" t="str">
            <v>張良琪</v>
          </cell>
          <cell r="J2127">
            <v>46153</v>
          </cell>
          <cell r="K2127">
            <v>2</v>
          </cell>
        </row>
        <row r="2128">
          <cell r="C2128" t="str">
            <v>張良琪</v>
          </cell>
          <cell r="F2128" t="str">
            <v>D260403R1</v>
          </cell>
          <cell r="J2128">
            <v>46153</v>
          </cell>
          <cell r="K2128">
            <v>2.5</v>
          </cell>
        </row>
        <row r="2129">
          <cell r="C2129" t="str">
            <v>張良琪</v>
          </cell>
          <cell r="F2129" t="str">
            <v>D260403R1</v>
          </cell>
          <cell r="J2129">
            <v>46153</v>
          </cell>
          <cell r="K2129">
            <v>4</v>
          </cell>
        </row>
        <row r="2130">
          <cell r="C2130" t="str">
            <v>張良琪</v>
          </cell>
          <cell r="J2130">
            <v>46154</v>
          </cell>
          <cell r="K2130">
            <v>5</v>
          </cell>
        </row>
        <row r="2131">
          <cell r="C2131" t="str">
            <v>張良琪</v>
          </cell>
          <cell r="J2131">
            <v>46154</v>
          </cell>
          <cell r="K2131">
            <v>1</v>
          </cell>
        </row>
        <row r="2132">
          <cell r="C2132" t="str">
            <v>張良琪</v>
          </cell>
          <cell r="F2132" t="str">
            <v>D260403R1</v>
          </cell>
          <cell r="J2132">
            <v>46154</v>
          </cell>
          <cell r="K2132">
            <v>1</v>
          </cell>
        </row>
        <row r="2133">
          <cell r="C2133" t="str">
            <v>張良琪</v>
          </cell>
          <cell r="F2133" t="str">
            <v>D260403R1</v>
          </cell>
          <cell r="J2133">
            <v>46154</v>
          </cell>
          <cell r="K2133">
            <v>2</v>
          </cell>
        </row>
        <row r="2134">
          <cell r="C2134" t="str">
            <v>張良琪</v>
          </cell>
          <cell r="J2134">
            <v>46155</v>
          </cell>
          <cell r="K2134">
            <v>1</v>
          </cell>
        </row>
        <row r="2135">
          <cell r="C2135" t="str">
            <v>張良琪</v>
          </cell>
          <cell r="F2135" t="str">
            <v>K240801R2</v>
          </cell>
          <cell r="J2135">
            <v>46155</v>
          </cell>
          <cell r="K2135">
            <v>1</v>
          </cell>
        </row>
        <row r="2136">
          <cell r="C2136" t="str">
            <v>張良琪</v>
          </cell>
          <cell r="J2136">
            <v>46155</v>
          </cell>
          <cell r="K2136">
            <v>1</v>
          </cell>
        </row>
        <row r="2137">
          <cell r="C2137" t="str">
            <v>張良琪</v>
          </cell>
          <cell r="F2137" t="str">
            <v>K231101P1</v>
          </cell>
          <cell r="J2137">
            <v>46155</v>
          </cell>
          <cell r="K2137">
            <v>1</v>
          </cell>
        </row>
        <row r="2138">
          <cell r="C2138" t="str">
            <v>張良琪</v>
          </cell>
          <cell r="F2138" t="str">
            <v>D260403R1</v>
          </cell>
          <cell r="J2138">
            <v>46155</v>
          </cell>
          <cell r="K2138">
            <v>5</v>
          </cell>
        </row>
        <row r="2139">
          <cell r="C2139" t="str">
            <v>張良琪</v>
          </cell>
          <cell r="J2139">
            <v>46156</v>
          </cell>
          <cell r="K2139">
            <v>7</v>
          </cell>
        </row>
        <row r="2140">
          <cell r="C2140" t="str">
            <v>張良琪</v>
          </cell>
          <cell r="F2140" t="str">
            <v>K231101P1</v>
          </cell>
          <cell r="J2140">
            <v>46156</v>
          </cell>
          <cell r="K2140">
            <v>1</v>
          </cell>
        </row>
        <row r="2141">
          <cell r="C2141" t="str">
            <v>張良琪</v>
          </cell>
          <cell r="J2141">
            <v>46157</v>
          </cell>
          <cell r="K2141">
            <v>1</v>
          </cell>
        </row>
        <row r="2142">
          <cell r="C2142" t="str">
            <v>張良琪</v>
          </cell>
          <cell r="J2142">
            <v>46157</v>
          </cell>
          <cell r="K2142">
            <v>1</v>
          </cell>
        </row>
        <row r="2143">
          <cell r="C2143" t="str">
            <v>張良琪</v>
          </cell>
          <cell r="J2143">
            <v>46157</v>
          </cell>
          <cell r="K2143">
            <v>3</v>
          </cell>
        </row>
        <row r="2144">
          <cell r="C2144" t="str">
            <v>張良琪</v>
          </cell>
          <cell r="J2144">
            <v>46157</v>
          </cell>
          <cell r="K2144">
            <v>1</v>
          </cell>
        </row>
        <row r="2145">
          <cell r="C2145" t="str">
            <v>張良琪</v>
          </cell>
          <cell r="J2145">
            <v>46157</v>
          </cell>
          <cell r="K2145">
            <v>1</v>
          </cell>
        </row>
        <row r="2146">
          <cell r="C2146" t="str">
            <v>張良琪</v>
          </cell>
          <cell r="J2146">
            <v>46157</v>
          </cell>
          <cell r="K2146">
            <v>1</v>
          </cell>
        </row>
        <row r="2147">
          <cell r="C2147" t="str">
            <v>張良琪</v>
          </cell>
          <cell r="J2147">
            <v>46160</v>
          </cell>
          <cell r="K2147">
            <v>1</v>
          </cell>
        </row>
        <row r="2148">
          <cell r="C2148" t="str">
            <v>張良琪</v>
          </cell>
          <cell r="F2148" t="str">
            <v>K231101P1</v>
          </cell>
          <cell r="J2148">
            <v>46160</v>
          </cell>
          <cell r="K2148">
            <v>1</v>
          </cell>
        </row>
        <row r="2149">
          <cell r="C2149" t="str">
            <v>張良琪</v>
          </cell>
          <cell r="J2149">
            <v>46160</v>
          </cell>
          <cell r="K2149">
            <v>2</v>
          </cell>
        </row>
        <row r="2150">
          <cell r="C2150" t="str">
            <v>張良琪</v>
          </cell>
          <cell r="F2150" t="str">
            <v>D260403R1</v>
          </cell>
          <cell r="J2150">
            <v>46160</v>
          </cell>
          <cell r="K2150">
            <v>1</v>
          </cell>
        </row>
        <row r="2151">
          <cell r="C2151" t="str">
            <v>張良琪</v>
          </cell>
          <cell r="F2151" t="str">
            <v>D260403R1</v>
          </cell>
          <cell r="J2151">
            <v>46160</v>
          </cell>
          <cell r="K2151">
            <v>2</v>
          </cell>
        </row>
        <row r="2152">
          <cell r="C2152" t="str">
            <v>張良琪</v>
          </cell>
          <cell r="F2152" t="str">
            <v>D260403R1</v>
          </cell>
          <cell r="J2152">
            <v>46160</v>
          </cell>
          <cell r="K2152">
            <v>2</v>
          </cell>
        </row>
        <row r="2153">
          <cell r="C2153" t="str">
            <v>張良琪</v>
          </cell>
          <cell r="J2153">
            <v>46161</v>
          </cell>
          <cell r="K2153">
            <v>2</v>
          </cell>
        </row>
        <row r="2154">
          <cell r="C2154" t="str">
            <v>張良琪</v>
          </cell>
          <cell r="F2154" t="str">
            <v>K231101P1</v>
          </cell>
          <cell r="J2154">
            <v>46161</v>
          </cell>
          <cell r="K2154">
            <v>3</v>
          </cell>
        </row>
        <row r="2155">
          <cell r="C2155" t="str">
            <v>張良琪</v>
          </cell>
          <cell r="J2155">
            <v>46161</v>
          </cell>
          <cell r="K2155">
            <v>1</v>
          </cell>
        </row>
        <row r="2156">
          <cell r="C2156" t="str">
            <v>張良琪</v>
          </cell>
          <cell r="F2156" t="str">
            <v>D260403R1</v>
          </cell>
          <cell r="J2156">
            <v>46161</v>
          </cell>
          <cell r="K2156">
            <v>2</v>
          </cell>
        </row>
        <row r="2157">
          <cell r="C2157" t="str">
            <v>張良琪</v>
          </cell>
          <cell r="J2157">
            <v>46162</v>
          </cell>
          <cell r="K2157">
            <v>1</v>
          </cell>
        </row>
        <row r="2158">
          <cell r="C2158" t="str">
            <v>張良琪</v>
          </cell>
          <cell r="F2158" t="str">
            <v>K240801R2</v>
          </cell>
          <cell r="J2158">
            <v>46162</v>
          </cell>
          <cell r="K2158">
            <v>3</v>
          </cell>
        </row>
        <row r="2159">
          <cell r="C2159" t="str">
            <v>張良琪</v>
          </cell>
          <cell r="J2159">
            <v>46162</v>
          </cell>
          <cell r="K2159">
            <v>1</v>
          </cell>
        </row>
        <row r="2160">
          <cell r="C2160" t="str">
            <v>張良琪</v>
          </cell>
          <cell r="J2160">
            <v>46162</v>
          </cell>
          <cell r="K2160">
            <v>2</v>
          </cell>
        </row>
        <row r="2161">
          <cell r="C2161" t="str">
            <v>張良琪</v>
          </cell>
          <cell r="F2161" t="str">
            <v>K231101P1</v>
          </cell>
          <cell r="J2161">
            <v>46162</v>
          </cell>
          <cell r="K2161">
            <v>1</v>
          </cell>
        </row>
        <row r="2162">
          <cell r="C2162" t="str">
            <v>張良琪</v>
          </cell>
          <cell r="F2162" t="str">
            <v>D260403R1</v>
          </cell>
          <cell r="J2162">
            <v>46162</v>
          </cell>
          <cell r="K2162">
            <v>1</v>
          </cell>
        </row>
        <row r="2163">
          <cell r="C2163" t="str">
            <v>何昆達</v>
          </cell>
          <cell r="F2163" t="str">
            <v>D230201R1</v>
          </cell>
          <cell r="J2163">
            <v>45470</v>
          </cell>
          <cell r="K2163">
            <v>8</v>
          </cell>
        </row>
        <row r="2164">
          <cell r="C2164" t="str">
            <v>何昆達</v>
          </cell>
          <cell r="F2164" t="str">
            <v>D230201R1</v>
          </cell>
          <cell r="J2164">
            <v>45471</v>
          </cell>
          <cell r="K2164">
            <v>8</v>
          </cell>
        </row>
        <row r="2165">
          <cell r="C2165" t="str">
            <v>何昆達</v>
          </cell>
          <cell r="F2165" t="str">
            <v>D230201R1</v>
          </cell>
          <cell r="J2165">
            <v>45474</v>
          </cell>
          <cell r="K2165">
            <v>2</v>
          </cell>
        </row>
        <row r="2166">
          <cell r="C2166" t="str">
            <v>何昆達</v>
          </cell>
          <cell r="F2166" t="str">
            <v>D230201R1</v>
          </cell>
          <cell r="J2166">
            <v>45474</v>
          </cell>
          <cell r="K2166">
            <v>3</v>
          </cell>
        </row>
        <row r="2167">
          <cell r="C2167" t="str">
            <v>何昆達</v>
          </cell>
          <cell r="F2167" t="str">
            <v>D230201R1</v>
          </cell>
          <cell r="J2167">
            <v>45474</v>
          </cell>
          <cell r="K2167">
            <v>3</v>
          </cell>
        </row>
        <row r="2168">
          <cell r="C2168" t="str">
            <v>何昆達</v>
          </cell>
          <cell r="F2168" t="str">
            <v>D230201R1</v>
          </cell>
          <cell r="J2168">
            <v>45475</v>
          </cell>
          <cell r="K2168">
            <v>8</v>
          </cell>
        </row>
        <row r="2169">
          <cell r="C2169" t="str">
            <v>何昆達</v>
          </cell>
          <cell r="F2169" t="str">
            <v>D230201R1</v>
          </cell>
          <cell r="J2169">
            <v>45476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45477</v>
          </cell>
          <cell r="K2170">
            <v>8</v>
          </cell>
        </row>
        <row r="2171">
          <cell r="C2171" t="str">
            <v>何昆達</v>
          </cell>
          <cell r="F2171" t="str">
            <v>D230201R1</v>
          </cell>
          <cell r="J2171">
            <v>45478</v>
          </cell>
          <cell r="K2171">
            <v>8</v>
          </cell>
        </row>
        <row r="2172">
          <cell r="C2172" t="str">
            <v>何昆達</v>
          </cell>
          <cell r="F2172" t="str">
            <v>D230201R1</v>
          </cell>
          <cell r="J2172">
            <v>45481</v>
          </cell>
          <cell r="K2172">
            <v>2</v>
          </cell>
        </row>
        <row r="2173">
          <cell r="C2173" t="str">
            <v>何昆達</v>
          </cell>
          <cell r="F2173" t="str">
            <v>D230201R1</v>
          </cell>
          <cell r="J2173">
            <v>45481</v>
          </cell>
          <cell r="K2173">
            <v>3</v>
          </cell>
        </row>
        <row r="2174">
          <cell r="C2174" t="str">
            <v>何昆達</v>
          </cell>
          <cell r="F2174" t="str">
            <v>D230201R1</v>
          </cell>
          <cell r="J2174">
            <v>45481</v>
          </cell>
          <cell r="K2174">
            <v>3</v>
          </cell>
        </row>
        <row r="2175">
          <cell r="C2175" t="str">
            <v>何昆達</v>
          </cell>
          <cell r="F2175" t="str">
            <v>D230201R1</v>
          </cell>
          <cell r="J2175">
            <v>45482</v>
          </cell>
          <cell r="K2175">
            <v>8</v>
          </cell>
        </row>
        <row r="2176">
          <cell r="C2176" t="str">
            <v>何昆達</v>
          </cell>
          <cell r="F2176" t="str">
            <v>D230201R1</v>
          </cell>
          <cell r="J2176">
            <v>45483</v>
          </cell>
          <cell r="K2176">
            <v>8</v>
          </cell>
        </row>
        <row r="2177">
          <cell r="C2177" t="str">
            <v>何昆達</v>
          </cell>
          <cell r="F2177" t="str">
            <v>D230201R1</v>
          </cell>
          <cell r="J2177">
            <v>45484</v>
          </cell>
          <cell r="K2177">
            <v>8</v>
          </cell>
        </row>
        <row r="2178">
          <cell r="C2178" t="str">
            <v>何昆達</v>
          </cell>
          <cell r="F2178" t="str">
            <v>D230201R1</v>
          </cell>
          <cell r="J2178">
            <v>45485</v>
          </cell>
          <cell r="K2178">
            <v>8</v>
          </cell>
        </row>
        <row r="2179">
          <cell r="C2179" t="str">
            <v>何昆達</v>
          </cell>
          <cell r="F2179" t="str">
            <v>D230201R1</v>
          </cell>
          <cell r="J2179">
            <v>45488</v>
          </cell>
          <cell r="K2179">
            <v>8</v>
          </cell>
        </row>
        <row r="2180">
          <cell r="C2180" t="str">
            <v>何昆達</v>
          </cell>
          <cell r="F2180" t="str">
            <v>D230201R1</v>
          </cell>
          <cell r="J2180">
            <v>45489</v>
          </cell>
          <cell r="K2180">
            <v>8</v>
          </cell>
        </row>
        <row r="2181">
          <cell r="C2181" t="str">
            <v>何昆達</v>
          </cell>
          <cell r="J2181">
            <v>45490</v>
          </cell>
          <cell r="K2181">
            <v>3</v>
          </cell>
        </row>
        <row r="2182">
          <cell r="C2182" t="str">
            <v>何昆達</v>
          </cell>
          <cell r="F2182" t="str">
            <v>D230201R1</v>
          </cell>
          <cell r="J2182">
            <v>45490</v>
          </cell>
          <cell r="K2182">
            <v>5</v>
          </cell>
        </row>
        <row r="2183">
          <cell r="C2183" t="str">
            <v>何昆達</v>
          </cell>
          <cell r="F2183" t="str">
            <v>D230201R1</v>
          </cell>
          <cell r="J2183">
            <v>45491</v>
          </cell>
          <cell r="K2183">
            <v>8</v>
          </cell>
        </row>
        <row r="2184">
          <cell r="C2184" t="str">
            <v>何昆達</v>
          </cell>
          <cell r="F2184" t="str">
            <v>D230201R1</v>
          </cell>
          <cell r="J2184">
            <v>45492</v>
          </cell>
          <cell r="K2184">
            <v>8</v>
          </cell>
        </row>
        <row r="2185">
          <cell r="C2185" t="str">
            <v>何昆達</v>
          </cell>
          <cell r="F2185" t="str">
            <v>D230201R1</v>
          </cell>
          <cell r="J2185">
            <v>45495</v>
          </cell>
          <cell r="K2185">
            <v>8</v>
          </cell>
        </row>
        <row r="2186">
          <cell r="C2186" t="str">
            <v>何昆達</v>
          </cell>
          <cell r="J2186">
            <v>45496</v>
          </cell>
          <cell r="K2186">
            <v>8</v>
          </cell>
        </row>
        <row r="2187">
          <cell r="C2187" t="str">
            <v>何昆達</v>
          </cell>
          <cell r="J2187">
            <v>45497</v>
          </cell>
          <cell r="K2187">
            <v>8</v>
          </cell>
        </row>
        <row r="2188">
          <cell r="C2188" t="str">
            <v>何昆達</v>
          </cell>
          <cell r="J2188">
            <v>45498</v>
          </cell>
          <cell r="K2188">
            <v>8</v>
          </cell>
        </row>
        <row r="2189">
          <cell r="C2189" t="str">
            <v>何昆達</v>
          </cell>
          <cell r="J2189">
            <v>45499</v>
          </cell>
          <cell r="K2189">
            <v>8</v>
          </cell>
        </row>
        <row r="2190">
          <cell r="C2190" t="str">
            <v>何昆達</v>
          </cell>
          <cell r="J2190">
            <v>45502</v>
          </cell>
          <cell r="K2190">
            <v>8</v>
          </cell>
        </row>
        <row r="2191">
          <cell r="C2191" t="str">
            <v>何昆達</v>
          </cell>
          <cell r="F2191" t="str">
            <v>D230201R1</v>
          </cell>
          <cell r="J2191">
            <v>45503</v>
          </cell>
          <cell r="K2191">
            <v>8</v>
          </cell>
        </row>
        <row r="2192">
          <cell r="C2192" t="str">
            <v>何昆達</v>
          </cell>
          <cell r="F2192" t="str">
            <v>D230201R1</v>
          </cell>
          <cell r="J2192">
            <v>45504</v>
          </cell>
          <cell r="K2192">
            <v>8</v>
          </cell>
        </row>
        <row r="2193">
          <cell r="C2193" t="str">
            <v>何昆達</v>
          </cell>
          <cell r="F2193" t="str">
            <v>D230201R1</v>
          </cell>
          <cell r="J2193">
            <v>45505</v>
          </cell>
          <cell r="K2193">
            <v>8</v>
          </cell>
        </row>
        <row r="2194">
          <cell r="C2194" t="str">
            <v>何昆達</v>
          </cell>
          <cell r="F2194" t="str">
            <v>D230201R1</v>
          </cell>
          <cell r="J2194">
            <v>45506</v>
          </cell>
          <cell r="K2194">
            <v>8</v>
          </cell>
        </row>
        <row r="2195">
          <cell r="C2195" t="str">
            <v>何昆達</v>
          </cell>
          <cell r="F2195" t="str">
            <v>D230201R1</v>
          </cell>
          <cell r="J2195">
            <v>45509</v>
          </cell>
          <cell r="K2195">
            <v>8</v>
          </cell>
        </row>
        <row r="2196">
          <cell r="C2196" t="str">
            <v>何昆達</v>
          </cell>
          <cell r="F2196" t="str">
            <v>D230201R1</v>
          </cell>
          <cell r="J2196">
            <v>45510</v>
          </cell>
          <cell r="K2196">
            <v>8</v>
          </cell>
        </row>
        <row r="2197">
          <cell r="C2197" t="str">
            <v>何昆達</v>
          </cell>
          <cell r="F2197" t="str">
            <v>D230201R1</v>
          </cell>
          <cell r="J2197">
            <v>45511</v>
          </cell>
          <cell r="K2197">
            <v>8</v>
          </cell>
        </row>
        <row r="2198">
          <cell r="C2198" t="str">
            <v>何昆達</v>
          </cell>
          <cell r="F2198" t="str">
            <v>D230201R1</v>
          </cell>
          <cell r="J2198">
            <v>45512</v>
          </cell>
          <cell r="K2198">
            <v>8</v>
          </cell>
        </row>
        <row r="2199">
          <cell r="C2199" t="str">
            <v>何昆達</v>
          </cell>
          <cell r="F2199" t="str">
            <v>D230201R1</v>
          </cell>
          <cell r="J2199">
            <v>45513</v>
          </cell>
          <cell r="K2199">
            <v>8</v>
          </cell>
        </row>
        <row r="2200">
          <cell r="C2200" t="str">
            <v>何昆達</v>
          </cell>
          <cell r="F2200" t="str">
            <v>D230201R1</v>
          </cell>
          <cell r="J2200">
            <v>45516</v>
          </cell>
          <cell r="K2200">
            <v>8</v>
          </cell>
        </row>
        <row r="2201">
          <cell r="C2201" t="str">
            <v>何昆達</v>
          </cell>
          <cell r="J2201">
            <v>45517</v>
          </cell>
          <cell r="K2201">
            <v>8</v>
          </cell>
        </row>
        <row r="2202">
          <cell r="C2202" t="str">
            <v>何昆達</v>
          </cell>
          <cell r="F2202" t="str">
            <v>D230201R1</v>
          </cell>
          <cell r="J2202">
            <v>45518</v>
          </cell>
          <cell r="K2202">
            <v>8</v>
          </cell>
        </row>
        <row r="2203">
          <cell r="C2203" t="str">
            <v>何昆達</v>
          </cell>
          <cell r="F2203" t="str">
            <v>D230201R1</v>
          </cell>
          <cell r="J2203">
            <v>45519</v>
          </cell>
          <cell r="K2203">
            <v>8</v>
          </cell>
        </row>
        <row r="2204">
          <cell r="C2204" t="str">
            <v>何昆達</v>
          </cell>
          <cell r="F2204" t="str">
            <v>D230201R1</v>
          </cell>
          <cell r="J2204">
            <v>45520</v>
          </cell>
          <cell r="K2204">
            <v>8</v>
          </cell>
        </row>
        <row r="2205">
          <cell r="C2205" t="str">
            <v>何昆達</v>
          </cell>
          <cell r="F2205" t="str">
            <v>M240201R1</v>
          </cell>
          <cell r="J2205">
            <v>45523</v>
          </cell>
          <cell r="K2205">
            <v>3</v>
          </cell>
        </row>
        <row r="2206">
          <cell r="C2206" t="str">
            <v>何昆達</v>
          </cell>
          <cell r="F2206" t="str">
            <v>D230201R1</v>
          </cell>
          <cell r="J2206">
            <v>45523</v>
          </cell>
          <cell r="K2206">
            <v>3</v>
          </cell>
        </row>
        <row r="2207">
          <cell r="C2207" t="str">
            <v>何昆達</v>
          </cell>
          <cell r="F2207" t="str">
            <v>M240201R1</v>
          </cell>
          <cell r="J2207">
            <v>45523</v>
          </cell>
          <cell r="K2207">
            <v>2</v>
          </cell>
        </row>
        <row r="2208">
          <cell r="C2208" t="str">
            <v>何昆達</v>
          </cell>
          <cell r="F2208" t="str">
            <v>D230201R1</v>
          </cell>
          <cell r="J2208">
            <v>45524</v>
          </cell>
          <cell r="K2208">
            <v>3</v>
          </cell>
        </row>
        <row r="2209">
          <cell r="C2209" t="str">
            <v>何昆達</v>
          </cell>
          <cell r="J2209">
            <v>45524</v>
          </cell>
          <cell r="K2209">
            <v>5</v>
          </cell>
        </row>
        <row r="2210">
          <cell r="C2210" t="str">
            <v>何昆達</v>
          </cell>
          <cell r="F2210" t="str">
            <v>D230201R1</v>
          </cell>
          <cell r="J2210">
            <v>45525</v>
          </cell>
          <cell r="K2210">
            <v>8</v>
          </cell>
        </row>
        <row r="2211">
          <cell r="C2211" t="str">
            <v>何昆達</v>
          </cell>
          <cell r="F2211" t="str">
            <v>D230201R1</v>
          </cell>
          <cell r="J2211">
            <v>45526</v>
          </cell>
          <cell r="K2211">
            <v>8</v>
          </cell>
        </row>
        <row r="2212">
          <cell r="C2212" t="str">
            <v>何昆達</v>
          </cell>
          <cell r="F2212" t="str">
            <v>D230302R1</v>
          </cell>
          <cell r="J2212">
            <v>45527</v>
          </cell>
          <cell r="K2212">
            <v>8</v>
          </cell>
        </row>
        <row r="2213">
          <cell r="C2213" t="str">
            <v>何昆達</v>
          </cell>
          <cell r="F2213" t="str">
            <v>D230201R1</v>
          </cell>
          <cell r="J2213">
            <v>45530</v>
          </cell>
          <cell r="K2213">
            <v>3</v>
          </cell>
        </row>
        <row r="2214">
          <cell r="C2214" t="str">
            <v>何昆達</v>
          </cell>
          <cell r="F2214" t="str">
            <v>M240201R1</v>
          </cell>
          <cell r="J2214">
            <v>45530</v>
          </cell>
          <cell r="K2214">
            <v>3</v>
          </cell>
        </row>
        <row r="2215">
          <cell r="C2215" t="str">
            <v>何昆達</v>
          </cell>
          <cell r="F2215" t="str">
            <v>M240201R1</v>
          </cell>
          <cell r="J2215">
            <v>45530</v>
          </cell>
          <cell r="K2215">
            <v>2</v>
          </cell>
        </row>
        <row r="2216">
          <cell r="C2216" t="str">
            <v>何昆達</v>
          </cell>
          <cell r="F2216" t="str">
            <v>D230201R1</v>
          </cell>
          <cell r="J2216">
            <v>45531</v>
          </cell>
          <cell r="K2216">
            <v>8</v>
          </cell>
        </row>
        <row r="2217">
          <cell r="C2217" t="str">
            <v>何昆達</v>
          </cell>
          <cell r="F2217" t="str">
            <v>D230201R1</v>
          </cell>
          <cell r="J2217">
            <v>45532</v>
          </cell>
          <cell r="K2217">
            <v>8</v>
          </cell>
        </row>
        <row r="2218">
          <cell r="C2218" t="str">
            <v>何昆達</v>
          </cell>
          <cell r="F2218" t="str">
            <v>D230201R1</v>
          </cell>
          <cell r="J2218">
            <v>45533</v>
          </cell>
          <cell r="K2218">
            <v>8</v>
          </cell>
        </row>
        <row r="2219">
          <cell r="C2219" t="str">
            <v>何昆達</v>
          </cell>
          <cell r="F2219" t="str">
            <v>D230201R1</v>
          </cell>
          <cell r="J2219">
            <v>45534</v>
          </cell>
          <cell r="K2219">
            <v>8</v>
          </cell>
        </row>
        <row r="2220">
          <cell r="C2220" t="str">
            <v>何昆達</v>
          </cell>
          <cell r="F2220" t="str">
            <v>M240201R1</v>
          </cell>
          <cell r="J2220">
            <v>45537</v>
          </cell>
          <cell r="K2220">
            <v>3</v>
          </cell>
        </row>
        <row r="2221">
          <cell r="C2221" t="str">
            <v>何昆達</v>
          </cell>
          <cell r="F2221" t="str">
            <v>M240201R1</v>
          </cell>
          <cell r="J2221">
            <v>45537</v>
          </cell>
          <cell r="K2221">
            <v>2</v>
          </cell>
        </row>
        <row r="2222">
          <cell r="C2222" t="str">
            <v>何昆達</v>
          </cell>
          <cell r="F2222" t="str">
            <v>D230201R1</v>
          </cell>
          <cell r="J2222">
            <v>45537</v>
          </cell>
          <cell r="K2222">
            <v>3</v>
          </cell>
        </row>
        <row r="2223">
          <cell r="C2223" t="str">
            <v>何昆達</v>
          </cell>
          <cell r="F2223" t="str">
            <v>D230201R1</v>
          </cell>
          <cell r="J2223">
            <v>45538</v>
          </cell>
          <cell r="K2223">
            <v>8</v>
          </cell>
        </row>
        <row r="2224">
          <cell r="C2224" t="str">
            <v>何昆達</v>
          </cell>
          <cell r="F2224" t="str">
            <v>D230201R1</v>
          </cell>
          <cell r="J2224">
            <v>45539</v>
          </cell>
          <cell r="K2224">
            <v>4</v>
          </cell>
        </row>
        <row r="2225">
          <cell r="C2225" t="str">
            <v>何昆達</v>
          </cell>
          <cell r="F2225" t="str">
            <v>D230201R1</v>
          </cell>
          <cell r="J2225">
            <v>45539</v>
          </cell>
          <cell r="K2225">
            <v>4</v>
          </cell>
        </row>
        <row r="2226">
          <cell r="C2226" t="str">
            <v>何昆達</v>
          </cell>
          <cell r="F2226" t="str">
            <v>D230201R1</v>
          </cell>
          <cell r="J2226">
            <v>45540</v>
          </cell>
          <cell r="K2226">
            <v>8</v>
          </cell>
        </row>
        <row r="2227">
          <cell r="C2227" t="str">
            <v>何昆達</v>
          </cell>
          <cell r="F2227" t="str">
            <v>D230201R1</v>
          </cell>
          <cell r="J2227">
            <v>45541</v>
          </cell>
          <cell r="K2227">
            <v>8</v>
          </cell>
        </row>
        <row r="2228">
          <cell r="C2228" t="str">
            <v>何昆達</v>
          </cell>
          <cell r="F2228" t="str">
            <v>D230201R1</v>
          </cell>
          <cell r="J2228">
            <v>45544</v>
          </cell>
          <cell r="K2228">
            <v>3</v>
          </cell>
        </row>
        <row r="2229">
          <cell r="C2229" t="str">
            <v>何昆達</v>
          </cell>
          <cell r="F2229" t="str">
            <v>D230201R1</v>
          </cell>
          <cell r="J2229">
            <v>45544</v>
          </cell>
          <cell r="K2229">
            <v>2</v>
          </cell>
        </row>
        <row r="2230">
          <cell r="C2230" t="str">
            <v>何昆達</v>
          </cell>
          <cell r="F2230" t="str">
            <v>D230201R1</v>
          </cell>
          <cell r="J2230">
            <v>45544</v>
          </cell>
          <cell r="K2230">
            <v>3</v>
          </cell>
        </row>
        <row r="2231">
          <cell r="C2231" t="str">
            <v>何昆達</v>
          </cell>
          <cell r="F2231" t="str">
            <v>D230201R1</v>
          </cell>
          <cell r="J2231">
            <v>45545</v>
          </cell>
          <cell r="K2231">
            <v>4</v>
          </cell>
        </row>
        <row r="2232">
          <cell r="C2232" t="str">
            <v>何昆達</v>
          </cell>
          <cell r="F2232" t="str">
            <v>D230201R1</v>
          </cell>
          <cell r="J2232">
            <v>45546</v>
          </cell>
          <cell r="K2232">
            <v>8</v>
          </cell>
        </row>
        <row r="2233">
          <cell r="C2233" t="str">
            <v>何昆達</v>
          </cell>
          <cell r="F2233" t="str">
            <v>D230201R1</v>
          </cell>
          <cell r="J2233">
            <v>45547</v>
          </cell>
          <cell r="K2233">
            <v>8</v>
          </cell>
        </row>
        <row r="2234">
          <cell r="C2234" t="str">
            <v>何昆達</v>
          </cell>
          <cell r="F2234" t="str">
            <v>D230201R1</v>
          </cell>
          <cell r="J2234">
            <v>45548</v>
          </cell>
          <cell r="K2234">
            <v>8</v>
          </cell>
        </row>
        <row r="2235">
          <cell r="C2235" t="str">
            <v>何昆達</v>
          </cell>
          <cell r="J2235">
            <v>45551</v>
          </cell>
          <cell r="K2235">
            <v>8</v>
          </cell>
        </row>
        <row r="2236">
          <cell r="C2236" t="str">
            <v>何昆達</v>
          </cell>
          <cell r="F2236" t="str">
            <v>D230201R1</v>
          </cell>
          <cell r="J2236">
            <v>45553</v>
          </cell>
          <cell r="K2236">
            <v>8</v>
          </cell>
        </row>
        <row r="2237">
          <cell r="C2237" t="str">
            <v>何昆達</v>
          </cell>
          <cell r="F2237" t="str">
            <v>D230201R1</v>
          </cell>
          <cell r="J2237">
            <v>45554</v>
          </cell>
          <cell r="K2237">
            <v>8</v>
          </cell>
        </row>
        <row r="2238">
          <cell r="C2238" t="str">
            <v>何昆達</v>
          </cell>
          <cell r="F2238" t="str">
            <v>D230201R1</v>
          </cell>
          <cell r="J2238">
            <v>45555</v>
          </cell>
          <cell r="K2238">
            <v>8</v>
          </cell>
        </row>
        <row r="2239">
          <cell r="C2239" t="str">
            <v>何昆達</v>
          </cell>
          <cell r="J2239">
            <v>45558</v>
          </cell>
          <cell r="K2239">
            <v>8</v>
          </cell>
        </row>
        <row r="2240">
          <cell r="C2240" t="str">
            <v>何昆達</v>
          </cell>
          <cell r="F2240" t="str">
            <v>D230201R1</v>
          </cell>
          <cell r="J2240">
            <v>45559</v>
          </cell>
          <cell r="K2240">
            <v>8</v>
          </cell>
        </row>
        <row r="2241">
          <cell r="C2241" t="str">
            <v>何昆達</v>
          </cell>
          <cell r="F2241" t="str">
            <v>D230201R1</v>
          </cell>
          <cell r="J2241">
            <v>45560</v>
          </cell>
          <cell r="K2241">
            <v>8</v>
          </cell>
        </row>
        <row r="2242">
          <cell r="C2242" t="str">
            <v>何昆達</v>
          </cell>
          <cell r="F2242" t="str">
            <v>D230201R1</v>
          </cell>
          <cell r="J2242">
            <v>45569</v>
          </cell>
          <cell r="K2242">
            <v>8</v>
          </cell>
        </row>
        <row r="2243">
          <cell r="C2243" t="str">
            <v>何昆達</v>
          </cell>
          <cell r="F2243" t="str">
            <v>D230201R1</v>
          </cell>
          <cell r="J2243">
            <v>45572</v>
          </cell>
          <cell r="K2243">
            <v>8</v>
          </cell>
        </row>
        <row r="2244">
          <cell r="C2244" t="str">
            <v>何昆達</v>
          </cell>
          <cell r="J2244">
            <v>45573</v>
          </cell>
          <cell r="K2244">
            <v>8</v>
          </cell>
        </row>
        <row r="2245">
          <cell r="C2245" t="str">
            <v>何昆達</v>
          </cell>
          <cell r="F2245" t="str">
            <v>D230201R1</v>
          </cell>
          <cell r="J2245">
            <v>45574</v>
          </cell>
          <cell r="K2245">
            <v>8</v>
          </cell>
        </row>
        <row r="2246">
          <cell r="C2246" t="str">
            <v>何昆達</v>
          </cell>
          <cell r="F2246" t="str">
            <v>D230201R1</v>
          </cell>
          <cell r="J2246">
            <v>45576</v>
          </cell>
          <cell r="K2246">
            <v>8</v>
          </cell>
        </row>
        <row r="2247">
          <cell r="C2247" t="str">
            <v>何昆達</v>
          </cell>
          <cell r="F2247" t="str">
            <v>D230201R1</v>
          </cell>
          <cell r="J2247">
            <v>45579</v>
          </cell>
          <cell r="K2247">
            <v>8</v>
          </cell>
        </row>
        <row r="2248">
          <cell r="C2248" t="str">
            <v>何昆達</v>
          </cell>
          <cell r="F2248" t="str">
            <v>D230201R1</v>
          </cell>
          <cell r="J2248">
            <v>45580</v>
          </cell>
          <cell r="K2248">
            <v>8</v>
          </cell>
        </row>
        <row r="2249">
          <cell r="C2249" t="str">
            <v>何昆達</v>
          </cell>
          <cell r="F2249" t="str">
            <v>D230201R1</v>
          </cell>
          <cell r="J2249">
            <v>45581</v>
          </cell>
          <cell r="K2249">
            <v>8</v>
          </cell>
        </row>
        <row r="2250">
          <cell r="C2250" t="str">
            <v>何昆達</v>
          </cell>
          <cell r="F2250" t="str">
            <v>D230201R1</v>
          </cell>
          <cell r="J2250">
            <v>45582</v>
          </cell>
          <cell r="K2250">
            <v>8</v>
          </cell>
        </row>
        <row r="2251">
          <cell r="C2251" t="str">
            <v>何昆達</v>
          </cell>
          <cell r="F2251" t="str">
            <v>D230201R1</v>
          </cell>
          <cell r="J2251">
            <v>45583</v>
          </cell>
          <cell r="K2251">
            <v>8</v>
          </cell>
        </row>
        <row r="2252">
          <cell r="C2252" t="str">
            <v>何昆達</v>
          </cell>
          <cell r="F2252" t="str">
            <v>D230201R1</v>
          </cell>
          <cell r="J2252">
            <v>45586</v>
          </cell>
          <cell r="K2252">
            <v>8</v>
          </cell>
        </row>
        <row r="2253">
          <cell r="C2253" t="str">
            <v>何昆達</v>
          </cell>
          <cell r="F2253" t="str">
            <v>D230201R1</v>
          </cell>
          <cell r="J2253">
            <v>45587</v>
          </cell>
          <cell r="K2253">
            <v>8</v>
          </cell>
        </row>
        <row r="2254">
          <cell r="C2254" t="str">
            <v>何昆達</v>
          </cell>
          <cell r="F2254" t="str">
            <v>D230201R1</v>
          </cell>
          <cell r="J2254">
            <v>45588</v>
          </cell>
          <cell r="K2254">
            <v>8</v>
          </cell>
        </row>
        <row r="2255">
          <cell r="C2255" t="str">
            <v>何昆達</v>
          </cell>
          <cell r="F2255" t="str">
            <v>D230201R1</v>
          </cell>
          <cell r="J2255">
            <v>45589</v>
          </cell>
          <cell r="K2255">
            <v>8</v>
          </cell>
        </row>
        <row r="2256">
          <cell r="C2256" t="str">
            <v>何昆達</v>
          </cell>
          <cell r="F2256" t="str">
            <v>D230201R1</v>
          </cell>
          <cell r="J2256">
            <v>45590</v>
          </cell>
          <cell r="K2256">
            <v>8</v>
          </cell>
        </row>
        <row r="2257">
          <cell r="C2257" t="str">
            <v>何昆達</v>
          </cell>
          <cell r="J2257">
            <v>45593</v>
          </cell>
          <cell r="K2257">
            <v>8</v>
          </cell>
        </row>
        <row r="2258">
          <cell r="C2258" t="str">
            <v>何昆達</v>
          </cell>
          <cell r="J2258">
            <v>45594</v>
          </cell>
          <cell r="K2258">
            <v>4</v>
          </cell>
        </row>
        <row r="2259">
          <cell r="C2259" t="str">
            <v>何昆達</v>
          </cell>
          <cell r="F2259" t="str">
            <v>D230201R1</v>
          </cell>
          <cell r="J2259">
            <v>45594</v>
          </cell>
          <cell r="K2259">
            <v>4</v>
          </cell>
        </row>
        <row r="2260">
          <cell r="C2260" t="str">
            <v>何昆達</v>
          </cell>
          <cell r="F2260" t="str">
            <v>D230201R1</v>
          </cell>
          <cell r="J2260">
            <v>45595</v>
          </cell>
          <cell r="K2260">
            <v>8</v>
          </cell>
        </row>
        <row r="2261">
          <cell r="C2261" t="str">
            <v>何昆達</v>
          </cell>
          <cell r="F2261" t="str">
            <v>D230201R1</v>
          </cell>
          <cell r="J2261">
            <v>45597</v>
          </cell>
          <cell r="K2261">
            <v>8</v>
          </cell>
        </row>
        <row r="2262">
          <cell r="C2262" t="str">
            <v>何昆達</v>
          </cell>
          <cell r="F2262" t="str">
            <v>D230201R1</v>
          </cell>
          <cell r="J2262">
            <v>45600</v>
          </cell>
          <cell r="K2262">
            <v>8</v>
          </cell>
        </row>
        <row r="2263">
          <cell r="C2263" t="str">
            <v>何昆達</v>
          </cell>
          <cell r="F2263" t="str">
            <v>D230201R1</v>
          </cell>
          <cell r="J2263">
            <v>45601</v>
          </cell>
          <cell r="K2263">
            <v>8</v>
          </cell>
        </row>
        <row r="2264">
          <cell r="C2264" t="str">
            <v>何昆達</v>
          </cell>
          <cell r="F2264" t="str">
            <v>D230201R1</v>
          </cell>
          <cell r="J2264">
            <v>45602</v>
          </cell>
          <cell r="K2264">
            <v>4</v>
          </cell>
        </row>
        <row r="2265">
          <cell r="C2265" t="str">
            <v>何昆達</v>
          </cell>
          <cell r="J2265">
            <v>45602</v>
          </cell>
          <cell r="K2265">
            <v>4</v>
          </cell>
        </row>
        <row r="2266">
          <cell r="C2266" t="str">
            <v>何昆達</v>
          </cell>
          <cell r="F2266" t="str">
            <v>D230201R1</v>
          </cell>
          <cell r="J2266">
            <v>45603</v>
          </cell>
          <cell r="K2266">
            <v>8</v>
          </cell>
        </row>
        <row r="2267">
          <cell r="C2267" t="str">
            <v>何昆達</v>
          </cell>
          <cell r="F2267" t="str">
            <v>D230201R1</v>
          </cell>
          <cell r="J2267">
            <v>45604</v>
          </cell>
          <cell r="K2267">
            <v>4</v>
          </cell>
        </row>
        <row r="2268">
          <cell r="C2268" t="str">
            <v>何昆達</v>
          </cell>
          <cell r="J2268">
            <v>45604</v>
          </cell>
          <cell r="K2268">
            <v>4</v>
          </cell>
        </row>
        <row r="2269">
          <cell r="C2269" t="str">
            <v>何昆達</v>
          </cell>
          <cell r="F2269" t="str">
            <v>D230201R1</v>
          </cell>
          <cell r="J2269">
            <v>45607</v>
          </cell>
          <cell r="K2269">
            <v>2</v>
          </cell>
        </row>
        <row r="2270">
          <cell r="C2270" t="str">
            <v>何昆達</v>
          </cell>
          <cell r="F2270" t="str">
            <v>D230201R1</v>
          </cell>
          <cell r="J2270">
            <v>45607</v>
          </cell>
          <cell r="K2270">
            <v>2</v>
          </cell>
        </row>
        <row r="2271">
          <cell r="C2271" t="str">
            <v>何昆達</v>
          </cell>
          <cell r="F2271" t="str">
            <v>D230201R1</v>
          </cell>
          <cell r="J2271">
            <v>45607</v>
          </cell>
          <cell r="K2271">
            <v>2</v>
          </cell>
        </row>
        <row r="2272">
          <cell r="C2272" t="str">
            <v>何昆達</v>
          </cell>
          <cell r="F2272" t="str">
            <v>D230201R1</v>
          </cell>
          <cell r="J2272">
            <v>45607</v>
          </cell>
          <cell r="K2272">
            <v>2</v>
          </cell>
        </row>
        <row r="2273">
          <cell r="C2273" t="str">
            <v>何昆達</v>
          </cell>
          <cell r="F2273" t="str">
            <v>D230201R1</v>
          </cell>
          <cell r="J2273">
            <v>45608</v>
          </cell>
          <cell r="K2273">
            <v>2</v>
          </cell>
        </row>
        <row r="2274">
          <cell r="C2274" t="str">
            <v>何昆達</v>
          </cell>
          <cell r="J2274">
            <v>45608</v>
          </cell>
          <cell r="K2274">
            <v>6</v>
          </cell>
        </row>
        <row r="2275">
          <cell r="C2275" t="str">
            <v>何昆達</v>
          </cell>
          <cell r="F2275" t="str">
            <v>D230201R1</v>
          </cell>
          <cell r="J2275">
            <v>45609</v>
          </cell>
          <cell r="K2275">
            <v>8</v>
          </cell>
        </row>
        <row r="2276">
          <cell r="C2276" t="str">
            <v>何昆達</v>
          </cell>
          <cell r="F2276" t="str">
            <v>D230201R1</v>
          </cell>
          <cell r="J2276">
            <v>45610</v>
          </cell>
          <cell r="K2276">
            <v>8</v>
          </cell>
        </row>
        <row r="2277">
          <cell r="C2277" t="str">
            <v>何昆達</v>
          </cell>
          <cell r="F2277" t="str">
            <v>D230201R1</v>
          </cell>
          <cell r="J2277">
            <v>45611</v>
          </cell>
          <cell r="K2277">
            <v>4</v>
          </cell>
        </row>
        <row r="2278">
          <cell r="C2278" t="str">
            <v>何昆達</v>
          </cell>
          <cell r="F2278" t="str">
            <v>D230201R1</v>
          </cell>
          <cell r="J2278">
            <v>45611</v>
          </cell>
          <cell r="K2278">
            <v>4</v>
          </cell>
        </row>
        <row r="2279">
          <cell r="C2279" t="str">
            <v>何昆達</v>
          </cell>
          <cell r="F2279" t="str">
            <v>D230201R1</v>
          </cell>
          <cell r="J2279">
            <v>45614</v>
          </cell>
          <cell r="K2279">
            <v>8</v>
          </cell>
        </row>
        <row r="2280">
          <cell r="C2280" t="str">
            <v>何昆達</v>
          </cell>
          <cell r="F2280" t="str">
            <v>D230201R1</v>
          </cell>
          <cell r="J2280">
            <v>45615</v>
          </cell>
          <cell r="K2280">
            <v>6</v>
          </cell>
        </row>
        <row r="2281">
          <cell r="C2281" t="str">
            <v>何昆達</v>
          </cell>
          <cell r="F2281" t="str">
            <v>D230201R1</v>
          </cell>
          <cell r="J2281">
            <v>45615</v>
          </cell>
          <cell r="K2281">
            <v>2</v>
          </cell>
        </row>
        <row r="2282">
          <cell r="C2282" t="str">
            <v>何昆達</v>
          </cell>
          <cell r="F2282" t="str">
            <v>D230201R1</v>
          </cell>
          <cell r="J2282">
            <v>45616</v>
          </cell>
          <cell r="K2282">
            <v>8</v>
          </cell>
        </row>
        <row r="2283">
          <cell r="C2283" t="str">
            <v>何昆達</v>
          </cell>
          <cell r="F2283" t="str">
            <v>D230201R1</v>
          </cell>
          <cell r="J2283">
            <v>45617</v>
          </cell>
          <cell r="K2283">
            <v>8</v>
          </cell>
        </row>
        <row r="2284">
          <cell r="C2284" t="str">
            <v>何昆達</v>
          </cell>
          <cell r="J2284">
            <v>45618</v>
          </cell>
          <cell r="K2284">
            <v>8</v>
          </cell>
        </row>
        <row r="2285">
          <cell r="C2285" t="str">
            <v>何昆達</v>
          </cell>
          <cell r="F2285" t="str">
            <v>D230201R1</v>
          </cell>
          <cell r="J2285">
            <v>45621</v>
          </cell>
          <cell r="K2285">
            <v>8</v>
          </cell>
        </row>
        <row r="2286">
          <cell r="C2286" t="str">
            <v>何昆達</v>
          </cell>
          <cell r="F2286" t="str">
            <v>D230201R1</v>
          </cell>
          <cell r="J2286">
            <v>45622</v>
          </cell>
          <cell r="K2286">
            <v>8</v>
          </cell>
        </row>
        <row r="2287">
          <cell r="C2287" t="str">
            <v>何昆達</v>
          </cell>
          <cell r="F2287" t="str">
            <v>D230201R1</v>
          </cell>
          <cell r="J2287">
            <v>45623</v>
          </cell>
          <cell r="K2287">
            <v>8</v>
          </cell>
        </row>
        <row r="2288">
          <cell r="C2288" t="str">
            <v>何昆達</v>
          </cell>
          <cell r="F2288" t="str">
            <v>D230201R1</v>
          </cell>
          <cell r="J2288">
            <v>45624</v>
          </cell>
          <cell r="K2288">
            <v>8</v>
          </cell>
        </row>
        <row r="2289">
          <cell r="C2289" t="str">
            <v>何昆達</v>
          </cell>
          <cell r="F2289" t="str">
            <v>D230201R1</v>
          </cell>
          <cell r="J2289">
            <v>45625</v>
          </cell>
          <cell r="K2289">
            <v>8</v>
          </cell>
        </row>
        <row r="2290">
          <cell r="C2290" t="str">
            <v>何昆達</v>
          </cell>
          <cell r="F2290" t="str">
            <v>D230201R1</v>
          </cell>
          <cell r="J2290">
            <v>45628</v>
          </cell>
          <cell r="K2290">
            <v>8</v>
          </cell>
        </row>
        <row r="2291">
          <cell r="C2291" t="str">
            <v>何昆達</v>
          </cell>
          <cell r="F2291" t="str">
            <v>D230201R1</v>
          </cell>
          <cell r="J2291">
            <v>45629</v>
          </cell>
          <cell r="K2291">
            <v>8</v>
          </cell>
        </row>
        <row r="2292">
          <cell r="C2292" t="str">
            <v>何昆達</v>
          </cell>
          <cell r="F2292" t="str">
            <v>D230201R1</v>
          </cell>
          <cell r="J2292">
            <v>45630</v>
          </cell>
          <cell r="K2292">
            <v>8</v>
          </cell>
        </row>
        <row r="2293">
          <cell r="C2293" t="str">
            <v>何昆達</v>
          </cell>
          <cell r="J2293">
            <v>45631</v>
          </cell>
          <cell r="K2293">
            <v>4</v>
          </cell>
        </row>
        <row r="2294">
          <cell r="C2294" t="str">
            <v>何昆達</v>
          </cell>
          <cell r="F2294" t="str">
            <v>D230201R1</v>
          </cell>
          <cell r="J2294">
            <v>45631</v>
          </cell>
          <cell r="K2294">
            <v>4</v>
          </cell>
        </row>
        <row r="2295">
          <cell r="C2295" t="str">
            <v>何昆達</v>
          </cell>
          <cell r="J2295">
            <v>45632</v>
          </cell>
          <cell r="K2295">
            <v>4</v>
          </cell>
        </row>
        <row r="2296">
          <cell r="C2296" t="str">
            <v>何昆達</v>
          </cell>
          <cell r="F2296" t="str">
            <v>D230201R1</v>
          </cell>
          <cell r="J2296">
            <v>45632</v>
          </cell>
          <cell r="K2296">
            <v>4</v>
          </cell>
        </row>
        <row r="2297">
          <cell r="C2297" t="str">
            <v>何昆達</v>
          </cell>
          <cell r="F2297" t="str">
            <v>D230201R1</v>
          </cell>
          <cell r="J2297">
            <v>45635</v>
          </cell>
          <cell r="K2297">
            <v>4</v>
          </cell>
        </row>
        <row r="2298">
          <cell r="C2298" t="str">
            <v>何昆達</v>
          </cell>
          <cell r="F2298" t="str">
            <v>D230201R1</v>
          </cell>
          <cell r="J2298">
            <v>45635</v>
          </cell>
          <cell r="K2298">
            <v>4</v>
          </cell>
        </row>
        <row r="2299">
          <cell r="C2299" t="str">
            <v>何昆達</v>
          </cell>
          <cell r="F2299" t="str">
            <v>D230201R1</v>
          </cell>
          <cell r="J2299">
            <v>45636</v>
          </cell>
          <cell r="K2299">
            <v>8</v>
          </cell>
        </row>
        <row r="2300">
          <cell r="C2300" t="str">
            <v>何昆達</v>
          </cell>
          <cell r="F2300" t="str">
            <v>D230201R1</v>
          </cell>
          <cell r="J2300">
            <v>45637</v>
          </cell>
          <cell r="K2300">
            <v>6</v>
          </cell>
        </row>
        <row r="2301">
          <cell r="C2301" t="str">
            <v>何昆達</v>
          </cell>
          <cell r="J2301">
            <v>45638</v>
          </cell>
          <cell r="K2301">
            <v>8</v>
          </cell>
        </row>
        <row r="2302">
          <cell r="C2302" t="str">
            <v>何昆達</v>
          </cell>
          <cell r="F2302" t="str">
            <v>D230201R1</v>
          </cell>
          <cell r="J2302">
            <v>45639</v>
          </cell>
          <cell r="K2302">
            <v>4</v>
          </cell>
        </row>
        <row r="2303">
          <cell r="C2303" t="str">
            <v>何昆達</v>
          </cell>
          <cell r="F2303" t="str">
            <v>D230201R1</v>
          </cell>
          <cell r="J2303">
            <v>45639</v>
          </cell>
          <cell r="K2303">
            <v>4</v>
          </cell>
        </row>
        <row r="2304">
          <cell r="C2304" t="str">
            <v>何昆達</v>
          </cell>
          <cell r="F2304" t="str">
            <v>D230201R1</v>
          </cell>
          <cell r="J2304">
            <v>45642</v>
          </cell>
          <cell r="K2304">
            <v>8</v>
          </cell>
        </row>
        <row r="2305">
          <cell r="C2305" t="str">
            <v>何昆達</v>
          </cell>
          <cell r="F2305" t="str">
            <v>D230201R1</v>
          </cell>
          <cell r="J2305">
            <v>45643</v>
          </cell>
          <cell r="K2305">
            <v>8</v>
          </cell>
        </row>
        <row r="2306">
          <cell r="C2306" t="str">
            <v>何昆達</v>
          </cell>
          <cell r="F2306" t="str">
            <v>D230201R1</v>
          </cell>
          <cell r="J2306">
            <v>45644</v>
          </cell>
          <cell r="K2306">
            <v>8</v>
          </cell>
        </row>
        <row r="2307">
          <cell r="C2307" t="str">
            <v>何昆達</v>
          </cell>
          <cell r="F2307" t="str">
            <v>D230201R1</v>
          </cell>
          <cell r="J2307">
            <v>45645</v>
          </cell>
          <cell r="K2307">
            <v>4</v>
          </cell>
        </row>
        <row r="2308">
          <cell r="C2308" t="str">
            <v>何昆達</v>
          </cell>
          <cell r="F2308" t="str">
            <v>D230201R1</v>
          </cell>
          <cell r="J2308">
            <v>45646</v>
          </cell>
          <cell r="K2308">
            <v>8</v>
          </cell>
        </row>
        <row r="2309">
          <cell r="C2309" t="str">
            <v>何昆達</v>
          </cell>
          <cell r="F2309" t="str">
            <v>D230201R1</v>
          </cell>
          <cell r="J2309">
            <v>45649</v>
          </cell>
          <cell r="K2309">
            <v>8</v>
          </cell>
        </row>
        <row r="2310">
          <cell r="C2310" t="str">
            <v>何昆達</v>
          </cell>
          <cell r="F2310" t="str">
            <v>D230201R1</v>
          </cell>
          <cell r="J2310">
            <v>45650</v>
          </cell>
          <cell r="K2310">
            <v>8</v>
          </cell>
        </row>
        <row r="2311">
          <cell r="C2311" t="str">
            <v>何昆達</v>
          </cell>
          <cell r="J2311">
            <v>45651</v>
          </cell>
          <cell r="K2311">
            <v>8</v>
          </cell>
        </row>
        <row r="2312">
          <cell r="C2312" t="str">
            <v>何昆達</v>
          </cell>
          <cell r="F2312" t="str">
            <v>D230201R1</v>
          </cell>
          <cell r="J2312">
            <v>45652</v>
          </cell>
          <cell r="K2312">
            <v>8</v>
          </cell>
        </row>
        <row r="2313">
          <cell r="C2313" t="str">
            <v>何昆達</v>
          </cell>
          <cell r="F2313" t="str">
            <v>D230201R1</v>
          </cell>
          <cell r="J2313">
            <v>45653</v>
          </cell>
          <cell r="K2313">
            <v>8</v>
          </cell>
        </row>
        <row r="2314">
          <cell r="C2314" t="str">
            <v>何昆達</v>
          </cell>
          <cell r="F2314" t="str">
            <v>D230201R1</v>
          </cell>
          <cell r="J2314">
            <v>45656</v>
          </cell>
          <cell r="K2314">
            <v>8</v>
          </cell>
        </row>
        <row r="2315">
          <cell r="C2315" t="str">
            <v>何昆達</v>
          </cell>
          <cell r="J2315">
            <v>45657</v>
          </cell>
          <cell r="K2315">
            <v>8</v>
          </cell>
        </row>
        <row r="2316">
          <cell r="C2316" t="str">
            <v>何昆達</v>
          </cell>
          <cell r="F2316" t="str">
            <v>D230201R1</v>
          </cell>
          <cell r="J2316">
            <v>45659</v>
          </cell>
          <cell r="K2316">
            <v>8</v>
          </cell>
        </row>
        <row r="2317">
          <cell r="C2317" t="str">
            <v>何昆達</v>
          </cell>
          <cell r="F2317" t="str">
            <v>D230201R1</v>
          </cell>
          <cell r="J2317">
            <v>45660</v>
          </cell>
          <cell r="K2317">
            <v>8</v>
          </cell>
        </row>
        <row r="2318">
          <cell r="C2318" t="str">
            <v>何昆達</v>
          </cell>
          <cell r="F2318" t="str">
            <v>D230201R1</v>
          </cell>
          <cell r="J2318">
            <v>45663</v>
          </cell>
          <cell r="K2318">
            <v>4</v>
          </cell>
        </row>
        <row r="2319">
          <cell r="C2319" t="str">
            <v>何昆達</v>
          </cell>
          <cell r="F2319" t="str">
            <v>D230201R1</v>
          </cell>
          <cell r="J2319">
            <v>45663</v>
          </cell>
          <cell r="K2319">
            <v>4</v>
          </cell>
        </row>
        <row r="2320">
          <cell r="C2320" t="str">
            <v>何昆達</v>
          </cell>
          <cell r="F2320" t="str">
            <v>D230201R1</v>
          </cell>
          <cell r="J2320">
            <v>45664</v>
          </cell>
          <cell r="K2320">
            <v>4</v>
          </cell>
        </row>
        <row r="2321">
          <cell r="C2321" t="str">
            <v>何昆達</v>
          </cell>
          <cell r="F2321" t="str">
            <v>D230201R1</v>
          </cell>
          <cell r="J2321">
            <v>45664</v>
          </cell>
          <cell r="K2321">
            <v>4</v>
          </cell>
        </row>
        <row r="2322">
          <cell r="C2322" t="str">
            <v>何昆達</v>
          </cell>
          <cell r="F2322" t="str">
            <v>D230201R1</v>
          </cell>
          <cell r="J2322">
            <v>45665</v>
          </cell>
          <cell r="K2322">
            <v>8</v>
          </cell>
        </row>
        <row r="2323">
          <cell r="C2323" t="str">
            <v>何昆達</v>
          </cell>
          <cell r="F2323" t="str">
            <v>D230201R1</v>
          </cell>
          <cell r="J2323">
            <v>45666</v>
          </cell>
          <cell r="K2323">
            <v>8</v>
          </cell>
        </row>
        <row r="2324">
          <cell r="C2324" t="str">
            <v>何昆達</v>
          </cell>
          <cell r="J2324">
            <v>45667</v>
          </cell>
          <cell r="K2324">
            <v>8</v>
          </cell>
        </row>
        <row r="2325">
          <cell r="C2325" t="str">
            <v>何昆達</v>
          </cell>
          <cell r="F2325" t="str">
            <v>D230201R1</v>
          </cell>
          <cell r="J2325">
            <v>45670</v>
          </cell>
          <cell r="K2325">
            <v>8</v>
          </cell>
        </row>
        <row r="2326">
          <cell r="C2326" t="str">
            <v>何昆達</v>
          </cell>
          <cell r="F2326" t="str">
            <v>D230201R1</v>
          </cell>
          <cell r="J2326">
            <v>45671</v>
          </cell>
          <cell r="K2326">
            <v>8</v>
          </cell>
        </row>
        <row r="2327">
          <cell r="C2327" t="str">
            <v>何昆達</v>
          </cell>
          <cell r="F2327" t="str">
            <v>D230201R1</v>
          </cell>
          <cell r="J2327">
            <v>45672</v>
          </cell>
          <cell r="K2327">
            <v>6</v>
          </cell>
        </row>
        <row r="2328">
          <cell r="C2328" t="str">
            <v>何昆達</v>
          </cell>
          <cell r="F2328" t="str">
            <v>D230201R1</v>
          </cell>
          <cell r="J2328">
            <v>45673</v>
          </cell>
          <cell r="K2328">
            <v>6</v>
          </cell>
        </row>
        <row r="2329">
          <cell r="C2329" t="str">
            <v>何昆達</v>
          </cell>
          <cell r="F2329" t="str">
            <v>D230201R1</v>
          </cell>
          <cell r="J2329">
            <v>45673</v>
          </cell>
          <cell r="K2329">
            <v>2</v>
          </cell>
        </row>
        <row r="2330">
          <cell r="C2330" t="str">
            <v>何昆達</v>
          </cell>
          <cell r="F2330" t="str">
            <v>D230201R1</v>
          </cell>
          <cell r="J2330">
            <v>45674</v>
          </cell>
          <cell r="K2330">
            <v>8</v>
          </cell>
        </row>
        <row r="2331">
          <cell r="C2331" t="str">
            <v>何昆達</v>
          </cell>
          <cell r="F2331" t="str">
            <v>D230201R1</v>
          </cell>
          <cell r="J2331">
            <v>45677</v>
          </cell>
          <cell r="K2331">
            <v>8</v>
          </cell>
        </row>
        <row r="2332">
          <cell r="C2332" t="str">
            <v>何昆達</v>
          </cell>
          <cell r="J2332">
            <v>45678</v>
          </cell>
          <cell r="K2332">
            <v>8</v>
          </cell>
        </row>
        <row r="2333">
          <cell r="C2333" t="str">
            <v>何昆達</v>
          </cell>
          <cell r="J2333">
            <v>45679</v>
          </cell>
          <cell r="K2333">
            <v>8</v>
          </cell>
        </row>
        <row r="2334">
          <cell r="C2334" t="str">
            <v>何昆達</v>
          </cell>
          <cell r="J2334">
            <v>45680</v>
          </cell>
          <cell r="K2334">
            <v>8</v>
          </cell>
        </row>
        <row r="2335">
          <cell r="C2335" t="str">
            <v>何昆達</v>
          </cell>
          <cell r="J2335">
            <v>45681</v>
          </cell>
          <cell r="K2335">
            <v>8</v>
          </cell>
        </row>
        <row r="2336">
          <cell r="C2336" t="str">
            <v>何昆達</v>
          </cell>
          <cell r="J2336">
            <v>45691</v>
          </cell>
          <cell r="K2336">
            <v>8</v>
          </cell>
        </row>
        <row r="2337">
          <cell r="C2337" t="str">
            <v>何昆達</v>
          </cell>
          <cell r="J2337">
            <v>45692</v>
          </cell>
          <cell r="K2337">
            <v>8</v>
          </cell>
        </row>
        <row r="2338">
          <cell r="C2338" t="str">
            <v>何昆達</v>
          </cell>
          <cell r="F2338" t="str">
            <v>M241001R1</v>
          </cell>
          <cell r="J2338">
            <v>45693</v>
          </cell>
          <cell r="K2338">
            <v>5</v>
          </cell>
        </row>
        <row r="2339">
          <cell r="C2339" t="str">
            <v>何昆達</v>
          </cell>
          <cell r="J2339">
            <v>45693</v>
          </cell>
          <cell r="K2339">
            <v>3</v>
          </cell>
        </row>
        <row r="2340">
          <cell r="C2340" t="str">
            <v>何昆達</v>
          </cell>
          <cell r="J2340">
            <v>45694</v>
          </cell>
          <cell r="K2340">
            <v>8</v>
          </cell>
        </row>
        <row r="2341">
          <cell r="C2341" t="str">
            <v>何昆達</v>
          </cell>
          <cell r="J2341">
            <v>45695</v>
          </cell>
          <cell r="K2341">
            <v>8</v>
          </cell>
        </row>
        <row r="2342">
          <cell r="C2342" t="str">
            <v>何昆達</v>
          </cell>
          <cell r="J2342">
            <v>45698</v>
          </cell>
          <cell r="K2342">
            <v>3.5</v>
          </cell>
        </row>
        <row r="2343">
          <cell r="C2343" t="str">
            <v>何昆達</v>
          </cell>
          <cell r="F2343" t="str">
            <v>K240801R2</v>
          </cell>
          <cell r="J2343">
            <v>45698</v>
          </cell>
          <cell r="K2343">
            <v>4.5</v>
          </cell>
        </row>
        <row r="2344">
          <cell r="C2344" t="str">
            <v>何昆達</v>
          </cell>
          <cell r="J2344">
            <v>45699</v>
          </cell>
          <cell r="K2344">
            <v>5</v>
          </cell>
        </row>
        <row r="2345">
          <cell r="C2345" t="str">
            <v>何昆達</v>
          </cell>
          <cell r="J2345">
            <v>45699</v>
          </cell>
          <cell r="K2345">
            <v>3</v>
          </cell>
        </row>
        <row r="2346">
          <cell r="C2346" t="str">
            <v>何昆達</v>
          </cell>
          <cell r="F2346" t="str">
            <v>M241001R1</v>
          </cell>
          <cell r="J2346">
            <v>45700</v>
          </cell>
          <cell r="K2346">
            <v>5</v>
          </cell>
        </row>
        <row r="2347">
          <cell r="C2347" t="str">
            <v>何昆達</v>
          </cell>
          <cell r="F2347" t="str">
            <v>K240801R2</v>
          </cell>
          <cell r="J2347">
            <v>45700</v>
          </cell>
          <cell r="K2347">
            <v>3</v>
          </cell>
        </row>
        <row r="2348">
          <cell r="C2348" t="str">
            <v>何昆達</v>
          </cell>
          <cell r="J2348">
            <v>45701</v>
          </cell>
          <cell r="K2348">
            <v>2</v>
          </cell>
        </row>
        <row r="2349">
          <cell r="C2349" t="str">
            <v>何昆達</v>
          </cell>
          <cell r="F2349" t="str">
            <v>M241001R1</v>
          </cell>
          <cell r="J2349">
            <v>45701</v>
          </cell>
          <cell r="K2349">
            <v>6</v>
          </cell>
        </row>
        <row r="2350">
          <cell r="C2350" t="str">
            <v>何昆達</v>
          </cell>
          <cell r="F2350" t="str">
            <v>M241001R1</v>
          </cell>
          <cell r="J2350">
            <v>45702</v>
          </cell>
          <cell r="K2350">
            <v>5</v>
          </cell>
        </row>
        <row r="2351">
          <cell r="C2351" t="str">
            <v>何昆達</v>
          </cell>
          <cell r="J2351">
            <v>45702</v>
          </cell>
          <cell r="K2351">
            <v>3</v>
          </cell>
        </row>
        <row r="2352">
          <cell r="C2352" t="str">
            <v>何昆達</v>
          </cell>
          <cell r="J2352">
            <v>45705</v>
          </cell>
          <cell r="K2352">
            <v>3</v>
          </cell>
        </row>
        <row r="2353">
          <cell r="C2353" t="str">
            <v>何昆達</v>
          </cell>
          <cell r="F2353" t="str">
            <v>M241001R1</v>
          </cell>
          <cell r="J2353">
            <v>45705</v>
          </cell>
          <cell r="K2353">
            <v>5</v>
          </cell>
        </row>
        <row r="2354">
          <cell r="C2354" t="str">
            <v>何昆達</v>
          </cell>
          <cell r="F2354" t="str">
            <v>M241001R1</v>
          </cell>
          <cell r="J2354">
            <v>45706</v>
          </cell>
          <cell r="K2354">
            <v>8</v>
          </cell>
        </row>
        <row r="2355">
          <cell r="C2355" t="str">
            <v>何昆達</v>
          </cell>
          <cell r="F2355" t="str">
            <v>M241001R1</v>
          </cell>
          <cell r="J2355">
            <v>45707</v>
          </cell>
          <cell r="K2355">
            <v>5</v>
          </cell>
        </row>
        <row r="2356">
          <cell r="C2356" t="str">
            <v>何昆達</v>
          </cell>
          <cell r="J2356">
            <v>45707</v>
          </cell>
          <cell r="K2356">
            <v>3</v>
          </cell>
        </row>
        <row r="2357">
          <cell r="C2357" t="str">
            <v>何昆達</v>
          </cell>
          <cell r="F2357" t="str">
            <v>M241001R1</v>
          </cell>
          <cell r="J2357">
            <v>45708</v>
          </cell>
          <cell r="K2357">
            <v>8</v>
          </cell>
        </row>
        <row r="2358">
          <cell r="C2358" t="str">
            <v>何昆達</v>
          </cell>
          <cell r="F2358" t="str">
            <v>M241001R1</v>
          </cell>
          <cell r="J2358">
            <v>45709</v>
          </cell>
          <cell r="K2358">
            <v>8</v>
          </cell>
        </row>
        <row r="2359">
          <cell r="C2359" t="str">
            <v>何昆達</v>
          </cell>
          <cell r="F2359" t="str">
            <v>M241001R1</v>
          </cell>
          <cell r="J2359">
            <v>45712</v>
          </cell>
          <cell r="K2359">
            <v>4</v>
          </cell>
        </row>
        <row r="2360">
          <cell r="C2360" t="str">
            <v>何昆達</v>
          </cell>
          <cell r="J2360">
            <v>45712</v>
          </cell>
          <cell r="K2360">
            <v>2</v>
          </cell>
        </row>
        <row r="2361">
          <cell r="C2361" t="str">
            <v>何昆達</v>
          </cell>
          <cell r="J2361">
            <v>45712</v>
          </cell>
          <cell r="K2361">
            <v>2</v>
          </cell>
        </row>
        <row r="2362">
          <cell r="C2362" t="str">
            <v>何昆達</v>
          </cell>
          <cell r="J2362">
            <v>45713</v>
          </cell>
          <cell r="K2362">
            <v>3</v>
          </cell>
        </row>
        <row r="2363">
          <cell r="C2363" t="str">
            <v>何昆達</v>
          </cell>
          <cell r="F2363" t="str">
            <v>K240801R2</v>
          </cell>
          <cell r="J2363">
            <v>45713</v>
          </cell>
          <cell r="K2363">
            <v>5</v>
          </cell>
        </row>
        <row r="2364">
          <cell r="C2364" t="str">
            <v>何昆達</v>
          </cell>
          <cell r="J2364">
            <v>45714</v>
          </cell>
          <cell r="K2364">
            <v>8</v>
          </cell>
        </row>
        <row r="2365">
          <cell r="C2365" t="str">
            <v>何昆達</v>
          </cell>
          <cell r="J2365">
            <v>45715</v>
          </cell>
          <cell r="K2365">
            <v>8</v>
          </cell>
        </row>
        <row r="2366">
          <cell r="C2366" t="str">
            <v>何昆達</v>
          </cell>
          <cell r="J2366">
            <v>45719</v>
          </cell>
          <cell r="K2366">
            <v>2</v>
          </cell>
        </row>
        <row r="2367">
          <cell r="C2367" t="str">
            <v>何昆達</v>
          </cell>
          <cell r="F2367" t="str">
            <v>K240801R2</v>
          </cell>
          <cell r="J2367">
            <v>45719</v>
          </cell>
          <cell r="K2367">
            <v>6</v>
          </cell>
        </row>
        <row r="2368">
          <cell r="C2368" t="str">
            <v>何昆達</v>
          </cell>
          <cell r="F2368" t="str">
            <v>K240801R2</v>
          </cell>
          <cell r="J2368">
            <v>45720</v>
          </cell>
          <cell r="K2368">
            <v>6</v>
          </cell>
        </row>
        <row r="2369">
          <cell r="C2369" t="str">
            <v>何昆達</v>
          </cell>
          <cell r="J2369">
            <v>45720</v>
          </cell>
          <cell r="K2369">
            <v>2</v>
          </cell>
        </row>
        <row r="2370">
          <cell r="C2370" t="str">
            <v>何昆達</v>
          </cell>
          <cell r="J2370">
            <v>45721</v>
          </cell>
          <cell r="K2370">
            <v>2</v>
          </cell>
        </row>
        <row r="2371">
          <cell r="C2371" t="str">
            <v>何昆達</v>
          </cell>
          <cell r="J2371">
            <v>45721</v>
          </cell>
          <cell r="K2371">
            <v>3</v>
          </cell>
        </row>
        <row r="2372">
          <cell r="C2372" t="str">
            <v>何昆達</v>
          </cell>
          <cell r="F2372" t="str">
            <v>K240801R2</v>
          </cell>
          <cell r="J2372">
            <v>45721</v>
          </cell>
          <cell r="K2372">
            <v>3</v>
          </cell>
        </row>
        <row r="2373">
          <cell r="C2373" t="str">
            <v>何昆達</v>
          </cell>
          <cell r="F2373" t="str">
            <v>K240801R2</v>
          </cell>
          <cell r="J2373">
            <v>45722</v>
          </cell>
          <cell r="K2373">
            <v>8</v>
          </cell>
        </row>
        <row r="2374">
          <cell r="C2374" t="str">
            <v>何昆達</v>
          </cell>
          <cell r="F2374" t="str">
            <v>K240801R2</v>
          </cell>
          <cell r="J2374">
            <v>45723</v>
          </cell>
          <cell r="K2374">
            <v>8</v>
          </cell>
        </row>
        <row r="2375">
          <cell r="C2375" t="str">
            <v>何昆達</v>
          </cell>
          <cell r="J2375">
            <v>45726</v>
          </cell>
          <cell r="K2375">
            <v>5</v>
          </cell>
        </row>
        <row r="2376">
          <cell r="C2376" t="str">
            <v>何昆達</v>
          </cell>
          <cell r="J2376">
            <v>45726</v>
          </cell>
          <cell r="K2376">
            <v>3</v>
          </cell>
        </row>
        <row r="2377">
          <cell r="C2377" t="str">
            <v>何昆達</v>
          </cell>
          <cell r="F2377" t="str">
            <v>K240801R2</v>
          </cell>
          <cell r="J2377">
            <v>45727</v>
          </cell>
          <cell r="K2377">
            <v>8</v>
          </cell>
        </row>
        <row r="2378">
          <cell r="C2378" t="str">
            <v>何昆達</v>
          </cell>
          <cell r="F2378" t="str">
            <v>M241001R1</v>
          </cell>
          <cell r="J2378">
            <v>45728</v>
          </cell>
          <cell r="K2378">
            <v>5</v>
          </cell>
        </row>
        <row r="2379">
          <cell r="C2379" t="str">
            <v>何昆達</v>
          </cell>
          <cell r="J2379">
            <v>45728</v>
          </cell>
          <cell r="K2379">
            <v>3</v>
          </cell>
        </row>
        <row r="2380">
          <cell r="C2380" t="str">
            <v>何昆達</v>
          </cell>
          <cell r="F2380" t="str">
            <v>M241001R1</v>
          </cell>
          <cell r="J2380">
            <v>45729</v>
          </cell>
          <cell r="K2380">
            <v>3</v>
          </cell>
        </row>
        <row r="2381">
          <cell r="C2381" t="str">
            <v>何昆達</v>
          </cell>
          <cell r="J2381">
            <v>45729</v>
          </cell>
          <cell r="K2381">
            <v>5</v>
          </cell>
        </row>
        <row r="2382">
          <cell r="C2382" t="str">
            <v>何昆達</v>
          </cell>
          <cell r="F2382" t="str">
            <v>M241001R1</v>
          </cell>
          <cell r="J2382">
            <v>45730</v>
          </cell>
          <cell r="K2382">
            <v>8</v>
          </cell>
        </row>
        <row r="2383">
          <cell r="C2383" t="str">
            <v>何昆達</v>
          </cell>
          <cell r="J2383">
            <v>45733</v>
          </cell>
          <cell r="K2383">
            <v>2</v>
          </cell>
        </row>
        <row r="2384">
          <cell r="C2384" t="str">
            <v>何昆達</v>
          </cell>
          <cell r="F2384" t="str">
            <v>M241001R1</v>
          </cell>
          <cell r="J2384">
            <v>45733</v>
          </cell>
          <cell r="K2384">
            <v>4</v>
          </cell>
        </row>
        <row r="2385">
          <cell r="C2385" t="str">
            <v>何昆達</v>
          </cell>
          <cell r="J2385">
            <v>45733</v>
          </cell>
          <cell r="K2385">
            <v>2</v>
          </cell>
        </row>
        <row r="2386">
          <cell r="C2386" t="str">
            <v>何昆達</v>
          </cell>
          <cell r="F2386" t="str">
            <v>K240801R2</v>
          </cell>
          <cell r="J2386">
            <v>45734</v>
          </cell>
          <cell r="K2386">
            <v>8</v>
          </cell>
        </row>
        <row r="2387">
          <cell r="C2387" t="str">
            <v>何昆達</v>
          </cell>
          <cell r="F2387" t="str">
            <v>M241001R1</v>
          </cell>
          <cell r="J2387">
            <v>45735</v>
          </cell>
          <cell r="K2387">
            <v>8</v>
          </cell>
        </row>
        <row r="2388">
          <cell r="C2388" t="str">
            <v>何昆達</v>
          </cell>
          <cell r="F2388" t="str">
            <v>M241001R1</v>
          </cell>
          <cell r="J2388">
            <v>45736</v>
          </cell>
          <cell r="K2388">
            <v>8</v>
          </cell>
        </row>
        <row r="2389">
          <cell r="C2389" t="str">
            <v>何昆達</v>
          </cell>
          <cell r="F2389" t="str">
            <v>M241001R1</v>
          </cell>
          <cell r="J2389">
            <v>45737</v>
          </cell>
          <cell r="K2389">
            <v>8</v>
          </cell>
        </row>
        <row r="2390">
          <cell r="C2390" t="str">
            <v>何昆達</v>
          </cell>
          <cell r="J2390">
            <v>45740</v>
          </cell>
          <cell r="K2390">
            <v>8</v>
          </cell>
        </row>
        <row r="2391">
          <cell r="C2391" t="str">
            <v>何昆達</v>
          </cell>
          <cell r="J2391">
            <v>45741</v>
          </cell>
          <cell r="K2391">
            <v>8</v>
          </cell>
        </row>
        <row r="2392">
          <cell r="C2392" t="str">
            <v>何昆達</v>
          </cell>
          <cell r="J2392">
            <v>45742</v>
          </cell>
          <cell r="K2392">
            <v>4</v>
          </cell>
        </row>
        <row r="2393">
          <cell r="C2393" t="str">
            <v>何昆達</v>
          </cell>
          <cell r="J2393">
            <v>45742</v>
          </cell>
          <cell r="K2393">
            <v>4</v>
          </cell>
        </row>
        <row r="2394">
          <cell r="C2394" t="str">
            <v>何昆達</v>
          </cell>
          <cell r="J2394">
            <v>45743</v>
          </cell>
          <cell r="K2394">
            <v>8</v>
          </cell>
        </row>
        <row r="2395">
          <cell r="C2395" t="str">
            <v>何昆達</v>
          </cell>
          <cell r="J2395">
            <v>45744</v>
          </cell>
          <cell r="K2395">
            <v>8</v>
          </cell>
        </row>
        <row r="2396">
          <cell r="C2396" t="str">
            <v>何昆達</v>
          </cell>
          <cell r="J2396">
            <v>45747</v>
          </cell>
          <cell r="K2396">
            <v>8</v>
          </cell>
        </row>
        <row r="2397">
          <cell r="C2397" t="str">
            <v>何昆達</v>
          </cell>
          <cell r="J2397">
            <v>45748</v>
          </cell>
          <cell r="K2397">
            <v>8</v>
          </cell>
        </row>
        <row r="2398">
          <cell r="C2398" t="str">
            <v>何昆達</v>
          </cell>
          <cell r="J2398">
            <v>45749</v>
          </cell>
          <cell r="K2398">
            <v>8</v>
          </cell>
        </row>
        <row r="2399">
          <cell r="C2399" t="str">
            <v>何昆達</v>
          </cell>
          <cell r="F2399" t="str">
            <v>M241001R1</v>
          </cell>
          <cell r="J2399">
            <v>45754</v>
          </cell>
          <cell r="K2399">
            <v>2</v>
          </cell>
        </row>
        <row r="2400">
          <cell r="C2400" t="str">
            <v>何昆達</v>
          </cell>
          <cell r="J2400">
            <v>45754</v>
          </cell>
          <cell r="K2400">
            <v>4</v>
          </cell>
        </row>
        <row r="2401">
          <cell r="C2401" t="str">
            <v>何昆達</v>
          </cell>
          <cell r="J2401">
            <v>45754</v>
          </cell>
          <cell r="K2401">
            <v>2</v>
          </cell>
        </row>
        <row r="2402">
          <cell r="C2402" t="str">
            <v>何昆達</v>
          </cell>
          <cell r="J2402">
            <v>45755</v>
          </cell>
          <cell r="K2402">
            <v>4</v>
          </cell>
        </row>
        <row r="2403">
          <cell r="C2403" t="str">
            <v>何昆達</v>
          </cell>
          <cell r="J2403">
            <v>45755</v>
          </cell>
          <cell r="K2403">
            <v>4</v>
          </cell>
        </row>
        <row r="2404">
          <cell r="C2404" t="str">
            <v>何昆達</v>
          </cell>
          <cell r="J2404">
            <v>45756</v>
          </cell>
          <cell r="K2404">
            <v>4</v>
          </cell>
        </row>
        <row r="2405">
          <cell r="C2405" t="str">
            <v>何昆達</v>
          </cell>
          <cell r="J2405">
            <v>45756</v>
          </cell>
          <cell r="K2405">
            <v>2</v>
          </cell>
        </row>
        <row r="2406">
          <cell r="C2406" t="str">
            <v>何昆達</v>
          </cell>
          <cell r="J2406">
            <v>45756</v>
          </cell>
          <cell r="K2406">
            <v>2</v>
          </cell>
        </row>
        <row r="2407">
          <cell r="C2407" t="str">
            <v>何昆達</v>
          </cell>
          <cell r="J2407">
            <v>45757</v>
          </cell>
          <cell r="K2407">
            <v>6</v>
          </cell>
        </row>
        <row r="2408">
          <cell r="C2408" t="str">
            <v>何昆達</v>
          </cell>
          <cell r="J2408">
            <v>45757</v>
          </cell>
          <cell r="K2408">
            <v>2</v>
          </cell>
        </row>
        <row r="2409">
          <cell r="C2409" t="str">
            <v>何昆達</v>
          </cell>
          <cell r="J2409">
            <v>45758</v>
          </cell>
          <cell r="K2409">
            <v>8</v>
          </cell>
        </row>
        <row r="2410">
          <cell r="C2410" t="str">
            <v>何昆達</v>
          </cell>
          <cell r="J2410">
            <v>45761</v>
          </cell>
          <cell r="K2410">
            <v>8</v>
          </cell>
        </row>
        <row r="2411">
          <cell r="C2411" t="str">
            <v>何昆達</v>
          </cell>
          <cell r="J2411">
            <v>45763</v>
          </cell>
          <cell r="K2411">
            <v>8</v>
          </cell>
        </row>
        <row r="2412">
          <cell r="C2412" t="str">
            <v>何昆達</v>
          </cell>
          <cell r="J2412">
            <v>45764</v>
          </cell>
          <cell r="K2412">
            <v>8</v>
          </cell>
        </row>
        <row r="2413">
          <cell r="C2413" t="str">
            <v>何昆達</v>
          </cell>
          <cell r="J2413">
            <v>45765</v>
          </cell>
          <cell r="K2413">
            <v>8</v>
          </cell>
        </row>
        <row r="2414">
          <cell r="C2414" t="str">
            <v>何昆達</v>
          </cell>
          <cell r="J2414">
            <v>45768</v>
          </cell>
          <cell r="K2414">
            <v>4</v>
          </cell>
        </row>
        <row r="2415">
          <cell r="C2415" t="str">
            <v>何昆達</v>
          </cell>
          <cell r="J2415">
            <v>45768</v>
          </cell>
          <cell r="K2415">
            <v>2</v>
          </cell>
        </row>
        <row r="2416">
          <cell r="C2416" t="str">
            <v>何昆達</v>
          </cell>
          <cell r="J2416">
            <v>45768</v>
          </cell>
          <cell r="K2416">
            <v>2</v>
          </cell>
        </row>
        <row r="2417">
          <cell r="C2417" t="str">
            <v>何昆達</v>
          </cell>
          <cell r="J2417">
            <v>45769</v>
          </cell>
          <cell r="K2417">
            <v>6</v>
          </cell>
        </row>
        <row r="2418">
          <cell r="C2418" t="str">
            <v>何昆達</v>
          </cell>
          <cell r="J2418">
            <v>45769</v>
          </cell>
          <cell r="K2418">
            <v>2</v>
          </cell>
        </row>
        <row r="2419">
          <cell r="C2419" t="str">
            <v>何昆達</v>
          </cell>
          <cell r="J2419">
            <v>45770</v>
          </cell>
          <cell r="K2419">
            <v>5</v>
          </cell>
        </row>
        <row r="2420">
          <cell r="C2420" t="str">
            <v>何昆達</v>
          </cell>
          <cell r="J2420">
            <v>45770</v>
          </cell>
          <cell r="K2420">
            <v>3</v>
          </cell>
        </row>
        <row r="2421">
          <cell r="C2421" t="str">
            <v>何昆達</v>
          </cell>
          <cell r="J2421">
            <v>45771</v>
          </cell>
          <cell r="K2421">
            <v>8</v>
          </cell>
        </row>
        <row r="2422">
          <cell r="C2422" t="str">
            <v>何昆達</v>
          </cell>
          <cell r="J2422">
            <v>45772</v>
          </cell>
          <cell r="K2422">
            <v>8</v>
          </cell>
        </row>
        <row r="2423">
          <cell r="C2423" t="str">
            <v>何昆達</v>
          </cell>
          <cell r="J2423">
            <v>45775</v>
          </cell>
          <cell r="K2423">
            <v>8</v>
          </cell>
        </row>
        <row r="2424">
          <cell r="C2424" t="str">
            <v>何昆達</v>
          </cell>
          <cell r="J2424">
            <v>45776</v>
          </cell>
          <cell r="K2424">
            <v>8</v>
          </cell>
        </row>
        <row r="2425">
          <cell r="C2425" t="str">
            <v>何昆達</v>
          </cell>
          <cell r="F2425" t="str">
            <v>K240801R2</v>
          </cell>
          <cell r="J2425">
            <v>45777</v>
          </cell>
          <cell r="K2425">
            <v>4</v>
          </cell>
        </row>
        <row r="2426">
          <cell r="C2426" t="str">
            <v>何昆達</v>
          </cell>
          <cell r="J2426">
            <v>45777</v>
          </cell>
          <cell r="K2426">
            <v>4</v>
          </cell>
        </row>
        <row r="2427">
          <cell r="C2427" t="str">
            <v>何昆達</v>
          </cell>
          <cell r="J2427">
            <v>45806</v>
          </cell>
          <cell r="K2427">
            <v>8</v>
          </cell>
        </row>
        <row r="2428">
          <cell r="C2428" t="str">
            <v>何昆達</v>
          </cell>
          <cell r="J2428">
            <v>45807</v>
          </cell>
          <cell r="K2428">
            <v>8</v>
          </cell>
        </row>
        <row r="2429">
          <cell r="C2429" t="str">
            <v>何昆達</v>
          </cell>
          <cell r="J2429">
            <v>45810</v>
          </cell>
          <cell r="K2429">
            <v>8</v>
          </cell>
        </row>
        <row r="2430">
          <cell r="C2430" t="str">
            <v>何昆達</v>
          </cell>
          <cell r="J2430">
            <v>45811</v>
          </cell>
          <cell r="K2430">
            <v>8</v>
          </cell>
        </row>
        <row r="2431">
          <cell r="C2431" t="str">
            <v>何昆達</v>
          </cell>
          <cell r="J2431">
            <v>45812</v>
          </cell>
          <cell r="K2431">
            <v>8</v>
          </cell>
        </row>
        <row r="2432">
          <cell r="C2432" t="str">
            <v>何昆達</v>
          </cell>
          <cell r="J2432">
            <v>45834</v>
          </cell>
          <cell r="K2432">
            <v>8</v>
          </cell>
        </row>
        <row r="2433">
          <cell r="C2433" t="str">
            <v>何昆達</v>
          </cell>
          <cell r="J2433">
            <v>45835</v>
          </cell>
          <cell r="K2433">
            <v>8</v>
          </cell>
        </row>
        <row r="2434">
          <cell r="C2434" t="str">
            <v>何昆達</v>
          </cell>
          <cell r="J2434">
            <v>45838</v>
          </cell>
          <cell r="K2434">
            <v>8</v>
          </cell>
        </row>
        <row r="2435">
          <cell r="C2435" t="str">
            <v>何昆達</v>
          </cell>
          <cell r="J2435">
            <v>45839</v>
          </cell>
          <cell r="K2435">
            <v>8</v>
          </cell>
        </row>
        <row r="2436">
          <cell r="C2436" t="str">
            <v>何昆達</v>
          </cell>
          <cell r="J2436">
            <v>45840</v>
          </cell>
          <cell r="K2436">
            <v>8</v>
          </cell>
        </row>
        <row r="2437">
          <cell r="C2437" t="str">
            <v>何昆達</v>
          </cell>
          <cell r="J2437">
            <v>45841</v>
          </cell>
          <cell r="K2437">
            <v>8</v>
          </cell>
        </row>
        <row r="2438">
          <cell r="C2438" t="str">
            <v>何昆達</v>
          </cell>
          <cell r="J2438">
            <v>45842</v>
          </cell>
          <cell r="K2438">
            <v>8</v>
          </cell>
        </row>
        <row r="2439">
          <cell r="C2439" t="str">
            <v>何昆達</v>
          </cell>
          <cell r="J2439">
            <v>45845</v>
          </cell>
          <cell r="K2439">
            <v>8</v>
          </cell>
        </row>
        <row r="2440">
          <cell r="C2440" t="str">
            <v>何昆達</v>
          </cell>
          <cell r="J2440">
            <v>45846</v>
          </cell>
          <cell r="K2440">
            <v>8</v>
          </cell>
        </row>
        <row r="2441">
          <cell r="C2441" t="str">
            <v>何昆達</v>
          </cell>
          <cell r="J2441">
            <v>45847</v>
          </cell>
          <cell r="K2441">
            <v>8</v>
          </cell>
        </row>
        <row r="2442">
          <cell r="C2442" t="str">
            <v>何昆達</v>
          </cell>
          <cell r="J2442">
            <v>45848</v>
          </cell>
          <cell r="K2442">
            <v>8</v>
          </cell>
        </row>
        <row r="2443">
          <cell r="C2443" t="str">
            <v>何昆達</v>
          </cell>
          <cell r="J2443">
            <v>45849</v>
          </cell>
          <cell r="K2443">
            <v>8</v>
          </cell>
        </row>
        <row r="2444">
          <cell r="C2444" t="str">
            <v>何昆達</v>
          </cell>
          <cell r="J2444">
            <v>45852</v>
          </cell>
          <cell r="K2444">
            <v>8</v>
          </cell>
        </row>
        <row r="2445">
          <cell r="C2445" t="str">
            <v>何昆達</v>
          </cell>
          <cell r="J2445">
            <v>45853</v>
          </cell>
          <cell r="K2445">
            <v>8</v>
          </cell>
        </row>
        <row r="2446">
          <cell r="C2446" t="str">
            <v>何昆達</v>
          </cell>
          <cell r="J2446">
            <v>45854</v>
          </cell>
          <cell r="K2446">
            <v>8</v>
          </cell>
        </row>
        <row r="2447">
          <cell r="C2447" t="str">
            <v>何昆達</v>
          </cell>
          <cell r="J2447">
            <v>45855</v>
          </cell>
          <cell r="K2447">
            <v>8</v>
          </cell>
        </row>
        <row r="2448">
          <cell r="C2448" t="str">
            <v>何昆達</v>
          </cell>
          <cell r="J2448">
            <v>45856</v>
          </cell>
          <cell r="K2448">
            <v>4</v>
          </cell>
        </row>
        <row r="2449">
          <cell r="C2449" t="str">
            <v>何昆達</v>
          </cell>
          <cell r="J2449">
            <v>45856</v>
          </cell>
          <cell r="K2449">
            <v>4</v>
          </cell>
        </row>
        <row r="2450">
          <cell r="C2450" t="str">
            <v>何昆達</v>
          </cell>
          <cell r="F2450" t="str">
            <v>K240801R2</v>
          </cell>
          <cell r="J2450">
            <v>45859</v>
          </cell>
          <cell r="K2450">
            <v>3</v>
          </cell>
        </row>
        <row r="2451">
          <cell r="C2451" t="str">
            <v>何昆達</v>
          </cell>
          <cell r="J2451">
            <v>45859</v>
          </cell>
          <cell r="K2451">
            <v>2</v>
          </cell>
        </row>
        <row r="2452">
          <cell r="C2452" t="str">
            <v>何昆達</v>
          </cell>
          <cell r="F2452" t="str">
            <v>K240801R2</v>
          </cell>
          <cell r="J2452">
            <v>45859</v>
          </cell>
          <cell r="K2452">
            <v>3</v>
          </cell>
        </row>
        <row r="2453">
          <cell r="C2453" t="str">
            <v>何昆達</v>
          </cell>
          <cell r="J2453">
            <v>45860</v>
          </cell>
          <cell r="K2453">
            <v>8</v>
          </cell>
        </row>
        <row r="2454">
          <cell r="C2454" t="str">
            <v>何昆達</v>
          </cell>
          <cell r="J2454">
            <v>45861</v>
          </cell>
          <cell r="K2454">
            <v>8</v>
          </cell>
        </row>
        <row r="2455">
          <cell r="C2455" t="str">
            <v>何昆達</v>
          </cell>
          <cell r="J2455">
            <v>45862</v>
          </cell>
          <cell r="K2455">
            <v>8</v>
          </cell>
        </row>
        <row r="2456">
          <cell r="C2456" t="str">
            <v>何昆達</v>
          </cell>
          <cell r="J2456">
            <v>45863</v>
          </cell>
          <cell r="K2456">
            <v>4</v>
          </cell>
        </row>
        <row r="2457">
          <cell r="C2457" t="str">
            <v>何昆達</v>
          </cell>
          <cell r="J2457">
            <v>45863</v>
          </cell>
          <cell r="K2457">
            <v>4</v>
          </cell>
        </row>
        <row r="2458">
          <cell r="C2458" t="str">
            <v>何昆達</v>
          </cell>
          <cell r="F2458" t="str">
            <v>K240801R2</v>
          </cell>
          <cell r="J2458">
            <v>45866</v>
          </cell>
          <cell r="K2458">
            <v>2</v>
          </cell>
        </row>
        <row r="2459">
          <cell r="C2459" t="str">
            <v>何昆達</v>
          </cell>
          <cell r="J2459">
            <v>45866</v>
          </cell>
          <cell r="K2459">
            <v>4</v>
          </cell>
        </row>
        <row r="2460">
          <cell r="C2460" t="str">
            <v>何昆達</v>
          </cell>
          <cell r="F2460" t="str">
            <v>K240801R2</v>
          </cell>
          <cell r="J2460">
            <v>45866</v>
          </cell>
          <cell r="K2460">
            <v>2</v>
          </cell>
        </row>
        <row r="2461">
          <cell r="C2461" t="str">
            <v>何昆達</v>
          </cell>
          <cell r="J2461">
            <v>45867</v>
          </cell>
          <cell r="K2461">
            <v>8</v>
          </cell>
        </row>
        <row r="2462">
          <cell r="C2462" t="str">
            <v>何昆達</v>
          </cell>
          <cell r="J2462">
            <v>45868</v>
          </cell>
          <cell r="K2462">
            <v>8</v>
          </cell>
        </row>
        <row r="2463">
          <cell r="C2463" t="str">
            <v>何昆達</v>
          </cell>
          <cell r="J2463">
            <v>45869</v>
          </cell>
          <cell r="K2463">
            <v>4</v>
          </cell>
        </row>
        <row r="2464">
          <cell r="C2464" t="str">
            <v>何昆達</v>
          </cell>
          <cell r="J2464">
            <v>45869</v>
          </cell>
          <cell r="K2464">
            <v>4</v>
          </cell>
        </row>
        <row r="2465">
          <cell r="C2465" t="str">
            <v>何昆達</v>
          </cell>
          <cell r="J2465">
            <v>45870</v>
          </cell>
          <cell r="K2465">
            <v>8</v>
          </cell>
        </row>
        <row r="2466">
          <cell r="C2466" t="str">
            <v>何昆達</v>
          </cell>
          <cell r="J2466">
            <v>45873</v>
          </cell>
          <cell r="K2466">
            <v>4</v>
          </cell>
        </row>
        <row r="2467">
          <cell r="C2467" t="str">
            <v>何昆達</v>
          </cell>
          <cell r="F2467" t="str">
            <v>K240801R2</v>
          </cell>
          <cell r="J2467">
            <v>45873</v>
          </cell>
          <cell r="K2467">
            <v>2</v>
          </cell>
        </row>
        <row r="2468">
          <cell r="C2468" t="str">
            <v>何昆達</v>
          </cell>
          <cell r="F2468" t="str">
            <v>K240801R2</v>
          </cell>
          <cell r="J2468">
            <v>45873</v>
          </cell>
          <cell r="K2468">
            <v>2</v>
          </cell>
        </row>
        <row r="2469">
          <cell r="C2469" t="str">
            <v>何昆達</v>
          </cell>
          <cell r="J2469">
            <v>45874</v>
          </cell>
          <cell r="K2469">
            <v>8</v>
          </cell>
        </row>
        <row r="2470">
          <cell r="C2470" t="str">
            <v>何昆達</v>
          </cell>
          <cell r="J2470">
            <v>45875</v>
          </cell>
          <cell r="K2470">
            <v>8</v>
          </cell>
        </row>
        <row r="2471">
          <cell r="C2471" t="str">
            <v>何昆達</v>
          </cell>
          <cell r="J2471">
            <v>45876</v>
          </cell>
          <cell r="K2471">
            <v>8</v>
          </cell>
        </row>
        <row r="2472">
          <cell r="C2472" t="str">
            <v>何昆達</v>
          </cell>
          <cell r="J2472">
            <v>45877</v>
          </cell>
          <cell r="K2472">
            <v>8</v>
          </cell>
        </row>
        <row r="2473">
          <cell r="C2473" t="str">
            <v>何昆達</v>
          </cell>
          <cell r="F2473" t="str">
            <v>K240801R2</v>
          </cell>
          <cell r="J2473">
            <v>45880</v>
          </cell>
          <cell r="K2473">
            <v>3</v>
          </cell>
        </row>
        <row r="2474">
          <cell r="C2474" t="str">
            <v>何昆達</v>
          </cell>
          <cell r="J2474">
            <v>45880</v>
          </cell>
          <cell r="K2474">
            <v>2</v>
          </cell>
        </row>
        <row r="2475">
          <cell r="C2475" t="str">
            <v>何昆達</v>
          </cell>
          <cell r="F2475" t="str">
            <v>K240801R2</v>
          </cell>
          <cell r="J2475">
            <v>45880</v>
          </cell>
          <cell r="K2475">
            <v>3</v>
          </cell>
        </row>
        <row r="2476">
          <cell r="C2476" t="str">
            <v>何昆達</v>
          </cell>
          <cell r="J2476">
            <v>45881</v>
          </cell>
          <cell r="K2476">
            <v>8</v>
          </cell>
        </row>
        <row r="2477">
          <cell r="C2477" t="str">
            <v>何昆達</v>
          </cell>
          <cell r="J2477">
            <v>45882</v>
          </cell>
          <cell r="K2477">
            <v>8</v>
          </cell>
        </row>
        <row r="2478">
          <cell r="C2478" t="str">
            <v>何昆達</v>
          </cell>
          <cell r="J2478">
            <v>45883</v>
          </cell>
          <cell r="K2478">
            <v>4</v>
          </cell>
        </row>
        <row r="2479">
          <cell r="C2479" t="str">
            <v>何昆達</v>
          </cell>
          <cell r="F2479" t="str">
            <v>D250702R1</v>
          </cell>
          <cell r="J2479">
            <v>45883</v>
          </cell>
          <cell r="K2479">
            <v>4</v>
          </cell>
        </row>
        <row r="2480">
          <cell r="C2480" t="str">
            <v>何昆達</v>
          </cell>
          <cell r="J2480">
            <v>45884</v>
          </cell>
          <cell r="K2480">
            <v>8</v>
          </cell>
        </row>
        <row r="2481">
          <cell r="C2481" t="str">
            <v>何昆達</v>
          </cell>
          <cell r="F2481" t="str">
            <v>K240801R2</v>
          </cell>
          <cell r="J2481">
            <v>45887</v>
          </cell>
          <cell r="K2481">
            <v>2</v>
          </cell>
        </row>
        <row r="2482">
          <cell r="C2482" t="str">
            <v>何昆達</v>
          </cell>
          <cell r="J2482">
            <v>45887</v>
          </cell>
          <cell r="K2482">
            <v>4</v>
          </cell>
        </row>
        <row r="2483">
          <cell r="C2483" t="str">
            <v>何昆達</v>
          </cell>
          <cell r="F2483" t="str">
            <v>K240801R2</v>
          </cell>
          <cell r="J2483">
            <v>45887</v>
          </cell>
          <cell r="K2483">
            <v>2</v>
          </cell>
        </row>
        <row r="2484">
          <cell r="C2484" t="str">
            <v>何昆達</v>
          </cell>
          <cell r="J2484">
            <v>45888</v>
          </cell>
          <cell r="K2484">
            <v>8</v>
          </cell>
        </row>
        <row r="2485">
          <cell r="C2485" t="str">
            <v>何昆達</v>
          </cell>
          <cell r="J2485">
            <v>45889</v>
          </cell>
          <cell r="K2485">
            <v>6</v>
          </cell>
        </row>
        <row r="2486">
          <cell r="C2486" t="str">
            <v>何昆達</v>
          </cell>
          <cell r="J2486">
            <v>45889</v>
          </cell>
          <cell r="K2486">
            <v>2</v>
          </cell>
        </row>
        <row r="2487">
          <cell r="C2487" t="str">
            <v>何昆達</v>
          </cell>
          <cell r="J2487">
            <v>45890</v>
          </cell>
          <cell r="K2487">
            <v>8</v>
          </cell>
        </row>
        <row r="2488">
          <cell r="C2488" t="str">
            <v>何昆達</v>
          </cell>
          <cell r="J2488">
            <v>45891</v>
          </cell>
          <cell r="K2488">
            <v>4</v>
          </cell>
        </row>
        <row r="2489">
          <cell r="C2489" t="str">
            <v>何昆達</v>
          </cell>
          <cell r="J2489">
            <v>45891</v>
          </cell>
          <cell r="K2489">
            <v>4</v>
          </cell>
        </row>
        <row r="2490">
          <cell r="C2490" t="str">
            <v>何昆達</v>
          </cell>
          <cell r="J2490">
            <v>45894</v>
          </cell>
          <cell r="K2490">
            <v>4</v>
          </cell>
        </row>
        <row r="2491">
          <cell r="C2491" t="str">
            <v>何昆達</v>
          </cell>
          <cell r="F2491" t="str">
            <v>K240801R2</v>
          </cell>
          <cell r="J2491">
            <v>45894</v>
          </cell>
          <cell r="K2491">
            <v>2</v>
          </cell>
        </row>
        <row r="2492">
          <cell r="C2492" t="str">
            <v>何昆達</v>
          </cell>
          <cell r="F2492" t="str">
            <v>K240801R2</v>
          </cell>
          <cell r="J2492">
            <v>45894</v>
          </cell>
          <cell r="K2492">
            <v>2</v>
          </cell>
        </row>
        <row r="2493">
          <cell r="C2493" t="str">
            <v>何昆達</v>
          </cell>
          <cell r="J2493">
            <v>45895</v>
          </cell>
          <cell r="K2493">
            <v>8</v>
          </cell>
        </row>
        <row r="2494">
          <cell r="C2494" t="str">
            <v>何昆達</v>
          </cell>
          <cell r="J2494">
            <v>45896</v>
          </cell>
          <cell r="K2494">
            <v>4</v>
          </cell>
        </row>
        <row r="2495">
          <cell r="C2495" t="str">
            <v>何昆達</v>
          </cell>
          <cell r="J2495">
            <v>45896</v>
          </cell>
          <cell r="K2495">
            <v>4</v>
          </cell>
        </row>
        <row r="2496">
          <cell r="C2496" t="str">
            <v>何昆達</v>
          </cell>
          <cell r="J2496">
            <v>45897</v>
          </cell>
          <cell r="K2496">
            <v>8</v>
          </cell>
        </row>
        <row r="2497">
          <cell r="C2497" t="str">
            <v>何昆達</v>
          </cell>
          <cell r="J2497">
            <v>45898</v>
          </cell>
          <cell r="K2497">
            <v>4</v>
          </cell>
        </row>
        <row r="2498">
          <cell r="C2498" t="str">
            <v>何昆達</v>
          </cell>
          <cell r="J2498">
            <v>45898</v>
          </cell>
          <cell r="K2498">
            <v>4</v>
          </cell>
        </row>
        <row r="2499">
          <cell r="C2499" t="str">
            <v>何昆達</v>
          </cell>
          <cell r="F2499" t="str">
            <v>K240801R2</v>
          </cell>
          <cell r="J2499">
            <v>45901</v>
          </cell>
          <cell r="K2499">
            <v>2</v>
          </cell>
        </row>
        <row r="2500">
          <cell r="C2500" t="str">
            <v>何昆達</v>
          </cell>
          <cell r="F2500" t="str">
            <v>K240801R2</v>
          </cell>
          <cell r="J2500">
            <v>45901</v>
          </cell>
          <cell r="K2500">
            <v>2</v>
          </cell>
        </row>
        <row r="2501">
          <cell r="C2501" t="str">
            <v>何昆達</v>
          </cell>
          <cell r="F2501" t="str">
            <v>D250802R1</v>
          </cell>
          <cell r="J2501">
            <v>45901</v>
          </cell>
          <cell r="K2501">
            <v>4</v>
          </cell>
        </row>
        <row r="2502">
          <cell r="C2502" t="str">
            <v>何昆達</v>
          </cell>
          <cell r="J2502">
            <v>45902</v>
          </cell>
          <cell r="K2502">
            <v>8</v>
          </cell>
        </row>
        <row r="2503">
          <cell r="C2503" t="str">
            <v>何昆達</v>
          </cell>
          <cell r="J2503">
            <v>45903</v>
          </cell>
          <cell r="K2503">
            <v>8</v>
          </cell>
        </row>
        <row r="2504">
          <cell r="C2504" t="str">
            <v>何昆達</v>
          </cell>
          <cell r="J2504">
            <v>45904</v>
          </cell>
          <cell r="K2504">
            <v>8</v>
          </cell>
        </row>
        <row r="2505">
          <cell r="C2505" t="str">
            <v>何昆達</v>
          </cell>
          <cell r="J2505">
            <v>45905</v>
          </cell>
          <cell r="K2505">
            <v>8</v>
          </cell>
        </row>
        <row r="2506">
          <cell r="C2506" t="str">
            <v>何昆達</v>
          </cell>
          <cell r="F2506" t="str">
            <v>K240801R2</v>
          </cell>
          <cell r="J2506">
            <v>45908</v>
          </cell>
          <cell r="K2506">
            <v>2</v>
          </cell>
        </row>
        <row r="2507">
          <cell r="C2507" t="str">
            <v>何昆達</v>
          </cell>
          <cell r="F2507" t="str">
            <v>K240801R2</v>
          </cell>
          <cell r="J2507">
            <v>45908</v>
          </cell>
          <cell r="K2507">
            <v>2</v>
          </cell>
        </row>
        <row r="2508">
          <cell r="C2508" t="str">
            <v>何昆達</v>
          </cell>
          <cell r="F2508" t="str">
            <v>D250802R1</v>
          </cell>
          <cell r="J2508">
            <v>45908</v>
          </cell>
          <cell r="K2508">
            <v>4</v>
          </cell>
        </row>
        <row r="2509">
          <cell r="C2509" t="str">
            <v>何昆達</v>
          </cell>
          <cell r="J2509">
            <v>45909</v>
          </cell>
          <cell r="K2509">
            <v>4</v>
          </cell>
        </row>
        <row r="2510">
          <cell r="C2510" t="str">
            <v>何昆達</v>
          </cell>
          <cell r="J2510">
            <v>45909</v>
          </cell>
          <cell r="K2510">
            <v>4</v>
          </cell>
        </row>
        <row r="2511">
          <cell r="C2511" t="str">
            <v>何昆達</v>
          </cell>
          <cell r="F2511" t="str">
            <v>D250802R1</v>
          </cell>
          <cell r="J2511">
            <v>45910</v>
          </cell>
          <cell r="K2511">
            <v>8</v>
          </cell>
        </row>
        <row r="2512">
          <cell r="C2512" t="str">
            <v>何昆達</v>
          </cell>
          <cell r="J2512">
            <v>45911</v>
          </cell>
          <cell r="K2512">
            <v>8</v>
          </cell>
        </row>
        <row r="2513">
          <cell r="C2513" t="str">
            <v>何昆達</v>
          </cell>
          <cell r="J2513">
            <v>45912</v>
          </cell>
          <cell r="K2513">
            <v>8</v>
          </cell>
        </row>
        <row r="2514">
          <cell r="C2514" t="str">
            <v>何昆達</v>
          </cell>
          <cell r="F2514" t="str">
            <v>K240801R2</v>
          </cell>
          <cell r="J2514">
            <v>45915</v>
          </cell>
          <cell r="K2514">
            <v>2</v>
          </cell>
        </row>
        <row r="2515">
          <cell r="C2515" t="str">
            <v>何昆達</v>
          </cell>
          <cell r="F2515" t="str">
            <v>K240801R2</v>
          </cell>
          <cell r="J2515">
            <v>45915</v>
          </cell>
          <cell r="K2515">
            <v>2</v>
          </cell>
        </row>
        <row r="2516">
          <cell r="C2516" t="str">
            <v>何昆達</v>
          </cell>
          <cell r="F2516" t="str">
            <v>D250802R1</v>
          </cell>
          <cell r="J2516">
            <v>45915</v>
          </cell>
          <cell r="K2516">
            <v>4</v>
          </cell>
        </row>
        <row r="2517">
          <cell r="C2517" t="str">
            <v>何昆達</v>
          </cell>
          <cell r="J2517">
            <v>45916</v>
          </cell>
          <cell r="K2517">
            <v>4</v>
          </cell>
        </row>
        <row r="2518">
          <cell r="C2518" t="str">
            <v>何昆達</v>
          </cell>
          <cell r="F2518" t="str">
            <v>D250802R1</v>
          </cell>
          <cell r="J2518">
            <v>45916</v>
          </cell>
          <cell r="K2518">
            <v>4</v>
          </cell>
        </row>
        <row r="2519">
          <cell r="C2519" t="str">
            <v>何昆達</v>
          </cell>
          <cell r="J2519">
            <v>45917</v>
          </cell>
          <cell r="K2519">
            <v>8</v>
          </cell>
        </row>
        <row r="2520">
          <cell r="C2520" t="str">
            <v>何昆達</v>
          </cell>
          <cell r="J2520">
            <v>45918</v>
          </cell>
          <cell r="K2520">
            <v>8</v>
          </cell>
        </row>
        <row r="2521">
          <cell r="C2521" t="str">
            <v>何昆達</v>
          </cell>
          <cell r="F2521" t="str">
            <v>D250802R1</v>
          </cell>
          <cell r="J2521">
            <v>45919</v>
          </cell>
          <cell r="K2521">
            <v>8</v>
          </cell>
        </row>
        <row r="2522">
          <cell r="C2522" t="str">
            <v>何昆達</v>
          </cell>
          <cell r="J2522">
            <v>45922</v>
          </cell>
          <cell r="K2522">
            <v>8</v>
          </cell>
        </row>
        <row r="2523">
          <cell r="C2523" t="str">
            <v>何昆達</v>
          </cell>
          <cell r="J2523">
            <v>45923</v>
          </cell>
          <cell r="K2523">
            <v>8</v>
          </cell>
        </row>
        <row r="2524">
          <cell r="C2524" t="str">
            <v>何昆達</v>
          </cell>
          <cell r="J2524">
            <v>45924</v>
          </cell>
          <cell r="K2524">
            <v>8</v>
          </cell>
        </row>
        <row r="2525">
          <cell r="C2525" t="str">
            <v>何昆達</v>
          </cell>
          <cell r="J2525">
            <v>45925</v>
          </cell>
          <cell r="K2525">
            <v>8</v>
          </cell>
        </row>
        <row r="2526">
          <cell r="C2526" t="str">
            <v>何昆達</v>
          </cell>
          <cell r="J2526">
            <v>45926</v>
          </cell>
          <cell r="K2526">
            <v>8</v>
          </cell>
        </row>
        <row r="2527">
          <cell r="C2527" t="str">
            <v>何昆達</v>
          </cell>
          <cell r="J2527">
            <v>45930</v>
          </cell>
          <cell r="K2527">
            <v>8</v>
          </cell>
        </row>
        <row r="2528">
          <cell r="C2528" t="str">
            <v>何昆達</v>
          </cell>
          <cell r="J2528">
            <v>45931</v>
          </cell>
          <cell r="K2528">
            <v>8</v>
          </cell>
        </row>
        <row r="2529">
          <cell r="C2529" t="str">
            <v>何昆達</v>
          </cell>
          <cell r="J2529">
            <v>45932</v>
          </cell>
          <cell r="K2529">
            <v>4</v>
          </cell>
        </row>
        <row r="2530">
          <cell r="C2530" t="str">
            <v>何昆達</v>
          </cell>
          <cell r="J2530">
            <v>45932</v>
          </cell>
          <cell r="K2530">
            <v>4</v>
          </cell>
        </row>
        <row r="2531">
          <cell r="C2531" t="str">
            <v>何昆達</v>
          </cell>
          <cell r="F2531" t="str">
            <v>D250802R1</v>
          </cell>
          <cell r="J2531">
            <v>45933</v>
          </cell>
          <cell r="K2531">
            <v>8</v>
          </cell>
        </row>
        <row r="2532">
          <cell r="C2532" t="str">
            <v>何昆達</v>
          </cell>
          <cell r="J2532">
            <v>45937</v>
          </cell>
          <cell r="K2532">
            <v>8</v>
          </cell>
        </row>
        <row r="2533">
          <cell r="C2533" t="str">
            <v>何昆達</v>
          </cell>
          <cell r="J2533">
            <v>45938</v>
          </cell>
          <cell r="K2533">
            <v>8</v>
          </cell>
        </row>
        <row r="2534">
          <cell r="C2534" t="str">
            <v>何昆達</v>
          </cell>
          <cell r="J2534">
            <v>45939</v>
          </cell>
          <cell r="K2534">
            <v>8</v>
          </cell>
        </row>
        <row r="2535">
          <cell r="C2535" t="str">
            <v>何昆達</v>
          </cell>
          <cell r="F2535" t="str">
            <v>D250802R1</v>
          </cell>
          <cell r="J2535">
            <v>45943</v>
          </cell>
          <cell r="K2535">
            <v>2</v>
          </cell>
        </row>
        <row r="2536">
          <cell r="C2536" t="str">
            <v>何昆達</v>
          </cell>
          <cell r="J2536">
            <v>45943</v>
          </cell>
          <cell r="K2536">
            <v>3</v>
          </cell>
        </row>
        <row r="2537">
          <cell r="C2537" t="str">
            <v>何昆達</v>
          </cell>
          <cell r="F2537" t="str">
            <v>D250802R1</v>
          </cell>
          <cell r="J2537">
            <v>45943</v>
          </cell>
          <cell r="K2537">
            <v>3</v>
          </cell>
        </row>
        <row r="2538">
          <cell r="C2538" t="str">
            <v>何昆達</v>
          </cell>
          <cell r="J2538">
            <v>45944</v>
          </cell>
          <cell r="K2538">
            <v>8</v>
          </cell>
        </row>
        <row r="2539">
          <cell r="C2539" t="str">
            <v>何昆達</v>
          </cell>
          <cell r="J2539">
            <v>45945</v>
          </cell>
          <cell r="K2539">
            <v>8</v>
          </cell>
        </row>
        <row r="2540">
          <cell r="C2540" t="str">
            <v>何昆達</v>
          </cell>
          <cell r="J2540">
            <v>45946</v>
          </cell>
          <cell r="K2540">
            <v>8</v>
          </cell>
        </row>
        <row r="2541">
          <cell r="C2541" t="str">
            <v>何昆達</v>
          </cell>
          <cell r="J2541">
            <v>45947</v>
          </cell>
          <cell r="K2541">
            <v>8</v>
          </cell>
        </row>
        <row r="2542">
          <cell r="C2542" t="str">
            <v>何昆達</v>
          </cell>
          <cell r="F2542" t="str">
            <v>D250802R1</v>
          </cell>
          <cell r="J2542">
            <v>45950</v>
          </cell>
          <cell r="K2542">
            <v>3</v>
          </cell>
        </row>
        <row r="2543">
          <cell r="C2543" t="str">
            <v>何昆達</v>
          </cell>
          <cell r="J2543">
            <v>45950</v>
          </cell>
          <cell r="K2543">
            <v>3</v>
          </cell>
        </row>
        <row r="2544">
          <cell r="C2544" t="str">
            <v>何昆達</v>
          </cell>
          <cell r="F2544" t="str">
            <v>D250802R1</v>
          </cell>
          <cell r="J2544">
            <v>45950</v>
          </cell>
          <cell r="K2544">
            <v>2</v>
          </cell>
        </row>
        <row r="2545">
          <cell r="C2545" t="str">
            <v>何昆達</v>
          </cell>
          <cell r="J2545">
            <v>45951</v>
          </cell>
          <cell r="K2545">
            <v>8</v>
          </cell>
        </row>
        <row r="2546">
          <cell r="C2546" t="str">
            <v>何昆達</v>
          </cell>
          <cell r="J2546">
            <v>45952</v>
          </cell>
          <cell r="K2546">
            <v>8</v>
          </cell>
        </row>
        <row r="2547">
          <cell r="C2547" t="str">
            <v>何昆達</v>
          </cell>
          <cell r="J2547">
            <v>45953</v>
          </cell>
          <cell r="K2547">
            <v>8</v>
          </cell>
        </row>
        <row r="2548">
          <cell r="C2548" t="str">
            <v>何昆達</v>
          </cell>
          <cell r="F2548" t="str">
            <v>D250802R1</v>
          </cell>
          <cell r="J2548">
            <v>45957</v>
          </cell>
          <cell r="K2548">
            <v>3</v>
          </cell>
        </row>
        <row r="2549">
          <cell r="C2549" t="str">
            <v>何昆達</v>
          </cell>
          <cell r="F2549" t="str">
            <v>D250802R1</v>
          </cell>
          <cell r="J2549">
            <v>45957</v>
          </cell>
          <cell r="K2549">
            <v>3</v>
          </cell>
        </row>
        <row r="2550">
          <cell r="C2550" t="str">
            <v>何昆達</v>
          </cell>
          <cell r="J2550">
            <v>45957</v>
          </cell>
          <cell r="K2550">
            <v>2</v>
          </cell>
        </row>
        <row r="2551">
          <cell r="C2551" t="str">
            <v>何昆達</v>
          </cell>
          <cell r="J2551">
            <v>45958</v>
          </cell>
          <cell r="K2551">
            <v>8</v>
          </cell>
        </row>
        <row r="2552">
          <cell r="C2552" t="str">
            <v>何昆達</v>
          </cell>
          <cell r="J2552">
            <v>45960</v>
          </cell>
          <cell r="K2552">
            <v>8</v>
          </cell>
        </row>
        <row r="2553">
          <cell r="C2553" t="str">
            <v>何昆達</v>
          </cell>
          <cell r="J2553">
            <v>45961</v>
          </cell>
          <cell r="K2553">
            <v>8</v>
          </cell>
        </row>
        <row r="2554">
          <cell r="C2554" t="str">
            <v>何昆達</v>
          </cell>
          <cell r="F2554" t="str">
            <v>D250802R1</v>
          </cell>
          <cell r="J2554">
            <v>45964</v>
          </cell>
          <cell r="K2554">
            <v>3</v>
          </cell>
        </row>
        <row r="2555">
          <cell r="C2555" t="str">
            <v>何昆達</v>
          </cell>
          <cell r="F2555" t="str">
            <v>D250802R1</v>
          </cell>
          <cell r="J2555">
            <v>45964</v>
          </cell>
          <cell r="K2555">
            <v>4</v>
          </cell>
        </row>
        <row r="2556">
          <cell r="C2556" t="str">
            <v>何昆達</v>
          </cell>
          <cell r="J2556">
            <v>45964</v>
          </cell>
          <cell r="K2556">
            <v>1</v>
          </cell>
        </row>
        <row r="2557">
          <cell r="C2557" t="str">
            <v>何昆達</v>
          </cell>
          <cell r="J2557">
            <v>45965</v>
          </cell>
          <cell r="K2557">
            <v>4</v>
          </cell>
        </row>
        <row r="2558">
          <cell r="C2558" t="str">
            <v>何昆達</v>
          </cell>
          <cell r="J2558">
            <v>45965</v>
          </cell>
          <cell r="K2558">
            <v>4</v>
          </cell>
        </row>
        <row r="2559">
          <cell r="C2559" t="str">
            <v>何昆達</v>
          </cell>
          <cell r="J2559">
            <v>45966</v>
          </cell>
          <cell r="K2559">
            <v>8</v>
          </cell>
        </row>
        <row r="2560">
          <cell r="C2560" t="str">
            <v>何昆達</v>
          </cell>
          <cell r="J2560">
            <v>45967</v>
          </cell>
          <cell r="K2560">
            <v>8</v>
          </cell>
        </row>
        <row r="2561">
          <cell r="C2561" t="str">
            <v>何昆達</v>
          </cell>
          <cell r="J2561">
            <v>45968</v>
          </cell>
          <cell r="K2561">
            <v>8</v>
          </cell>
        </row>
        <row r="2562">
          <cell r="C2562" t="str">
            <v>何昆達</v>
          </cell>
          <cell r="F2562" t="str">
            <v>D250802R1</v>
          </cell>
          <cell r="J2562">
            <v>45971</v>
          </cell>
          <cell r="K2562">
            <v>3</v>
          </cell>
        </row>
        <row r="2563">
          <cell r="C2563" t="str">
            <v>何昆達</v>
          </cell>
          <cell r="F2563" t="str">
            <v>D250802R1</v>
          </cell>
          <cell r="J2563">
            <v>45971</v>
          </cell>
          <cell r="K2563">
            <v>3</v>
          </cell>
        </row>
        <row r="2564">
          <cell r="C2564" t="str">
            <v>何昆達</v>
          </cell>
          <cell r="J2564">
            <v>45971</v>
          </cell>
          <cell r="K2564">
            <v>2</v>
          </cell>
        </row>
        <row r="2565">
          <cell r="C2565" t="str">
            <v>何昆達</v>
          </cell>
          <cell r="J2565">
            <v>45972</v>
          </cell>
          <cell r="K2565">
            <v>4</v>
          </cell>
        </row>
        <row r="2566">
          <cell r="C2566" t="str">
            <v>何昆達</v>
          </cell>
          <cell r="J2566">
            <v>45972</v>
          </cell>
          <cell r="K2566">
            <v>4</v>
          </cell>
        </row>
        <row r="2567">
          <cell r="C2567" t="str">
            <v>何昆達</v>
          </cell>
          <cell r="J2567">
            <v>45973</v>
          </cell>
          <cell r="K2567">
            <v>3</v>
          </cell>
        </row>
        <row r="2568">
          <cell r="C2568" t="str">
            <v>何昆達</v>
          </cell>
          <cell r="J2568">
            <v>45973</v>
          </cell>
          <cell r="K2568">
            <v>5</v>
          </cell>
        </row>
        <row r="2569">
          <cell r="C2569" t="str">
            <v>何昆達</v>
          </cell>
          <cell r="J2569">
            <v>45974</v>
          </cell>
          <cell r="K2569">
            <v>8</v>
          </cell>
        </row>
        <row r="2570">
          <cell r="C2570" t="str">
            <v>何昆達</v>
          </cell>
          <cell r="J2570">
            <v>45975</v>
          </cell>
          <cell r="K2570">
            <v>8</v>
          </cell>
        </row>
        <row r="2571">
          <cell r="C2571" t="str">
            <v>何昆達</v>
          </cell>
          <cell r="F2571" t="str">
            <v>D250802R1</v>
          </cell>
          <cell r="J2571">
            <v>45978</v>
          </cell>
          <cell r="K2571">
            <v>2</v>
          </cell>
        </row>
        <row r="2572">
          <cell r="C2572" t="str">
            <v>何昆達</v>
          </cell>
          <cell r="F2572" t="str">
            <v>D250802R1</v>
          </cell>
          <cell r="J2572">
            <v>45978</v>
          </cell>
          <cell r="K2572">
            <v>3</v>
          </cell>
        </row>
        <row r="2573">
          <cell r="C2573" t="str">
            <v>何昆達</v>
          </cell>
          <cell r="J2573">
            <v>45979</v>
          </cell>
          <cell r="K2573">
            <v>8</v>
          </cell>
        </row>
        <row r="2574">
          <cell r="C2574" t="str">
            <v>何昆達</v>
          </cell>
          <cell r="F2574" t="str">
            <v>D250802R1</v>
          </cell>
          <cell r="J2574">
            <v>45980</v>
          </cell>
          <cell r="K2574">
            <v>8</v>
          </cell>
        </row>
        <row r="2575">
          <cell r="C2575" t="str">
            <v>何昆達</v>
          </cell>
          <cell r="J2575">
            <v>45981</v>
          </cell>
          <cell r="K2575">
            <v>8</v>
          </cell>
        </row>
        <row r="2576">
          <cell r="C2576" t="str">
            <v>何昆達</v>
          </cell>
          <cell r="J2576">
            <v>45982</v>
          </cell>
          <cell r="K2576">
            <v>8</v>
          </cell>
        </row>
        <row r="2577">
          <cell r="C2577" t="str">
            <v>何昆達</v>
          </cell>
          <cell r="J2577">
            <v>45985</v>
          </cell>
          <cell r="K2577">
            <v>3</v>
          </cell>
        </row>
        <row r="2578">
          <cell r="C2578" t="str">
            <v>何昆達</v>
          </cell>
          <cell r="J2578">
            <v>45985</v>
          </cell>
          <cell r="K2578">
            <v>5</v>
          </cell>
        </row>
        <row r="2579">
          <cell r="C2579" t="str">
            <v>何昆達</v>
          </cell>
          <cell r="J2579">
            <v>45986</v>
          </cell>
          <cell r="K2579">
            <v>4</v>
          </cell>
        </row>
        <row r="2580">
          <cell r="C2580" t="str">
            <v>何昆達</v>
          </cell>
          <cell r="F2580" t="str">
            <v>D250802R1</v>
          </cell>
          <cell r="J2580">
            <v>45986</v>
          </cell>
          <cell r="K2580">
            <v>4</v>
          </cell>
        </row>
        <row r="2581">
          <cell r="C2581" t="str">
            <v>何昆達</v>
          </cell>
          <cell r="F2581" t="str">
            <v>D250802R1</v>
          </cell>
          <cell r="J2581">
            <v>45987</v>
          </cell>
          <cell r="K2581">
            <v>8</v>
          </cell>
        </row>
        <row r="2582">
          <cell r="C2582" t="str">
            <v>何昆達</v>
          </cell>
          <cell r="J2582">
            <v>45988</v>
          </cell>
          <cell r="K2582">
            <v>4</v>
          </cell>
        </row>
        <row r="2583">
          <cell r="C2583" t="str">
            <v>何昆達</v>
          </cell>
          <cell r="J2583">
            <v>45988</v>
          </cell>
          <cell r="K2583">
            <v>4</v>
          </cell>
        </row>
        <row r="2584">
          <cell r="C2584" t="str">
            <v>何昆達</v>
          </cell>
          <cell r="J2584">
            <v>45989</v>
          </cell>
          <cell r="K2584">
            <v>4</v>
          </cell>
        </row>
        <row r="2585">
          <cell r="C2585" t="str">
            <v>何昆達</v>
          </cell>
          <cell r="F2585" t="str">
            <v>D250802R1</v>
          </cell>
          <cell r="J2585">
            <v>45989</v>
          </cell>
          <cell r="K2585">
            <v>4</v>
          </cell>
        </row>
        <row r="2586">
          <cell r="C2586" t="str">
            <v>何昆達</v>
          </cell>
          <cell r="F2586" t="str">
            <v>D250802R1</v>
          </cell>
          <cell r="J2586">
            <v>45992</v>
          </cell>
          <cell r="K2586">
            <v>3</v>
          </cell>
        </row>
        <row r="2587">
          <cell r="C2587" t="str">
            <v>何昆達</v>
          </cell>
          <cell r="F2587" t="str">
            <v>D250802R1</v>
          </cell>
          <cell r="J2587">
            <v>45992</v>
          </cell>
          <cell r="K2587">
            <v>5</v>
          </cell>
        </row>
        <row r="2588">
          <cell r="C2588" t="str">
            <v>何昆達</v>
          </cell>
          <cell r="J2588">
            <v>45993</v>
          </cell>
          <cell r="K2588">
            <v>8</v>
          </cell>
        </row>
        <row r="2589">
          <cell r="C2589" t="str">
            <v>何昆達</v>
          </cell>
          <cell r="J2589">
            <v>45994</v>
          </cell>
          <cell r="K2589">
            <v>8</v>
          </cell>
        </row>
        <row r="2590">
          <cell r="C2590" t="str">
            <v>何昆達</v>
          </cell>
          <cell r="J2590">
            <v>45995</v>
          </cell>
          <cell r="K2590">
            <v>8</v>
          </cell>
        </row>
        <row r="2591">
          <cell r="C2591" t="str">
            <v>何昆達</v>
          </cell>
          <cell r="F2591" t="str">
            <v>D250802R1</v>
          </cell>
          <cell r="J2591">
            <v>45996</v>
          </cell>
          <cell r="K2591">
            <v>8</v>
          </cell>
        </row>
        <row r="2592">
          <cell r="C2592" t="str">
            <v>何昆達</v>
          </cell>
          <cell r="J2592">
            <v>45999</v>
          </cell>
          <cell r="K2592">
            <v>8</v>
          </cell>
        </row>
        <row r="2593">
          <cell r="C2593" t="str">
            <v>何昆達</v>
          </cell>
          <cell r="J2593">
            <v>46000</v>
          </cell>
          <cell r="K2593">
            <v>8</v>
          </cell>
        </row>
        <row r="2594">
          <cell r="C2594" t="str">
            <v>何昆達</v>
          </cell>
          <cell r="J2594">
            <v>46001</v>
          </cell>
          <cell r="K2594">
            <v>8</v>
          </cell>
        </row>
        <row r="2595">
          <cell r="C2595" t="str">
            <v>何昆達</v>
          </cell>
          <cell r="J2595">
            <v>46002</v>
          </cell>
          <cell r="K2595">
            <v>8</v>
          </cell>
        </row>
        <row r="2596">
          <cell r="C2596" t="str">
            <v>何昆達</v>
          </cell>
          <cell r="J2596">
            <v>46003</v>
          </cell>
          <cell r="K2596">
            <v>8</v>
          </cell>
        </row>
        <row r="2597">
          <cell r="C2597" t="str">
            <v>何昆達</v>
          </cell>
          <cell r="J2597">
            <v>46006</v>
          </cell>
          <cell r="K2597">
            <v>3</v>
          </cell>
        </row>
        <row r="2598">
          <cell r="C2598" t="str">
            <v>何昆達</v>
          </cell>
          <cell r="J2598">
            <v>46006</v>
          </cell>
          <cell r="K2598">
            <v>2</v>
          </cell>
        </row>
        <row r="2599">
          <cell r="C2599" t="str">
            <v>何昆達</v>
          </cell>
          <cell r="J2599">
            <v>46006</v>
          </cell>
          <cell r="K2599">
            <v>3</v>
          </cell>
        </row>
        <row r="2600">
          <cell r="C2600" t="str">
            <v>何昆達</v>
          </cell>
          <cell r="J2600">
            <v>46007</v>
          </cell>
          <cell r="K2600">
            <v>8</v>
          </cell>
        </row>
        <row r="2601">
          <cell r="C2601" t="str">
            <v>何昆達</v>
          </cell>
          <cell r="F2601" t="str">
            <v>D250802R1</v>
          </cell>
          <cell r="J2601">
            <v>46008</v>
          </cell>
          <cell r="K2601">
            <v>8</v>
          </cell>
        </row>
        <row r="2602">
          <cell r="C2602" t="str">
            <v>何昆達</v>
          </cell>
          <cell r="J2602">
            <v>46009</v>
          </cell>
          <cell r="K2602">
            <v>8</v>
          </cell>
        </row>
        <row r="2603">
          <cell r="C2603" t="str">
            <v>何昆達</v>
          </cell>
          <cell r="J2603">
            <v>46010</v>
          </cell>
          <cell r="K2603">
            <v>8</v>
          </cell>
        </row>
        <row r="2604">
          <cell r="C2604" t="str">
            <v>何昆達</v>
          </cell>
          <cell r="F2604" t="str">
            <v>D250802R1</v>
          </cell>
          <cell r="J2604">
            <v>46013</v>
          </cell>
          <cell r="K2604">
            <v>3</v>
          </cell>
        </row>
        <row r="2605">
          <cell r="C2605" t="str">
            <v>何昆達</v>
          </cell>
          <cell r="J2605">
            <v>46013</v>
          </cell>
          <cell r="K2605">
            <v>2</v>
          </cell>
        </row>
        <row r="2606">
          <cell r="C2606" t="str">
            <v>何昆達</v>
          </cell>
          <cell r="F2606" t="str">
            <v>D250802R1</v>
          </cell>
          <cell r="J2606">
            <v>46013</v>
          </cell>
          <cell r="K2606">
            <v>3</v>
          </cell>
        </row>
        <row r="2607">
          <cell r="C2607" t="str">
            <v>何昆達</v>
          </cell>
          <cell r="J2607">
            <v>46014</v>
          </cell>
          <cell r="K2607">
            <v>8</v>
          </cell>
        </row>
        <row r="2608">
          <cell r="C2608" t="str">
            <v>何昆達</v>
          </cell>
          <cell r="J2608">
            <v>46015</v>
          </cell>
          <cell r="K2608">
            <v>8</v>
          </cell>
        </row>
        <row r="2609">
          <cell r="C2609" t="str">
            <v>何昆達</v>
          </cell>
          <cell r="J2609">
            <v>46017</v>
          </cell>
          <cell r="K2609">
            <v>8</v>
          </cell>
        </row>
        <row r="2610">
          <cell r="C2610" t="str">
            <v>何昆達</v>
          </cell>
          <cell r="F2610" t="str">
            <v>D250802R1</v>
          </cell>
          <cell r="J2610">
            <v>46020</v>
          </cell>
          <cell r="K2610">
            <v>3</v>
          </cell>
        </row>
        <row r="2611">
          <cell r="C2611" t="str">
            <v>何昆達</v>
          </cell>
          <cell r="F2611" t="str">
            <v>D250802R1</v>
          </cell>
          <cell r="J2611">
            <v>46020</v>
          </cell>
          <cell r="K2611">
            <v>2</v>
          </cell>
        </row>
        <row r="2612">
          <cell r="C2612" t="str">
            <v>何昆達</v>
          </cell>
          <cell r="J2612">
            <v>46020</v>
          </cell>
          <cell r="K2612">
            <v>3</v>
          </cell>
        </row>
        <row r="2613">
          <cell r="C2613" t="str">
            <v>何昆達</v>
          </cell>
          <cell r="J2613">
            <v>46021</v>
          </cell>
          <cell r="K2613">
            <v>3</v>
          </cell>
        </row>
        <row r="2614">
          <cell r="C2614" t="str">
            <v>何昆達</v>
          </cell>
          <cell r="J2614">
            <v>46021</v>
          </cell>
          <cell r="K2614">
            <v>5</v>
          </cell>
        </row>
        <row r="2615">
          <cell r="C2615" t="str">
            <v>何昆達</v>
          </cell>
          <cell r="J2615">
            <v>46022</v>
          </cell>
          <cell r="K2615">
            <v>8</v>
          </cell>
        </row>
        <row r="2616">
          <cell r="C2616" t="str">
            <v>何昆達</v>
          </cell>
          <cell r="J2616">
            <v>46024</v>
          </cell>
          <cell r="K2616">
            <v>8</v>
          </cell>
        </row>
        <row r="2617">
          <cell r="C2617" t="str">
            <v>何昆達</v>
          </cell>
          <cell r="J2617">
            <v>46027</v>
          </cell>
          <cell r="K2617">
            <v>3</v>
          </cell>
        </row>
        <row r="2618">
          <cell r="C2618" t="str">
            <v>何昆達</v>
          </cell>
          <cell r="F2618" t="str">
            <v>D250802R1</v>
          </cell>
          <cell r="J2618">
            <v>46027</v>
          </cell>
          <cell r="K2618">
            <v>3</v>
          </cell>
        </row>
        <row r="2619">
          <cell r="C2619" t="str">
            <v>何昆達</v>
          </cell>
          <cell r="F2619" t="str">
            <v>D250802R1</v>
          </cell>
          <cell r="J2619">
            <v>46027</v>
          </cell>
          <cell r="K2619">
            <v>2</v>
          </cell>
        </row>
        <row r="2620">
          <cell r="C2620" t="str">
            <v>何昆達</v>
          </cell>
          <cell r="J2620">
            <v>46028</v>
          </cell>
          <cell r="K2620">
            <v>8</v>
          </cell>
        </row>
        <row r="2621">
          <cell r="C2621" t="str">
            <v>何昆達</v>
          </cell>
          <cell r="J2621">
            <v>46029</v>
          </cell>
          <cell r="K2621">
            <v>8</v>
          </cell>
        </row>
        <row r="2622">
          <cell r="C2622" t="str">
            <v>何昆達</v>
          </cell>
          <cell r="J2622">
            <v>46030</v>
          </cell>
          <cell r="K2622">
            <v>8</v>
          </cell>
        </row>
        <row r="2623">
          <cell r="C2623" t="str">
            <v>何昆達</v>
          </cell>
          <cell r="J2623">
            <v>46031</v>
          </cell>
          <cell r="K2623">
            <v>8</v>
          </cell>
        </row>
        <row r="2624">
          <cell r="C2624" t="str">
            <v>何昆達</v>
          </cell>
          <cell r="F2624" t="str">
            <v>D250802R1</v>
          </cell>
          <cell r="J2624">
            <v>46034</v>
          </cell>
          <cell r="K2624">
            <v>3</v>
          </cell>
        </row>
        <row r="2625">
          <cell r="C2625" t="str">
            <v>何昆達</v>
          </cell>
          <cell r="F2625" t="str">
            <v>D250802R1</v>
          </cell>
          <cell r="J2625">
            <v>46034</v>
          </cell>
          <cell r="K2625">
            <v>3</v>
          </cell>
        </row>
        <row r="2626">
          <cell r="C2626" t="str">
            <v>何昆達</v>
          </cell>
          <cell r="J2626">
            <v>46034</v>
          </cell>
          <cell r="K2626">
            <v>2</v>
          </cell>
        </row>
        <row r="2627">
          <cell r="C2627" t="str">
            <v>何昆達</v>
          </cell>
          <cell r="J2627">
            <v>46035</v>
          </cell>
          <cell r="K2627">
            <v>5</v>
          </cell>
        </row>
        <row r="2628">
          <cell r="C2628" t="str">
            <v>何昆達</v>
          </cell>
          <cell r="J2628">
            <v>46035</v>
          </cell>
          <cell r="K2628">
            <v>3</v>
          </cell>
        </row>
        <row r="2629">
          <cell r="C2629" t="str">
            <v>何昆達</v>
          </cell>
          <cell r="J2629">
            <v>46036</v>
          </cell>
          <cell r="K2629">
            <v>8</v>
          </cell>
        </row>
        <row r="2630">
          <cell r="C2630" t="str">
            <v>何昆達</v>
          </cell>
          <cell r="J2630">
            <v>46037</v>
          </cell>
          <cell r="K2630">
            <v>8</v>
          </cell>
        </row>
        <row r="2631">
          <cell r="C2631" t="str">
            <v>何昆達</v>
          </cell>
          <cell r="J2631">
            <v>46038</v>
          </cell>
          <cell r="K2631">
            <v>8</v>
          </cell>
        </row>
        <row r="2632">
          <cell r="C2632" t="str">
            <v>何昆達</v>
          </cell>
          <cell r="J2632">
            <v>46041</v>
          </cell>
          <cell r="K2632">
            <v>3</v>
          </cell>
        </row>
        <row r="2633">
          <cell r="C2633" t="str">
            <v>何昆達</v>
          </cell>
          <cell r="F2633" t="str">
            <v>D250802R1</v>
          </cell>
          <cell r="J2633">
            <v>46041</v>
          </cell>
          <cell r="K2633">
            <v>3</v>
          </cell>
        </row>
        <row r="2634">
          <cell r="C2634" t="str">
            <v>何昆達</v>
          </cell>
          <cell r="F2634" t="str">
            <v>D250802R1</v>
          </cell>
          <cell r="J2634">
            <v>46041</v>
          </cell>
          <cell r="K2634">
            <v>2</v>
          </cell>
        </row>
        <row r="2635">
          <cell r="C2635" t="str">
            <v>何昆達</v>
          </cell>
          <cell r="J2635">
            <v>46042</v>
          </cell>
          <cell r="K2635">
            <v>8</v>
          </cell>
        </row>
        <row r="2636">
          <cell r="C2636" t="str">
            <v>何昆達</v>
          </cell>
          <cell r="J2636">
            <v>46043</v>
          </cell>
          <cell r="K2636">
            <v>8</v>
          </cell>
        </row>
        <row r="2637">
          <cell r="C2637" t="str">
            <v>何昆達</v>
          </cell>
          <cell r="J2637">
            <v>46044</v>
          </cell>
          <cell r="K2637">
            <v>8</v>
          </cell>
        </row>
        <row r="2638">
          <cell r="C2638" t="str">
            <v>何昆達</v>
          </cell>
          <cell r="J2638">
            <v>46045</v>
          </cell>
          <cell r="K2638">
            <v>8</v>
          </cell>
        </row>
        <row r="2639">
          <cell r="C2639" t="str">
            <v>何昆達</v>
          </cell>
          <cell r="F2639" t="str">
            <v>D250802R1</v>
          </cell>
          <cell r="J2639">
            <v>46048</v>
          </cell>
          <cell r="K2639">
            <v>3</v>
          </cell>
        </row>
        <row r="2640">
          <cell r="C2640" t="str">
            <v>何昆達</v>
          </cell>
          <cell r="J2640">
            <v>46048</v>
          </cell>
          <cell r="K2640">
            <v>3</v>
          </cell>
        </row>
        <row r="2641">
          <cell r="C2641" t="str">
            <v>何昆達</v>
          </cell>
          <cell r="F2641" t="str">
            <v>D250802R1</v>
          </cell>
          <cell r="J2641">
            <v>46048</v>
          </cell>
          <cell r="K2641">
            <v>2</v>
          </cell>
        </row>
        <row r="2642">
          <cell r="C2642" t="str">
            <v>何昆達</v>
          </cell>
          <cell r="J2642">
            <v>46049</v>
          </cell>
          <cell r="K2642">
            <v>8</v>
          </cell>
        </row>
        <row r="2643">
          <cell r="C2643" t="str">
            <v>何昆達</v>
          </cell>
          <cell r="J2643">
            <v>46050</v>
          </cell>
          <cell r="K2643">
            <v>4</v>
          </cell>
        </row>
        <row r="2644">
          <cell r="C2644" t="str">
            <v>何昆達</v>
          </cell>
          <cell r="J2644">
            <v>46050</v>
          </cell>
          <cell r="K2644">
            <v>4</v>
          </cell>
        </row>
        <row r="2645">
          <cell r="C2645" t="str">
            <v>何昆達</v>
          </cell>
          <cell r="J2645">
            <v>46051</v>
          </cell>
          <cell r="K2645">
            <v>8</v>
          </cell>
        </row>
        <row r="2646">
          <cell r="C2646" t="str">
            <v>何昆達</v>
          </cell>
          <cell r="J2646">
            <v>46052</v>
          </cell>
          <cell r="K2646">
            <v>8</v>
          </cell>
        </row>
        <row r="2647">
          <cell r="C2647" t="str">
            <v>何昆達</v>
          </cell>
          <cell r="F2647" t="str">
            <v>D250802R1</v>
          </cell>
          <cell r="J2647">
            <v>46055</v>
          </cell>
          <cell r="K2647">
            <v>3</v>
          </cell>
        </row>
        <row r="2648">
          <cell r="C2648" t="str">
            <v>何昆達</v>
          </cell>
          <cell r="J2648">
            <v>46055</v>
          </cell>
          <cell r="K2648">
            <v>3</v>
          </cell>
        </row>
        <row r="2649">
          <cell r="C2649" t="str">
            <v>何昆達</v>
          </cell>
          <cell r="F2649" t="str">
            <v>D250802R1</v>
          </cell>
          <cell r="J2649">
            <v>46055</v>
          </cell>
          <cell r="K2649">
            <v>2</v>
          </cell>
        </row>
        <row r="2650">
          <cell r="C2650" t="str">
            <v>何昆達</v>
          </cell>
          <cell r="J2650">
            <v>46056</v>
          </cell>
          <cell r="K2650">
            <v>8</v>
          </cell>
        </row>
        <row r="2651">
          <cell r="C2651" t="str">
            <v>何昆達</v>
          </cell>
          <cell r="J2651">
            <v>46057</v>
          </cell>
          <cell r="K2651">
            <v>8</v>
          </cell>
        </row>
        <row r="2652">
          <cell r="C2652" t="str">
            <v>何昆達</v>
          </cell>
          <cell r="J2652">
            <v>46058</v>
          </cell>
          <cell r="K2652">
            <v>8</v>
          </cell>
        </row>
        <row r="2653">
          <cell r="C2653" t="str">
            <v>何昆達</v>
          </cell>
          <cell r="J2653">
            <v>46059</v>
          </cell>
          <cell r="K2653">
            <v>8</v>
          </cell>
        </row>
        <row r="2654">
          <cell r="C2654" t="str">
            <v>何昆達</v>
          </cell>
          <cell r="F2654" t="str">
            <v>D250802R1</v>
          </cell>
          <cell r="J2654">
            <v>46062</v>
          </cell>
          <cell r="K2654">
            <v>3</v>
          </cell>
        </row>
        <row r="2655">
          <cell r="C2655" t="str">
            <v>何昆達</v>
          </cell>
          <cell r="J2655">
            <v>46062</v>
          </cell>
          <cell r="K2655">
            <v>2</v>
          </cell>
        </row>
        <row r="2656">
          <cell r="C2656" t="str">
            <v>何昆達</v>
          </cell>
          <cell r="F2656" t="str">
            <v>D250802R1</v>
          </cell>
          <cell r="J2656">
            <v>46062</v>
          </cell>
          <cell r="K2656">
            <v>3</v>
          </cell>
        </row>
        <row r="2657">
          <cell r="C2657" t="str">
            <v>何昆達</v>
          </cell>
          <cell r="J2657">
            <v>46063</v>
          </cell>
          <cell r="K2657">
            <v>8</v>
          </cell>
        </row>
        <row r="2658">
          <cell r="C2658" t="str">
            <v>何昆達</v>
          </cell>
          <cell r="J2658">
            <v>46076</v>
          </cell>
          <cell r="K2658">
            <v>4</v>
          </cell>
        </row>
        <row r="2659">
          <cell r="C2659" t="str">
            <v>何昆達</v>
          </cell>
          <cell r="F2659" t="str">
            <v>D250802R1</v>
          </cell>
          <cell r="J2659">
            <v>46076</v>
          </cell>
          <cell r="K2659">
            <v>2</v>
          </cell>
        </row>
        <row r="2660">
          <cell r="C2660" t="str">
            <v>何昆達</v>
          </cell>
          <cell r="F2660" t="str">
            <v>D250802R1</v>
          </cell>
          <cell r="J2660">
            <v>46076</v>
          </cell>
          <cell r="K2660">
            <v>2</v>
          </cell>
        </row>
        <row r="2661">
          <cell r="C2661" t="str">
            <v>何昆達</v>
          </cell>
          <cell r="J2661">
            <v>46077</v>
          </cell>
          <cell r="K2661">
            <v>8</v>
          </cell>
        </row>
        <row r="2662">
          <cell r="C2662" t="str">
            <v>何昆達</v>
          </cell>
          <cell r="J2662">
            <v>46078</v>
          </cell>
          <cell r="K2662">
            <v>8</v>
          </cell>
        </row>
        <row r="2663">
          <cell r="C2663" t="str">
            <v>何昆達</v>
          </cell>
          <cell r="J2663">
            <v>46079</v>
          </cell>
          <cell r="K2663">
            <v>4</v>
          </cell>
        </row>
        <row r="2664">
          <cell r="C2664" t="str">
            <v>何昆達</v>
          </cell>
          <cell r="J2664">
            <v>46079</v>
          </cell>
          <cell r="K2664">
            <v>4</v>
          </cell>
        </row>
        <row r="2665">
          <cell r="C2665" t="str">
            <v>何昆達</v>
          </cell>
          <cell r="F2665" t="str">
            <v>D250802R1</v>
          </cell>
          <cell r="J2665">
            <v>46083</v>
          </cell>
          <cell r="K2665">
            <v>2</v>
          </cell>
        </row>
        <row r="2666">
          <cell r="C2666" t="str">
            <v>何昆達</v>
          </cell>
          <cell r="J2666">
            <v>46083</v>
          </cell>
          <cell r="K2666">
            <v>3</v>
          </cell>
        </row>
        <row r="2667">
          <cell r="C2667" t="str">
            <v>何昆達</v>
          </cell>
          <cell r="F2667" t="str">
            <v>D250802R1</v>
          </cell>
          <cell r="J2667">
            <v>46083</v>
          </cell>
          <cell r="K2667">
            <v>3</v>
          </cell>
        </row>
        <row r="2668">
          <cell r="C2668" t="str">
            <v>何昆達</v>
          </cell>
          <cell r="J2668">
            <v>46084</v>
          </cell>
          <cell r="K2668">
            <v>4</v>
          </cell>
        </row>
        <row r="2669">
          <cell r="C2669" t="str">
            <v>何昆達</v>
          </cell>
          <cell r="J2669">
            <v>46084</v>
          </cell>
          <cell r="K2669">
            <v>4</v>
          </cell>
        </row>
        <row r="2670">
          <cell r="C2670" t="str">
            <v>何昆達</v>
          </cell>
          <cell r="J2670">
            <v>46085</v>
          </cell>
          <cell r="K2670">
            <v>5</v>
          </cell>
        </row>
        <row r="2671">
          <cell r="C2671" t="str">
            <v>何昆達</v>
          </cell>
          <cell r="J2671">
            <v>46085</v>
          </cell>
          <cell r="K2671">
            <v>3</v>
          </cell>
        </row>
        <row r="2672">
          <cell r="C2672" t="str">
            <v>何昆達</v>
          </cell>
          <cell r="J2672">
            <v>46086</v>
          </cell>
          <cell r="K2672">
            <v>8</v>
          </cell>
        </row>
        <row r="2673">
          <cell r="C2673" t="str">
            <v>何昆達</v>
          </cell>
          <cell r="J2673">
            <v>46087</v>
          </cell>
          <cell r="K2673">
            <v>4</v>
          </cell>
        </row>
        <row r="2674">
          <cell r="C2674" t="str">
            <v>何昆達</v>
          </cell>
          <cell r="J2674">
            <v>46087</v>
          </cell>
          <cell r="K2674">
            <v>4</v>
          </cell>
        </row>
        <row r="2675">
          <cell r="C2675" t="str">
            <v>何昆達</v>
          </cell>
          <cell r="F2675" t="str">
            <v>D250802R1</v>
          </cell>
          <cell r="J2675">
            <v>46090</v>
          </cell>
          <cell r="K2675">
            <v>3</v>
          </cell>
        </row>
        <row r="2676">
          <cell r="C2676" t="str">
            <v>何昆達</v>
          </cell>
          <cell r="J2676">
            <v>46090</v>
          </cell>
          <cell r="K2676">
            <v>2</v>
          </cell>
        </row>
        <row r="2677">
          <cell r="C2677" t="str">
            <v>何昆達</v>
          </cell>
          <cell r="F2677" t="str">
            <v>D250802R1</v>
          </cell>
          <cell r="J2677">
            <v>46090</v>
          </cell>
          <cell r="K2677">
            <v>3</v>
          </cell>
        </row>
        <row r="2678">
          <cell r="C2678" t="str">
            <v>何昆達</v>
          </cell>
          <cell r="J2678">
            <v>46091</v>
          </cell>
          <cell r="K2678">
            <v>8</v>
          </cell>
        </row>
        <row r="2679">
          <cell r="C2679" t="str">
            <v>何昆達</v>
          </cell>
          <cell r="J2679">
            <v>46092</v>
          </cell>
          <cell r="K2679">
            <v>3</v>
          </cell>
        </row>
        <row r="2680">
          <cell r="C2680" t="str">
            <v>何昆達</v>
          </cell>
          <cell r="J2680">
            <v>46092</v>
          </cell>
          <cell r="K2680">
            <v>5</v>
          </cell>
        </row>
        <row r="2681">
          <cell r="C2681" t="str">
            <v>何昆達</v>
          </cell>
          <cell r="J2681">
            <v>46093</v>
          </cell>
          <cell r="K2681">
            <v>8</v>
          </cell>
        </row>
        <row r="2682">
          <cell r="C2682" t="str">
            <v>何昆達</v>
          </cell>
          <cell r="J2682">
            <v>46094</v>
          </cell>
          <cell r="K2682">
            <v>8</v>
          </cell>
        </row>
        <row r="2683">
          <cell r="C2683" t="str">
            <v>何昆達</v>
          </cell>
          <cell r="F2683" t="str">
            <v>D250802R1</v>
          </cell>
          <cell r="J2683">
            <v>46097</v>
          </cell>
          <cell r="K2683">
            <v>3</v>
          </cell>
        </row>
        <row r="2684">
          <cell r="C2684" t="str">
            <v>何昆達</v>
          </cell>
          <cell r="F2684" t="str">
            <v>D250802R1</v>
          </cell>
          <cell r="J2684">
            <v>46097</v>
          </cell>
          <cell r="K2684">
            <v>3</v>
          </cell>
        </row>
        <row r="2685">
          <cell r="C2685" t="str">
            <v>何昆達</v>
          </cell>
          <cell r="J2685">
            <v>46097</v>
          </cell>
          <cell r="K2685">
            <v>2</v>
          </cell>
        </row>
        <row r="2686">
          <cell r="C2686" t="str">
            <v>何昆達</v>
          </cell>
          <cell r="J2686">
            <v>46098</v>
          </cell>
          <cell r="K2686">
            <v>8</v>
          </cell>
        </row>
        <row r="2687">
          <cell r="C2687" t="str">
            <v>何昆達</v>
          </cell>
          <cell r="J2687">
            <v>46099</v>
          </cell>
          <cell r="K2687">
            <v>8</v>
          </cell>
        </row>
        <row r="2688">
          <cell r="C2688" t="str">
            <v>何昆達</v>
          </cell>
          <cell r="J2688">
            <v>46100</v>
          </cell>
          <cell r="K2688">
            <v>8</v>
          </cell>
        </row>
        <row r="2689">
          <cell r="C2689" t="str">
            <v>何昆達</v>
          </cell>
          <cell r="J2689">
            <v>46101</v>
          </cell>
          <cell r="K2689">
            <v>8</v>
          </cell>
        </row>
        <row r="2690">
          <cell r="C2690" t="str">
            <v>何昆達</v>
          </cell>
          <cell r="F2690" t="str">
            <v>D250802R1</v>
          </cell>
          <cell r="J2690">
            <v>46104</v>
          </cell>
          <cell r="K2690">
            <v>3</v>
          </cell>
        </row>
        <row r="2691">
          <cell r="C2691" t="str">
            <v>何昆達</v>
          </cell>
          <cell r="J2691">
            <v>46104</v>
          </cell>
          <cell r="K2691">
            <v>2</v>
          </cell>
        </row>
        <row r="2692">
          <cell r="C2692" t="str">
            <v>何昆達</v>
          </cell>
          <cell r="F2692" t="str">
            <v>D250802R1</v>
          </cell>
          <cell r="J2692">
            <v>46104</v>
          </cell>
          <cell r="K2692">
            <v>3</v>
          </cell>
        </row>
        <row r="2693">
          <cell r="C2693" t="str">
            <v>何昆達</v>
          </cell>
          <cell r="J2693">
            <v>46105</v>
          </cell>
          <cell r="K2693">
            <v>8</v>
          </cell>
        </row>
        <row r="2694">
          <cell r="C2694" t="str">
            <v>何昆達</v>
          </cell>
          <cell r="J2694">
            <v>46106</v>
          </cell>
          <cell r="K2694">
            <v>8</v>
          </cell>
        </row>
        <row r="2695">
          <cell r="C2695" t="str">
            <v>何昆達</v>
          </cell>
          <cell r="J2695">
            <v>46107</v>
          </cell>
          <cell r="K2695">
            <v>8</v>
          </cell>
        </row>
        <row r="2696">
          <cell r="C2696" t="str">
            <v>何昆達</v>
          </cell>
          <cell r="J2696">
            <v>46108</v>
          </cell>
          <cell r="K2696">
            <v>5</v>
          </cell>
        </row>
        <row r="2697">
          <cell r="C2697" t="str">
            <v>何昆達</v>
          </cell>
          <cell r="F2697" t="str">
            <v>K250501R2</v>
          </cell>
          <cell r="J2697">
            <v>46108</v>
          </cell>
          <cell r="K2697">
            <v>3</v>
          </cell>
        </row>
        <row r="2698">
          <cell r="C2698" t="str">
            <v>何昆達</v>
          </cell>
          <cell r="F2698" t="str">
            <v>K250501R2</v>
          </cell>
          <cell r="J2698">
            <v>46111</v>
          </cell>
          <cell r="K2698">
            <v>3</v>
          </cell>
        </row>
        <row r="2699">
          <cell r="C2699" t="str">
            <v>何昆達</v>
          </cell>
          <cell r="J2699">
            <v>46111</v>
          </cell>
          <cell r="K2699">
            <v>2</v>
          </cell>
        </row>
        <row r="2700">
          <cell r="C2700" t="str">
            <v>何昆達</v>
          </cell>
          <cell r="F2700" t="str">
            <v>K250501R2</v>
          </cell>
          <cell r="J2700">
            <v>46111</v>
          </cell>
          <cell r="K2700">
            <v>3</v>
          </cell>
        </row>
        <row r="2701">
          <cell r="C2701" t="str">
            <v>何昆達</v>
          </cell>
          <cell r="J2701">
            <v>46112</v>
          </cell>
          <cell r="K2701">
            <v>8</v>
          </cell>
        </row>
        <row r="2702">
          <cell r="C2702" t="str">
            <v>何昆達</v>
          </cell>
          <cell r="J2702">
            <v>46113</v>
          </cell>
          <cell r="K2702">
            <v>8</v>
          </cell>
        </row>
        <row r="2703">
          <cell r="C2703" t="str">
            <v>何昆達</v>
          </cell>
          <cell r="J2703">
            <v>46114</v>
          </cell>
          <cell r="K2703">
            <v>8</v>
          </cell>
        </row>
        <row r="2704">
          <cell r="C2704" t="str">
            <v>何昆達</v>
          </cell>
          <cell r="J2704">
            <v>46119</v>
          </cell>
          <cell r="K2704">
            <v>8</v>
          </cell>
        </row>
        <row r="2705">
          <cell r="C2705" t="str">
            <v>何昆達</v>
          </cell>
          <cell r="J2705">
            <v>46120</v>
          </cell>
          <cell r="K2705">
            <v>8</v>
          </cell>
        </row>
        <row r="2706">
          <cell r="C2706" t="str">
            <v>何昆達</v>
          </cell>
          <cell r="J2706">
            <v>46121</v>
          </cell>
          <cell r="K2706">
            <v>8</v>
          </cell>
        </row>
        <row r="2707">
          <cell r="C2707" t="str">
            <v>何昆達</v>
          </cell>
          <cell r="J2707">
            <v>46128</v>
          </cell>
          <cell r="K2707">
            <v>8</v>
          </cell>
        </row>
        <row r="2708">
          <cell r="C2708" t="str">
            <v>何昆達</v>
          </cell>
          <cell r="J2708">
            <v>46129</v>
          </cell>
          <cell r="K2708">
            <v>8</v>
          </cell>
        </row>
        <row r="2709">
          <cell r="C2709" t="str">
            <v>何昆達</v>
          </cell>
          <cell r="F2709" t="str">
            <v>K250501R2</v>
          </cell>
          <cell r="J2709">
            <v>46132</v>
          </cell>
          <cell r="K2709">
            <v>2</v>
          </cell>
        </row>
        <row r="2710">
          <cell r="C2710" t="str">
            <v>何昆達</v>
          </cell>
          <cell r="F2710" t="str">
            <v>K250501R2</v>
          </cell>
          <cell r="J2710">
            <v>46132</v>
          </cell>
          <cell r="K2710">
            <v>3</v>
          </cell>
        </row>
        <row r="2711">
          <cell r="C2711" t="str">
            <v>何昆達</v>
          </cell>
          <cell r="J2711">
            <v>46132</v>
          </cell>
          <cell r="K2711">
            <v>3</v>
          </cell>
        </row>
        <row r="2712">
          <cell r="C2712" t="str">
            <v>何昆達</v>
          </cell>
          <cell r="J2712">
            <v>46133</v>
          </cell>
          <cell r="K2712">
            <v>8</v>
          </cell>
        </row>
        <row r="2713">
          <cell r="C2713" t="str">
            <v>何昆達</v>
          </cell>
          <cell r="J2713">
            <v>46134</v>
          </cell>
          <cell r="K2713">
            <v>8</v>
          </cell>
        </row>
        <row r="2714">
          <cell r="C2714" t="str">
            <v>何昆達</v>
          </cell>
          <cell r="J2714">
            <v>46135</v>
          </cell>
          <cell r="K2714">
            <v>8</v>
          </cell>
        </row>
        <row r="2715">
          <cell r="C2715" t="str">
            <v>何昆達</v>
          </cell>
          <cell r="J2715">
            <v>46136</v>
          </cell>
          <cell r="K2715">
            <v>8</v>
          </cell>
        </row>
        <row r="2716">
          <cell r="C2716" t="str">
            <v>何昆達</v>
          </cell>
          <cell r="J2716">
            <v>46139</v>
          </cell>
          <cell r="K2716">
            <v>2</v>
          </cell>
        </row>
        <row r="2717">
          <cell r="C2717" t="str">
            <v>何昆達</v>
          </cell>
          <cell r="F2717" t="str">
            <v>K250501R2</v>
          </cell>
          <cell r="J2717">
            <v>46139</v>
          </cell>
          <cell r="K2717">
            <v>3</v>
          </cell>
        </row>
        <row r="2718">
          <cell r="C2718" t="str">
            <v>何昆達</v>
          </cell>
          <cell r="F2718" t="str">
            <v>K250501R2</v>
          </cell>
          <cell r="J2718">
            <v>46139</v>
          </cell>
          <cell r="K2718">
            <v>3</v>
          </cell>
        </row>
        <row r="2719">
          <cell r="C2719" t="str">
            <v>何昆達</v>
          </cell>
          <cell r="J2719">
            <v>46140</v>
          </cell>
          <cell r="K2719">
            <v>8</v>
          </cell>
        </row>
        <row r="2720">
          <cell r="C2720" t="str">
            <v>何昆達</v>
          </cell>
          <cell r="J2720">
            <v>46141</v>
          </cell>
          <cell r="K2720">
            <v>8</v>
          </cell>
        </row>
        <row r="2721">
          <cell r="C2721" t="str">
            <v>何昆達</v>
          </cell>
          <cell r="J2721">
            <v>46142</v>
          </cell>
          <cell r="K2721">
            <v>8</v>
          </cell>
        </row>
        <row r="2722">
          <cell r="C2722" t="str">
            <v>何昆達</v>
          </cell>
          <cell r="F2722" t="str">
            <v>K250501R2</v>
          </cell>
          <cell r="J2722">
            <v>46146</v>
          </cell>
          <cell r="K2722">
            <v>3</v>
          </cell>
        </row>
        <row r="2723">
          <cell r="C2723" t="str">
            <v>何昆達</v>
          </cell>
          <cell r="F2723" t="str">
            <v>K250501R2</v>
          </cell>
          <cell r="J2723">
            <v>46146</v>
          </cell>
          <cell r="K2723">
            <v>3</v>
          </cell>
        </row>
        <row r="2724">
          <cell r="C2724" t="str">
            <v>何昆達</v>
          </cell>
          <cell r="J2724">
            <v>46146</v>
          </cell>
          <cell r="K2724">
            <v>2</v>
          </cell>
        </row>
        <row r="2725">
          <cell r="C2725" t="str">
            <v>何昆達</v>
          </cell>
          <cell r="J2725">
            <v>46147</v>
          </cell>
          <cell r="K2725">
            <v>8</v>
          </cell>
        </row>
        <row r="2726">
          <cell r="C2726" t="str">
            <v>何昆達</v>
          </cell>
          <cell r="J2726">
            <v>46148</v>
          </cell>
          <cell r="K2726">
            <v>4</v>
          </cell>
        </row>
        <row r="2727">
          <cell r="C2727" t="str">
            <v>何昆達</v>
          </cell>
          <cell r="J2727">
            <v>46148</v>
          </cell>
          <cell r="K2727">
            <v>4</v>
          </cell>
        </row>
        <row r="2728">
          <cell r="C2728" t="str">
            <v>何昆達</v>
          </cell>
          <cell r="J2728">
            <v>46149</v>
          </cell>
          <cell r="K2728">
            <v>8</v>
          </cell>
        </row>
        <row r="2729">
          <cell r="C2729" t="str">
            <v>何昆達</v>
          </cell>
          <cell r="J2729">
            <v>46150</v>
          </cell>
          <cell r="K2729">
            <v>8</v>
          </cell>
        </row>
        <row r="2730">
          <cell r="C2730" t="str">
            <v>何昆達</v>
          </cell>
          <cell r="F2730" t="str">
            <v>K250501R2</v>
          </cell>
          <cell r="J2730">
            <v>46153</v>
          </cell>
          <cell r="K2730">
            <v>3</v>
          </cell>
        </row>
        <row r="2731">
          <cell r="C2731" t="str">
            <v>何昆達</v>
          </cell>
          <cell r="F2731" t="str">
            <v>K250501R2</v>
          </cell>
          <cell r="J2731">
            <v>46153</v>
          </cell>
          <cell r="K2731">
            <v>3</v>
          </cell>
        </row>
        <row r="2732">
          <cell r="C2732" t="str">
            <v>何昆達</v>
          </cell>
          <cell r="J2732">
            <v>46153</v>
          </cell>
          <cell r="K2732">
            <v>2</v>
          </cell>
        </row>
        <row r="2733">
          <cell r="C2733" t="str">
            <v>何昆達</v>
          </cell>
          <cell r="J2733">
            <v>46154</v>
          </cell>
          <cell r="K2733">
            <v>8</v>
          </cell>
        </row>
        <row r="2734">
          <cell r="C2734" t="str">
            <v>何昆達</v>
          </cell>
          <cell r="J2734">
            <v>46155</v>
          </cell>
          <cell r="K2734">
            <v>8</v>
          </cell>
        </row>
        <row r="2735">
          <cell r="C2735" t="str">
            <v>何昆達</v>
          </cell>
          <cell r="J2735">
            <v>46156</v>
          </cell>
          <cell r="K2735">
            <v>8</v>
          </cell>
        </row>
        <row r="2736">
          <cell r="C2736" t="str">
            <v>何昆達</v>
          </cell>
          <cell r="J2736">
            <v>46157</v>
          </cell>
          <cell r="K2736">
            <v>8</v>
          </cell>
        </row>
        <row r="2737">
          <cell r="C2737" t="str">
            <v>何昆達</v>
          </cell>
          <cell r="J2737">
            <v>46160</v>
          </cell>
          <cell r="K2737">
            <v>2</v>
          </cell>
        </row>
        <row r="2738">
          <cell r="C2738" t="str">
            <v>何昆達</v>
          </cell>
          <cell r="F2738" t="str">
            <v>K250501R2</v>
          </cell>
          <cell r="J2738">
            <v>46160</v>
          </cell>
          <cell r="K2738">
            <v>3</v>
          </cell>
        </row>
        <row r="2739">
          <cell r="C2739" t="str">
            <v>何昆達</v>
          </cell>
          <cell r="F2739" t="str">
            <v>K250501R2</v>
          </cell>
          <cell r="J2739">
            <v>46160</v>
          </cell>
          <cell r="K2739">
            <v>3</v>
          </cell>
        </row>
        <row r="2740">
          <cell r="C2740" t="str">
            <v>何昆達</v>
          </cell>
          <cell r="J2740">
            <v>46161</v>
          </cell>
          <cell r="K2740">
            <v>8</v>
          </cell>
        </row>
        <row r="2741">
          <cell r="C2741" t="str">
            <v>丁智軒</v>
          </cell>
          <cell r="F2741" t="str">
            <v>K231101R1</v>
          </cell>
          <cell r="J2741">
            <v>45470</v>
          </cell>
          <cell r="K2741">
            <v>9</v>
          </cell>
        </row>
        <row r="2742">
          <cell r="C2742" t="str">
            <v>丁智軒</v>
          </cell>
          <cell r="F2742" t="str">
            <v>K231101R1</v>
          </cell>
          <cell r="J2742">
            <v>45471</v>
          </cell>
          <cell r="K2742">
            <v>9</v>
          </cell>
        </row>
        <row r="2743">
          <cell r="C2743" t="str">
            <v>丁智軒</v>
          </cell>
          <cell r="F2743" t="str">
            <v>K231101R1</v>
          </cell>
          <cell r="J2743">
            <v>45474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45475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45476</v>
          </cell>
          <cell r="K2745">
            <v>9</v>
          </cell>
        </row>
        <row r="2746">
          <cell r="C2746" t="str">
            <v>丁智軒</v>
          </cell>
          <cell r="F2746" t="str">
            <v>K231101R1</v>
          </cell>
          <cell r="J2746">
            <v>45477</v>
          </cell>
          <cell r="K2746">
            <v>9</v>
          </cell>
        </row>
        <row r="2747">
          <cell r="C2747" t="str">
            <v>丁智軒</v>
          </cell>
          <cell r="F2747" t="str">
            <v>K231101R1</v>
          </cell>
          <cell r="J2747">
            <v>45478</v>
          </cell>
          <cell r="K2747">
            <v>9</v>
          </cell>
        </row>
        <row r="2748">
          <cell r="C2748" t="str">
            <v>丁智軒</v>
          </cell>
          <cell r="F2748" t="str">
            <v>K231101R1</v>
          </cell>
          <cell r="J2748">
            <v>45481</v>
          </cell>
          <cell r="K2748">
            <v>9</v>
          </cell>
        </row>
        <row r="2749">
          <cell r="C2749" t="str">
            <v>丁智軒</v>
          </cell>
          <cell r="F2749" t="str">
            <v>K231101R1</v>
          </cell>
          <cell r="J2749">
            <v>45482</v>
          </cell>
          <cell r="K2749">
            <v>9</v>
          </cell>
        </row>
        <row r="2750">
          <cell r="C2750" t="str">
            <v>丁智軒</v>
          </cell>
          <cell r="F2750" t="str">
            <v>K231101R1</v>
          </cell>
          <cell r="J2750">
            <v>45483</v>
          </cell>
          <cell r="K2750">
            <v>9</v>
          </cell>
        </row>
        <row r="2751">
          <cell r="C2751" t="str">
            <v>丁智軒</v>
          </cell>
          <cell r="F2751" t="str">
            <v>K231101R1</v>
          </cell>
          <cell r="J2751">
            <v>45484</v>
          </cell>
          <cell r="K2751">
            <v>8</v>
          </cell>
        </row>
        <row r="2752">
          <cell r="C2752" t="str">
            <v>丁智軒</v>
          </cell>
          <cell r="F2752" t="str">
            <v>K231101R1</v>
          </cell>
          <cell r="J2752">
            <v>45485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45488</v>
          </cell>
          <cell r="K2753">
            <v>9</v>
          </cell>
        </row>
        <row r="2754">
          <cell r="C2754" t="str">
            <v>丁智軒</v>
          </cell>
          <cell r="F2754" t="str">
            <v>K231101P1</v>
          </cell>
          <cell r="J2754">
            <v>45489</v>
          </cell>
          <cell r="K2754">
            <v>9</v>
          </cell>
        </row>
        <row r="2755">
          <cell r="C2755" t="str">
            <v>丁智軒</v>
          </cell>
          <cell r="F2755" t="str">
            <v>K231101P1</v>
          </cell>
          <cell r="J2755">
            <v>45490</v>
          </cell>
          <cell r="K2755">
            <v>9</v>
          </cell>
        </row>
        <row r="2756">
          <cell r="C2756" t="str">
            <v>丁智軒</v>
          </cell>
          <cell r="F2756" t="str">
            <v>K201002R2</v>
          </cell>
          <cell r="J2756">
            <v>45491</v>
          </cell>
          <cell r="K2756">
            <v>8</v>
          </cell>
        </row>
        <row r="2757">
          <cell r="C2757" t="str">
            <v>丁智軒</v>
          </cell>
          <cell r="F2757" t="str">
            <v>M220603R1</v>
          </cell>
          <cell r="J2757">
            <v>45492</v>
          </cell>
          <cell r="K2757">
            <v>4</v>
          </cell>
        </row>
        <row r="2758">
          <cell r="C2758" t="str">
            <v>丁智軒</v>
          </cell>
          <cell r="F2758" t="str">
            <v>K201002P1</v>
          </cell>
          <cell r="J2758">
            <v>45492</v>
          </cell>
          <cell r="K2758">
            <v>4</v>
          </cell>
        </row>
        <row r="2759">
          <cell r="C2759" t="str">
            <v>丁智軒</v>
          </cell>
          <cell r="J2759">
            <v>45495</v>
          </cell>
          <cell r="K2759">
            <v>8</v>
          </cell>
        </row>
        <row r="2760">
          <cell r="C2760" t="str">
            <v>丁智軒</v>
          </cell>
          <cell r="F2760" t="str">
            <v>M230901R1</v>
          </cell>
          <cell r="J2760">
            <v>45496</v>
          </cell>
          <cell r="K2760">
            <v>9</v>
          </cell>
        </row>
        <row r="2761">
          <cell r="C2761" t="str">
            <v>丁智軒</v>
          </cell>
          <cell r="J2761">
            <v>45497</v>
          </cell>
          <cell r="K2761">
            <v>8</v>
          </cell>
        </row>
        <row r="2762">
          <cell r="C2762" t="str">
            <v>丁智軒</v>
          </cell>
          <cell r="J2762">
            <v>45498</v>
          </cell>
          <cell r="K2762">
            <v>8</v>
          </cell>
        </row>
        <row r="2763">
          <cell r="C2763" t="str">
            <v>丁智軒</v>
          </cell>
          <cell r="F2763" t="str">
            <v>M230901R1</v>
          </cell>
          <cell r="J2763">
            <v>45499</v>
          </cell>
          <cell r="K2763">
            <v>8</v>
          </cell>
        </row>
        <row r="2764">
          <cell r="C2764" t="str">
            <v>丁智軒</v>
          </cell>
          <cell r="F2764" t="str">
            <v>M230901R1</v>
          </cell>
          <cell r="J2764">
            <v>45502</v>
          </cell>
          <cell r="K2764">
            <v>8</v>
          </cell>
        </row>
        <row r="2765">
          <cell r="C2765" t="str">
            <v>丁智軒</v>
          </cell>
          <cell r="F2765" t="str">
            <v>M230901R1</v>
          </cell>
          <cell r="J2765">
            <v>45503</v>
          </cell>
          <cell r="K2765">
            <v>9</v>
          </cell>
        </row>
        <row r="2766">
          <cell r="C2766" t="str">
            <v>丁智軒</v>
          </cell>
          <cell r="F2766" t="str">
            <v>K231101R1</v>
          </cell>
          <cell r="J2766">
            <v>45504</v>
          </cell>
          <cell r="K2766">
            <v>8</v>
          </cell>
        </row>
        <row r="2767">
          <cell r="C2767" t="str">
            <v>丁智軒</v>
          </cell>
          <cell r="F2767" t="str">
            <v>K231101R1</v>
          </cell>
          <cell r="J2767">
            <v>45505</v>
          </cell>
          <cell r="K2767">
            <v>9</v>
          </cell>
        </row>
        <row r="2768">
          <cell r="C2768" t="str">
            <v>丁智軒</v>
          </cell>
          <cell r="F2768" t="str">
            <v>K231101R1</v>
          </cell>
          <cell r="J2768">
            <v>45506</v>
          </cell>
          <cell r="K2768">
            <v>8</v>
          </cell>
        </row>
        <row r="2769">
          <cell r="C2769" t="str">
            <v>丁智軒</v>
          </cell>
          <cell r="F2769" t="str">
            <v>K231101R1</v>
          </cell>
          <cell r="J2769">
            <v>45509</v>
          </cell>
          <cell r="K2769">
            <v>9</v>
          </cell>
        </row>
        <row r="2770">
          <cell r="C2770" t="str">
            <v>丁智軒</v>
          </cell>
          <cell r="F2770" t="str">
            <v>K231101R1</v>
          </cell>
          <cell r="J2770">
            <v>45510</v>
          </cell>
          <cell r="K2770">
            <v>8</v>
          </cell>
        </row>
        <row r="2771">
          <cell r="C2771" t="str">
            <v>丁智軒</v>
          </cell>
          <cell r="F2771" t="str">
            <v>K231101R1</v>
          </cell>
          <cell r="J2771">
            <v>45511</v>
          </cell>
          <cell r="K2771">
            <v>8</v>
          </cell>
        </row>
        <row r="2772">
          <cell r="C2772" t="str">
            <v>丁智軒</v>
          </cell>
          <cell r="F2772" t="str">
            <v>K231101R1</v>
          </cell>
          <cell r="J2772">
            <v>45512</v>
          </cell>
          <cell r="K2772">
            <v>9</v>
          </cell>
        </row>
        <row r="2773">
          <cell r="C2773" t="str">
            <v>丁智軒</v>
          </cell>
          <cell r="F2773" t="str">
            <v>K231101R1</v>
          </cell>
          <cell r="J2773">
            <v>45513</v>
          </cell>
          <cell r="K2773">
            <v>9</v>
          </cell>
        </row>
        <row r="2774">
          <cell r="C2774" t="str">
            <v>丁智軒</v>
          </cell>
          <cell r="F2774" t="str">
            <v>K231101R1</v>
          </cell>
          <cell r="J2774">
            <v>45516</v>
          </cell>
          <cell r="K2774">
            <v>8</v>
          </cell>
        </row>
        <row r="2775">
          <cell r="C2775" t="str">
            <v>丁智軒</v>
          </cell>
          <cell r="F2775" t="str">
            <v>K231101R1</v>
          </cell>
          <cell r="J2775">
            <v>45517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45518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45519</v>
          </cell>
          <cell r="K2777">
            <v>10</v>
          </cell>
        </row>
        <row r="2778">
          <cell r="C2778" t="str">
            <v>丁智軒</v>
          </cell>
          <cell r="F2778" t="str">
            <v>K231101R1</v>
          </cell>
          <cell r="J2778">
            <v>45520</v>
          </cell>
          <cell r="K2778">
            <v>8</v>
          </cell>
        </row>
        <row r="2779">
          <cell r="C2779" t="str">
            <v>丁智軒</v>
          </cell>
          <cell r="F2779" t="str">
            <v>K231101R1</v>
          </cell>
          <cell r="J2779">
            <v>45523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45524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45525</v>
          </cell>
          <cell r="K2781">
            <v>8</v>
          </cell>
        </row>
        <row r="2782">
          <cell r="C2782" t="str">
            <v>丁智軒</v>
          </cell>
          <cell r="F2782" t="str">
            <v>K231101R1</v>
          </cell>
          <cell r="J2782">
            <v>45526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45527</v>
          </cell>
          <cell r="K2783">
            <v>8</v>
          </cell>
        </row>
        <row r="2784">
          <cell r="C2784" t="str">
            <v>丁智軒</v>
          </cell>
          <cell r="F2784" t="str">
            <v>K231101R1</v>
          </cell>
          <cell r="J2784">
            <v>45530</v>
          </cell>
          <cell r="K2784">
            <v>9</v>
          </cell>
        </row>
        <row r="2785">
          <cell r="C2785" t="str">
            <v>丁智軒</v>
          </cell>
          <cell r="F2785" t="str">
            <v>K231101R1</v>
          </cell>
          <cell r="J2785">
            <v>45531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45532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45533</v>
          </cell>
          <cell r="K2787">
            <v>9</v>
          </cell>
        </row>
        <row r="2788">
          <cell r="C2788" t="str">
            <v>丁智軒</v>
          </cell>
          <cell r="J2788">
            <v>45534</v>
          </cell>
          <cell r="K2788">
            <v>8</v>
          </cell>
        </row>
        <row r="2789">
          <cell r="C2789" t="str">
            <v>丁智軒</v>
          </cell>
          <cell r="F2789" t="str">
            <v>K231101R1</v>
          </cell>
          <cell r="J2789">
            <v>45537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45538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45539</v>
          </cell>
          <cell r="K2791">
            <v>8</v>
          </cell>
        </row>
        <row r="2792">
          <cell r="C2792" t="str">
            <v>丁智軒</v>
          </cell>
          <cell r="F2792" t="str">
            <v>K231101R1</v>
          </cell>
          <cell r="J2792">
            <v>45540</v>
          </cell>
          <cell r="K2792">
            <v>9</v>
          </cell>
        </row>
        <row r="2793">
          <cell r="C2793" t="str">
            <v>丁智軒</v>
          </cell>
          <cell r="F2793" t="str">
            <v>K231101R1</v>
          </cell>
          <cell r="J2793">
            <v>45541</v>
          </cell>
          <cell r="K2793">
            <v>8</v>
          </cell>
        </row>
        <row r="2794">
          <cell r="C2794" t="str">
            <v>丁智軒</v>
          </cell>
          <cell r="J2794">
            <v>45544</v>
          </cell>
          <cell r="K2794">
            <v>8</v>
          </cell>
        </row>
        <row r="2795">
          <cell r="C2795" t="str">
            <v>丁智軒</v>
          </cell>
          <cell r="F2795" t="str">
            <v>K231101R1</v>
          </cell>
          <cell r="J2795">
            <v>45545</v>
          </cell>
          <cell r="K2795">
            <v>9</v>
          </cell>
        </row>
        <row r="2796">
          <cell r="C2796" t="str">
            <v>丁智軒</v>
          </cell>
          <cell r="F2796" t="str">
            <v>K231101R1</v>
          </cell>
          <cell r="J2796">
            <v>45546</v>
          </cell>
          <cell r="K2796">
            <v>9</v>
          </cell>
        </row>
        <row r="2797">
          <cell r="C2797" t="str">
            <v>丁智軒</v>
          </cell>
          <cell r="F2797" t="str">
            <v>K231101R1</v>
          </cell>
          <cell r="J2797">
            <v>45547</v>
          </cell>
          <cell r="K2797">
            <v>9</v>
          </cell>
        </row>
        <row r="2798">
          <cell r="C2798" t="str">
            <v>丁智軒</v>
          </cell>
          <cell r="F2798" t="str">
            <v>K231101R1</v>
          </cell>
          <cell r="J2798">
            <v>45548</v>
          </cell>
          <cell r="K2798">
            <v>10</v>
          </cell>
        </row>
        <row r="2799">
          <cell r="C2799" t="str">
            <v>丁智軒</v>
          </cell>
          <cell r="J2799">
            <v>45551</v>
          </cell>
          <cell r="K2799">
            <v>8</v>
          </cell>
        </row>
        <row r="2800">
          <cell r="C2800" t="str">
            <v>丁智軒</v>
          </cell>
          <cell r="F2800" t="str">
            <v>K240801R1</v>
          </cell>
          <cell r="J2800">
            <v>45553</v>
          </cell>
          <cell r="K2800">
            <v>8</v>
          </cell>
        </row>
        <row r="2801">
          <cell r="C2801" t="str">
            <v>丁智軒</v>
          </cell>
          <cell r="F2801" t="str">
            <v>K240801R1</v>
          </cell>
          <cell r="J2801">
            <v>45554</v>
          </cell>
          <cell r="K2801">
            <v>9</v>
          </cell>
        </row>
        <row r="2802">
          <cell r="C2802" t="str">
            <v>丁智軒</v>
          </cell>
          <cell r="F2802" t="str">
            <v>K231101R1</v>
          </cell>
          <cell r="J2802">
            <v>45555</v>
          </cell>
          <cell r="K2802">
            <v>8.5</v>
          </cell>
        </row>
        <row r="2803">
          <cell r="C2803" t="str">
            <v>丁智軒</v>
          </cell>
          <cell r="F2803" t="str">
            <v>K240801R1</v>
          </cell>
          <cell r="J2803">
            <v>45558</v>
          </cell>
          <cell r="K2803">
            <v>11</v>
          </cell>
        </row>
        <row r="2804">
          <cell r="C2804" t="str">
            <v>丁智軒</v>
          </cell>
          <cell r="F2804" t="str">
            <v>K240801R1</v>
          </cell>
          <cell r="J2804">
            <v>45559</v>
          </cell>
          <cell r="K2804">
            <v>11</v>
          </cell>
        </row>
        <row r="2805">
          <cell r="C2805" t="str">
            <v>丁智軒</v>
          </cell>
          <cell r="F2805" t="str">
            <v>K240801R1</v>
          </cell>
          <cell r="J2805">
            <v>45560</v>
          </cell>
          <cell r="K2805">
            <v>8.5</v>
          </cell>
        </row>
        <row r="2806">
          <cell r="C2806" t="str">
            <v>丁智軒</v>
          </cell>
          <cell r="F2806" t="str">
            <v>K240801R1</v>
          </cell>
          <cell r="J2806">
            <v>45561</v>
          </cell>
          <cell r="K2806">
            <v>9.5</v>
          </cell>
        </row>
        <row r="2807">
          <cell r="C2807" t="str">
            <v>丁智軒</v>
          </cell>
          <cell r="F2807" t="str">
            <v>K240801R1</v>
          </cell>
          <cell r="J2807">
            <v>45562</v>
          </cell>
          <cell r="K2807">
            <v>8</v>
          </cell>
        </row>
        <row r="2808">
          <cell r="C2808" t="str">
            <v>丁智軒</v>
          </cell>
          <cell r="F2808" t="str">
            <v>K231101R1</v>
          </cell>
          <cell r="J2808">
            <v>45565</v>
          </cell>
          <cell r="K2808">
            <v>9</v>
          </cell>
        </row>
        <row r="2809">
          <cell r="C2809" t="str">
            <v>丁智軒</v>
          </cell>
          <cell r="F2809" t="str">
            <v>K231101R1</v>
          </cell>
          <cell r="J2809">
            <v>45566</v>
          </cell>
          <cell r="K2809">
            <v>9</v>
          </cell>
        </row>
        <row r="2810">
          <cell r="C2810" t="str">
            <v>丁智軒</v>
          </cell>
          <cell r="J2810">
            <v>45567</v>
          </cell>
          <cell r="K2810">
            <v>8</v>
          </cell>
        </row>
        <row r="2811">
          <cell r="C2811" t="str">
            <v>丁智軒</v>
          </cell>
          <cell r="J2811">
            <v>45568</v>
          </cell>
          <cell r="K2811">
            <v>8</v>
          </cell>
        </row>
        <row r="2812">
          <cell r="C2812" t="str">
            <v>丁智軒</v>
          </cell>
          <cell r="F2812" t="str">
            <v>K240801R1</v>
          </cell>
          <cell r="J2812">
            <v>45569</v>
          </cell>
          <cell r="K2812">
            <v>11</v>
          </cell>
        </row>
        <row r="2813">
          <cell r="C2813" t="str">
            <v>丁智軒</v>
          </cell>
          <cell r="F2813" t="str">
            <v>K240801R1</v>
          </cell>
          <cell r="J2813">
            <v>45572</v>
          </cell>
          <cell r="K2813">
            <v>9</v>
          </cell>
        </row>
        <row r="2814">
          <cell r="C2814" t="str">
            <v>丁智軒</v>
          </cell>
          <cell r="F2814" t="str">
            <v>K231101P1</v>
          </cell>
          <cell r="J2814">
            <v>45573</v>
          </cell>
          <cell r="K2814">
            <v>10</v>
          </cell>
        </row>
        <row r="2815">
          <cell r="C2815" t="str">
            <v>丁智軒</v>
          </cell>
          <cell r="F2815" t="str">
            <v>K240801R1</v>
          </cell>
          <cell r="J2815">
            <v>45574</v>
          </cell>
          <cell r="K2815">
            <v>10</v>
          </cell>
        </row>
        <row r="2816">
          <cell r="C2816" t="str">
            <v>丁智軒</v>
          </cell>
          <cell r="F2816" t="str">
            <v>M240801R1</v>
          </cell>
          <cell r="J2816">
            <v>45576</v>
          </cell>
          <cell r="K2816">
            <v>8</v>
          </cell>
        </row>
        <row r="2817">
          <cell r="C2817" t="str">
            <v>丁智軒</v>
          </cell>
          <cell r="F2817" t="str">
            <v>K231101R1</v>
          </cell>
          <cell r="J2817">
            <v>45579</v>
          </cell>
          <cell r="K2817">
            <v>10</v>
          </cell>
        </row>
        <row r="2818">
          <cell r="C2818" t="str">
            <v>丁智軒</v>
          </cell>
          <cell r="F2818" t="str">
            <v>K231101R1</v>
          </cell>
          <cell r="J2818">
            <v>45580</v>
          </cell>
          <cell r="K2818">
            <v>10</v>
          </cell>
        </row>
        <row r="2819">
          <cell r="C2819" t="str">
            <v>丁智軒</v>
          </cell>
          <cell r="F2819" t="str">
            <v>M240801R1</v>
          </cell>
          <cell r="J2819">
            <v>45581</v>
          </cell>
          <cell r="K2819">
            <v>8.5</v>
          </cell>
        </row>
        <row r="2820">
          <cell r="C2820" t="str">
            <v>丁智軒</v>
          </cell>
          <cell r="F2820" t="str">
            <v>K231101R1</v>
          </cell>
          <cell r="J2820">
            <v>45582</v>
          </cell>
          <cell r="K2820">
            <v>9</v>
          </cell>
        </row>
        <row r="2821">
          <cell r="C2821" t="str">
            <v>丁智軒</v>
          </cell>
          <cell r="F2821" t="str">
            <v>M240701C1</v>
          </cell>
          <cell r="J2821">
            <v>45583</v>
          </cell>
          <cell r="K2821">
            <v>9</v>
          </cell>
        </row>
        <row r="2822">
          <cell r="C2822" t="str">
            <v>丁智軒</v>
          </cell>
          <cell r="F2822" t="str">
            <v>M240701C1</v>
          </cell>
          <cell r="J2822">
            <v>45586</v>
          </cell>
          <cell r="K2822">
            <v>10</v>
          </cell>
        </row>
        <row r="2823">
          <cell r="C2823" t="str">
            <v>丁智軒</v>
          </cell>
          <cell r="F2823" t="str">
            <v>K201002R1</v>
          </cell>
          <cell r="J2823">
            <v>45587</v>
          </cell>
          <cell r="K2823">
            <v>9</v>
          </cell>
        </row>
        <row r="2824">
          <cell r="C2824" t="str">
            <v>丁智軒</v>
          </cell>
          <cell r="F2824" t="str">
            <v>M240801R1</v>
          </cell>
          <cell r="J2824">
            <v>45588</v>
          </cell>
          <cell r="K2824">
            <v>10</v>
          </cell>
        </row>
        <row r="2825">
          <cell r="C2825" t="str">
            <v>丁智軒</v>
          </cell>
          <cell r="F2825" t="str">
            <v>K241001R1</v>
          </cell>
          <cell r="J2825">
            <v>45589</v>
          </cell>
          <cell r="K2825">
            <v>8</v>
          </cell>
        </row>
        <row r="2826">
          <cell r="C2826" t="str">
            <v>丁智軒</v>
          </cell>
          <cell r="F2826" t="str">
            <v>K241001R1</v>
          </cell>
          <cell r="J2826">
            <v>45590</v>
          </cell>
          <cell r="K2826">
            <v>9</v>
          </cell>
        </row>
        <row r="2827">
          <cell r="C2827" t="str">
            <v>丁智軒</v>
          </cell>
          <cell r="F2827" t="str">
            <v>M240701C1</v>
          </cell>
          <cell r="J2827">
            <v>45593</v>
          </cell>
          <cell r="K2827">
            <v>9</v>
          </cell>
        </row>
        <row r="2828">
          <cell r="C2828" t="str">
            <v>丁智軒</v>
          </cell>
          <cell r="F2828" t="str">
            <v>K231101R1</v>
          </cell>
          <cell r="J2828">
            <v>45594</v>
          </cell>
          <cell r="K2828">
            <v>10</v>
          </cell>
        </row>
        <row r="2829">
          <cell r="C2829" t="str">
            <v>丁智軒</v>
          </cell>
          <cell r="F2829" t="str">
            <v>K231101R1</v>
          </cell>
          <cell r="J2829">
            <v>45595</v>
          </cell>
          <cell r="K2829">
            <v>9</v>
          </cell>
        </row>
        <row r="2830">
          <cell r="C2830" t="str">
            <v>丁智軒</v>
          </cell>
          <cell r="J2830">
            <v>45596</v>
          </cell>
          <cell r="K2830">
            <v>8</v>
          </cell>
        </row>
        <row r="2831">
          <cell r="C2831" t="str">
            <v>丁智軒</v>
          </cell>
          <cell r="F2831" t="str">
            <v>K231101R1</v>
          </cell>
          <cell r="J2831">
            <v>45597</v>
          </cell>
          <cell r="K2831">
            <v>8</v>
          </cell>
        </row>
        <row r="2832">
          <cell r="C2832" t="str">
            <v>丁智軒</v>
          </cell>
          <cell r="F2832" t="str">
            <v>K231101R1</v>
          </cell>
          <cell r="J2832">
            <v>45600</v>
          </cell>
          <cell r="K2832">
            <v>9</v>
          </cell>
        </row>
        <row r="2833">
          <cell r="C2833" t="str">
            <v>丁智軒</v>
          </cell>
          <cell r="F2833" t="str">
            <v>K241001R1</v>
          </cell>
          <cell r="J2833">
            <v>45601</v>
          </cell>
          <cell r="K2833">
            <v>8.5</v>
          </cell>
        </row>
        <row r="2834">
          <cell r="C2834" t="str">
            <v>丁智軒</v>
          </cell>
          <cell r="F2834" t="str">
            <v>K231101R1</v>
          </cell>
          <cell r="J2834">
            <v>45602</v>
          </cell>
          <cell r="K2834">
            <v>4.5</v>
          </cell>
        </row>
        <row r="2835">
          <cell r="C2835" t="str">
            <v>丁智軒</v>
          </cell>
          <cell r="F2835" t="str">
            <v>K201002P1</v>
          </cell>
          <cell r="J2835">
            <v>45603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45604</v>
          </cell>
          <cell r="K2836">
            <v>8.5</v>
          </cell>
        </row>
        <row r="2837">
          <cell r="C2837" t="str">
            <v>丁智軒</v>
          </cell>
          <cell r="J2837">
            <v>45607</v>
          </cell>
          <cell r="K2837">
            <v>8</v>
          </cell>
        </row>
        <row r="2838">
          <cell r="C2838" t="str">
            <v>丁智軒</v>
          </cell>
          <cell r="J2838">
            <v>45608</v>
          </cell>
          <cell r="K2838">
            <v>8</v>
          </cell>
        </row>
        <row r="2839">
          <cell r="C2839" t="str">
            <v>丁智軒</v>
          </cell>
          <cell r="J2839">
            <v>45609</v>
          </cell>
          <cell r="K2839">
            <v>8</v>
          </cell>
        </row>
        <row r="2840">
          <cell r="C2840" t="str">
            <v>丁智軒</v>
          </cell>
          <cell r="J2840">
            <v>45610</v>
          </cell>
          <cell r="K2840">
            <v>8</v>
          </cell>
        </row>
        <row r="2841">
          <cell r="C2841" t="str">
            <v>丁智軒</v>
          </cell>
          <cell r="F2841" t="str">
            <v>K231101R1</v>
          </cell>
          <cell r="J2841">
            <v>45611</v>
          </cell>
          <cell r="K2841">
            <v>9</v>
          </cell>
        </row>
        <row r="2842">
          <cell r="C2842" t="str">
            <v>丁智軒</v>
          </cell>
          <cell r="F2842" t="str">
            <v>K231101R1</v>
          </cell>
          <cell r="J2842">
            <v>45614</v>
          </cell>
          <cell r="K2842">
            <v>9</v>
          </cell>
        </row>
        <row r="2843">
          <cell r="C2843" t="str">
            <v>丁智軒</v>
          </cell>
          <cell r="F2843" t="str">
            <v>K231101R1</v>
          </cell>
          <cell r="J2843">
            <v>45615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45616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45617</v>
          </cell>
          <cell r="K2845">
            <v>9</v>
          </cell>
        </row>
        <row r="2846">
          <cell r="C2846" t="str">
            <v>丁智軒</v>
          </cell>
          <cell r="F2846" t="str">
            <v>K231101R1</v>
          </cell>
          <cell r="J2846">
            <v>45618</v>
          </cell>
          <cell r="K2846">
            <v>9</v>
          </cell>
        </row>
        <row r="2847">
          <cell r="C2847" t="str">
            <v>丁智軒</v>
          </cell>
          <cell r="F2847" t="str">
            <v>K231101R1</v>
          </cell>
          <cell r="J2847">
            <v>45621</v>
          </cell>
          <cell r="K2847">
            <v>9</v>
          </cell>
        </row>
        <row r="2848">
          <cell r="C2848" t="str">
            <v>丁智軒</v>
          </cell>
          <cell r="F2848" t="str">
            <v>K231101R1</v>
          </cell>
          <cell r="J2848">
            <v>45622</v>
          </cell>
          <cell r="K2848">
            <v>9</v>
          </cell>
        </row>
        <row r="2849">
          <cell r="C2849" t="str">
            <v>丁智軒</v>
          </cell>
          <cell r="F2849" t="str">
            <v>K231101R1</v>
          </cell>
          <cell r="J2849">
            <v>45623</v>
          </cell>
          <cell r="K2849">
            <v>8.5</v>
          </cell>
        </row>
        <row r="2850">
          <cell r="C2850" t="str">
            <v>丁智軒</v>
          </cell>
          <cell r="F2850" t="str">
            <v>K231101R1</v>
          </cell>
          <cell r="J2850">
            <v>45624</v>
          </cell>
          <cell r="K2850">
            <v>8.5</v>
          </cell>
        </row>
        <row r="2851">
          <cell r="C2851" t="str">
            <v>丁智軒</v>
          </cell>
          <cell r="F2851" t="str">
            <v>K231101R1</v>
          </cell>
          <cell r="J2851">
            <v>45625</v>
          </cell>
          <cell r="K2851">
            <v>9</v>
          </cell>
        </row>
        <row r="2852">
          <cell r="C2852" t="str">
            <v>丁智軒</v>
          </cell>
          <cell r="F2852" t="str">
            <v>K231101R1</v>
          </cell>
          <cell r="J2852">
            <v>45628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45629</v>
          </cell>
          <cell r="K2853">
            <v>9</v>
          </cell>
        </row>
        <row r="2854">
          <cell r="C2854" t="str">
            <v>丁智軒</v>
          </cell>
          <cell r="F2854" t="str">
            <v>K231101R1</v>
          </cell>
          <cell r="J2854">
            <v>45630</v>
          </cell>
          <cell r="K2854">
            <v>10</v>
          </cell>
        </row>
        <row r="2855">
          <cell r="C2855" t="str">
            <v>丁智軒</v>
          </cell>
          <cell r="F2855" t="str">
            <v>K231101R1</v>
          </cell>
          <cell r="J2855">
            <v>45631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45632</v>
          </cell>
          <cell r="K2856">
            <v>9</v>
          </cell>
        </row>
        <row r="2857">
          <cell r="C2857" t="str">
            <v>丁智軒</v>
          </cell>
          <cell r="F2857" t="str">
            <v>K231101R1</v>
          </cell>
          <cell r="J2857">
            <v>45635</v>
          </cell>
          <cell r="K2857">
            <v>8</v>
          </cell>
        </row>
        <row r="2858">
          <cell r="C2858" t="str">
            <v>丁智軒</v>
          </cell>
          <cell r="F2858" t="str">
            <v>K231101R1</v>
          </cell>
          <cell r="J2858">
            <v>45636</v>
          </cell>
          <cell r="K2858">
            <v>9</v>
          </cell>
        </row>
        <row r="2859">
          <cell r="C2859" t="str">
            <v>丁智軒</v>
          </cell>
          <cell r="F2859" t="str">
            <v>K231101R1</v>
          </cell>
          <cell r="J2859">
            <v>45637</v>
          </cell>
          <cell r="K2859">
            <v>10</v>
          </cell>
        </row>
        <row r="2860">
          <cell r="C2860" t="str">
            <v>丁智軒</v>
          </cell>
          <cell r="F2860" t="str">
            <v>K231101R1</v>
          </cell>
          <cell r="J2860">
            <v>45638</v>
          </cell>
          <cell r="K2860">
            <v>10</v>
          </cell>
        </row>
        <row r="2861">
          <cell r="C2861" t="str">
            <v>丁智軒</v>
          </cell>
          <cell r="F2861" t="str">
            <v>K231101R1</v>
          </cell>
          <cell r="J2861">
            <v>45639</v>
          </cell>
          <cell r="K2861">
            <v>8</v>
          </cell>
        </row>
        <row r="2862">
          <cell r="C2862" t="str">
            <v>丁智軒</v>
          </cell>
          <cell r="F2862" t="str">
            <v>K231101R1</v>
          </cell>
          <cell r="J2862">
            <v>45642</v>
          </cell>
          <cell r="K2862">
            <v>9</v>
          </cell>
        </row>
        <row r="2863">
          <cell r="C2863" t="str">
            <v>丁智軒</v>
          </cell>
          <cell r="F2863" t="str">
            <v>K201002P1</v>
          </cell>
          <cell r="J2863">
            <v>45643</v>
          </cell>
          <cell r="K2863">
            <v>9</v>
          </cell>
        </row>
        <row r="2864">
          <cell r="C2864" t="str">
            <v>丁智軒</v>
          </cell>
          <cell r="F2864" t="str">
            <v>K231101R1</v>
          </cell>
          <cell r="J2864">
            <v>45644</v>
          </cell>
          <cell r="K2864">
            <v>8</v>
          </cell>
        </row>
        <row r="2865">
          <cell r="C2865" t="str">
            <v>丁智軒</v>
          </cell>
          <cell r="F2865" t="str">
            <v>K231101R1</v>
          </cell>
          <cell r="J2865">
            <v>45645</v>
          </cell>
          <cell r="K2865">
            <v>9</v>
          </cell>
        </row>
        <row r="2866">
          <cell r="C2866" t="str">
            <v>丁智軒</v>
          </cell>
          <cell r="F2866" t="str">
            <v>K231101R1</v>
          </cell>
          <cell r="J2866">
            <v>45646</v>
          </cell>
          <cell r="K2866">
            <v>9.5</v>
          </cell>
        </row>
        <row r="2867">
          <cell r="C2867" t="str">
            <v>丁智軒</v>
          </cell>
          <cell r="F2867" t="str">
            <v>K231101R1</v>
          </cell>
          <cell r="J2867">
            <v>45649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45650</v>
          </cell>
          <cell r="K2868">
            <v>9</v>
          </cell>
        </row>
        <row r="2869">
          <cell r="C2869" t="str">
            <v>丁智軒</v>
          </cell>
          <cell r="F2869" t="str">
            <v>K240801R2</v>
          </cell>
          <cell r="J2869">
            <v>45651</v>
          </cell>
          <cell r="K2869">
            <v>8</v>
          </cell>
        </row>
        <row r="2870">
          <cell r="C2870" t="str">
            <v>丁智軒</v>
          </cell>
          <cell r="F2870" t="str">
            <v>K240801R2</v>
          </cell>
          <cell r="J2870">
            <v>45652</v>
          </cell>
          <cell r="K2870">
            <v>9</v>
          </cell>
        </row>
        <row r="2871">
          <cell r="C2871" t="str">
            <v>丁智軒</v>
          </cell>
          <cell r="F2871" t="str">
            <v>K240801R2</v>
          </cell>
          <cell r="J2871">
            <v>45653</v>
          </cell>
          <cell r="K2871">
            <v>8</v>
          </cell>
        </row>
        <row r="2872">
          <cell r="C2872" t="str">
            <v>丁智軒</v>
          </cell>
          <cell r="F2872" t="str">
            <v>K240801R2</v>
          </cell>
          <cell r="J2872">
            <v>45656</v>
          </cell>
          <cell r="K2872">
            <v>9</v>
          </cell>
        </row>
        <row r="2873">
          <cell r="C2873" t="str">
            <v>丁智軒</v>
          </cell>
          <cell r="F2873" t="str">
            <v>K231101R1</v>
          </cell>
          <cell r="J2873">
            <v>45657</v>
          </cell>
          <cell r="K2873">
            <v>8</v>
          </cell>
        </row>
        <row r="2874">
          <cell r="C2874" t="str">
            <v>丁智軒</v>
          </cell>
          <cell r="F2874" t="str">
            <v>K231101R1</v>
          </cell>
          <cell r="J2874">
            <v>45659</v>
          </cell>
          <cell r="K2874">
            <v>9</v>
          </cell>
        </row>
        <row r="2875">
          <cell r="C2875" t="str">
            <v>丁智軒</v>
          </cell>
          <cell r="F2875" t="str">
            <v>K240801R2</v>
          </cell>
          <cell r="J2875">
            <v>45660</v>
          </cell>
          <cell r="K2875">
            <v>11</v>
          </cell>
        </row>
        <row r="2876">
          <cell r="C2876" t="str">
            <v>丁智軒</v>
          </cell>
          <cell r="F2876" t="str">
            <v>K240801R2</v>
          </cell>
          <cell r="J2876">
            <v>45663</v>
          </cell>
          <cell r="K2876">
            <v>8</v>
          </cell>
        </row>
        <row r="2877">
          <cell r="C2877" t="str">
            <v>丁智軒</v>
          </cell>
          <cell r="F2877" t="str">
            <v>K240801R2</v>
          </cell>
          <cell r="J2877">
            <v>45664</v>
          </cell>
          <cell r="K2877">
            <v>9</v>
          </cell>
        </row>
        <row r="2878">
          <cell r="C2878" t="str">
            <v>丁智軒</v>
          </cell>
          <cell r="F2878" t="str">
            <v>K240801R2</v>
          </cell>
          <cell r="J2878">
            <v>45665</v>
          </cell>
          <cell r="K2878">
            <v>9</v>
          </cell>
        </row>
        <row r="2879">
          <cell r="C2879" t="str">
            <v>丁智軒</v>
          </cell>
          <cell r="F2879" t="str">
            <v>K240801R2</v>
          </cell>
          <cell r="J2879">
            <v>45666</v>
          </cell>
          <cell r="K2879">
            <v>9</v>
          </cell>
        </row>
        <row r="2880">
          <cell r="C2880" t="str">
            <v>丁智軒</v>
          </cell>
          <cell r="F2880" t="str">
            <v>K240801R2</v>
          </cell>
          <cell r="J2880">
            <v>45667</v>
          </cell>
          <cell r="K2880">
            <v>8</v>
          </cell>
        </row>
        <row r="2881">
          <cell r="C2881" t="str">
            <v>丁智軒</v>
          </cell>
          <cell r="F2881" t="str">
            <v>K240801R2</v>
          </cell>
          <cell r="J2881">
            <v>45670</v>
          </cell>
          <cell r="K2881">
            <v>8</v>
          </cell>
        </row>
        <row r="2882">
          <cell r="C2882" t="str">
            <v>丁智軒</v>
          </cell>
          <cell r="F2882" t="str">
            <v>K231101R1</v>
          </cell>
          <cell r="J2882">
            <v>45671</v>
          </cell>
          <cell r="K2882">
            <v>9</v>
          </cell>
        </row>
        <row r="2883">
          <cell r="C2883" t="str">
            <v>丁智軒</v>
          </cell>
          <cell r="F2883" t="str">
            <v>K231101R1</v>
          </cell>
          <cell r="J2883">
            <v>45672</v>
          </cell>
          <cell r="K2883">
            <v>9</v>
          </cell>
        </row>
        <row r="2884">
          <cell r="C2884" t="str">
            <v>丁智軒</v>
          </cell>
          <cell r="F2884" t="str">
            <v>K231101R1</v>
          </cell>
          <cell r="J2884">
            <v>45673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45674</v>
          </cell>
          <cell r="K2885">
            <v>9</v>
          </cell>
        </row>
        <row r="2886">
          <cell r="C2886" t="str">
            <v>丁智軒</v>
          </cell>
          <cell r="F2886" t="str">
            <v>K231101R1</v>
          </cell>
          <cell r="J2886">
            <v>45677</v>
          </cell>
          <cell r="K2886">
            <v>9</v>
          </cell>
        </row>
        <row r="2887">
          <cell r="C2887" t="str">
            <v>丁智軒</v>
          </cell>
          <cell r="F2887" t="str">
            <v>K231101R1</v>
          </cell>
          <cell r="J2887">
            <v>45678</v>
          </cell>
          <cell r="K2887">
            <v>9</v>
          </cell>
        </row>
        <row r="2888">
          <cell r="C2888" t="str">
            <v>丁智軒</v>
          </cell>
          <cell r="F2888" t="str">
            <v>K231101R1</v>
          </cell>
          <cell r="J2888">
            <v>45679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45680</v>
          </cell>
          <cell r="K2889">
            <v>8</v>
          </cell>
        </row>
        <row r="2890">
          <cell r="C2890" t="str">
            <v>丁智軒</v>
          </cell>
          <cell r="F2890" t="str">
            <v>K231101R1</v>
          </cell>
          <cell r="J2890">
            <v>45681</v>
          </cell>
          <cell r="K2890">
            <v>8</v>
          </cell>
        </row>
        <row r="2891">
          <cell r="C2891" t="str">
            <v>丁智軒</v>
          </cell>
          <cell r="F2891" t="str">
            <v>K231101R1</v>
          </cell>
          <cell r="J2891">
            <v>45691</v>
          </cell>
          <cell r="K2891">
            <v>9</v>
          </cell>
        </row>
        <row r="2892">
          <cell r="C2892" t="str">
            <v>丁智軒</v>
          </cell>
          <cell r="F2892" t="str">
            <v>K231101R1</v>
          </cell>
          <cell r="J2892">
            <v>45692</v>
          </cell>
          <cell r="K2892">
            <v>5</v>
          </cell>
        </row>
        <row r="2893">
          <cell r="C2893" t="str">
            <v>丁智軒</v>
          </cell>
          <cell r="F2893" t="str">
            <v>K231101R1</v>
          </cell>
          <cell r="J2893">
            <v>45692</v>
          </cell>
          <cell r="K2893">
            <v>4</v>
          </cell>
        </row>
        <row r="2894">
          <cell r="C2894" t="str">
            <v>丁智軒</v>
          </cell>
          <cell r="F2894" t="str">
            <v>K231101R1</v>
          </cell>
          <cell r="J2894">
            <v>45693</v>
          </cell>
          <cell r="K2894">
            <v>9</v>
          </cell>
        </row>
        <row r="2895">
          <cell r="C2895" t="str">
            <v>丁智軒</v>
          </cell>
          <cell r="F2895" t="str">
            <v>K231101R1</v>
          </cell>
          <cell r="J2895">
            <v>45694</v>
          </cell>
          <cell r="K2895">
            <v>8</v>
          </cell>
        </row>
        <row r="2896">
          <cell r="C2896" t="str">
            <v>丁智軒</v>
          </cell>
          <cell r="F2896" t="str">
            <v>K201002P2</v>
          </cell>
          <cell r="J2896">
            <v>45695</v>
          </cell>
          <cell r="K2896">
            <v>4</v>
          </cell>
        </row>
        <row r="2897">
          <cell r="C2897" t="str">
            <v>丁智軒</v>
          </cell>
          <cell r="F2897" t="str">
            <v>K201002P2</v>
          </cell>
          <cell r="J2897">
            <v>45696</v>
          </cell>
          <cell r="K2897">
            <v>8</v>
          </cell>
        </row>
        <row r="2898">
          <cell r="C2898" t="str">
            <v>丁智軒</v>
          </cell>
          <cell r="F2898" t="str">
            <v>K201002P2</v>
          </cell>
          <cell r="J2898">
            <v>45698</v>
          </cell>
          <cell r="K2898">
            <v>9</v>
          </cell>
        </row>
        <row r="2899">
          <cell r="C2899" t="str">
            <v>丁智軒</v>
          </cell>
          <cell r="F2899" t="str">
            <v>K201002P2</v>
          </cell>
          <cell r="J2899">
            <v>45699</v>
          </cell>
          <cell r="K2899">
            <v>8</v>
          </cell>
        </row>
        <row r="2900">
          <cell r="C2900" t="str">
            <v>丁智軒</v>
          </cell>
          <cell r="F2900" t="str">
            <v>K201002P2</v>
          </cell>
          <cell r="J2900">
            <v>45700</v>
          </cell>
          <cell r="K2900">
            <v>9</v>
          </cell>
        </row>
        <row r="2901">
          <cell r="C2901" t="str">
            <v>丁智軒</v>
          </cell>
          <cell r="F2901" t="str">
            <v>K231101R1</v>
          </cell>
          <cell r="J2901">
            <v>45701</v>
          </cell>
          <cell r="K2901">
            <v>9</v>
          </cell>
        </row>
        <row r="2902">
          <cell r="C2902" t="str">
            <v>丁智軒</v>
          </cell>
          <cell r="F2902" t="str">
            <v>K231101R1</v>
          </cell>
          <cell r="J2902">
            <v>45702</v>
          </cell>
          <cell r="K2902">
            <v>8</v>
          </cell>
        </row>
        <row r="2903">
          <cell r="C2903" t="str">
            <v>丁智軒</v>
          </cell>
          <cell r="F2903" t="str">
            <v>K231101R1</v>
          </cell>
          <cell r="J2903">
            <v>45705</v>
          </cell>
          <cell r="K2903">
            <v>10.5</v>
          </cell>
        </row>
        <row r="2904">
          <cell r="C2904" t="str">
            <v>丁智軒</v>
          </cell>
          <cell r="F2904" t="str">
            <v>K231101R1</v>
          </cell>
          <cell r="J2904">
            <v>45706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45707</v>
          </cell>
          <cell r="K2905">
            <v>9</v>
          </cell>
        </row>
        <row r="2906">
          <cell r="C2906" t="str">
            <v>丁智軒</v>
          </cell>
          <cell r="F2906" t="str">
            <v>M230901R1</v>
          </cell>
          <cell r="J2906">
            <v>45708</v>
          </cell>
          <cell r="K2906">
            <v>12</v>
          </cell>
        </row>
        <row r="2907">
          <cell r="C2907" t="str">
            <v>丁智軒</v>
          </cell>
          <cell r="F2907" t="str">
            <v>K231101R1</v>
          </cell>
          <cell r="J2907">
            <v>45709</v>
          </cell>
          <cell r="K2907">
            <v>8</v>
          </cell>
        </row>
        <row r="2908">
          <cell r="C2908" t="str">
            <v>丁智軒</v>
          </cell>
          <cell r="F2908" t="str">
            <v>K201002R2</v>
          </cell>
          <cell r="J2908">
            <v>45712</v>
          </cell>
          <cell r="K2908">
            <v>9</v>
          </cell>
        </row>
        <row r="2909">
          <cell r="C2909" t="str">
            <v>丁智軒</v>
          </cell>
          <cell r="F2909" t="str">
            <v>K231101R1</v>
          </cell>
          <cell r="J2909">
            <v>45713</v>
          </cell>
          <cell r="K2909">
            <v>9</v>
          </cell>
        </row>
        <row r="2910">
          <cell r="C2910" t="str">
            <v>丁智軒</v>
          </cell>
          <cell r="F2910" t="str">
            <v>K231101R1</v>
          </cell>
          <cell r="J2910">
            <v>45714</v>
          </cell>
          <cell r="K2910">
            <v>9</v>
          </cell>
        </row>
        <row r="2911">
          <cell r="C2911" t="str">
            <v>丁智軒</v>
          </cell>
          <cell r="F2911" t="str">
            <v>K201002R2</v>
          </cell>
          <cell r="J2911">
            <v>45715</v>
          </cell>
          <cell r="K2911">
            <v>8</v>
          </cell>
        </row>
        <row r="2912">
          <cell r="C2912" t="str">
            <v>丁智軒</v>
          </cell>
          <cell r="F2912" t="str">
            <v>K231101R1</v>
          </cell>
          <cell r="J2912">
            <v>45719</v>
          </cell>
          <cell r="K2912">
            <v>9.5</v>
          </cell>
        </row>
        <row r="2913">
          <cell r="C2913" t="str">
            <v>丁智軒</v>
          </cell>
          <cell r="F2913" t="str">
            <v>K231101R1</v>
          </cell>
          <cell r="J2913">
            <v>45720</v>
          </cell>
          <cell r="K2913">
            <v>9.5</v>
          </cell>
        </row>
        <row r="2914">
          <cell r="C2914" t="str">
            <v>丁智軒</v>
          </cell>
          <cell r="F2914" t="str">
            <v>K231101R1</v>
          </cell>
          <cell r="J2914">
            <v>45721</v>
          </cell>
          <cell r="K2914">
            <v>9</v>
          </cell>
        </row>
        <row r="2915">
          <cell r="C2915" t="str">
            <v>丁智軒</v>
          </cell>
          <cell r="F2915" t="str">
            <v>K231101R1</v>
          </cell>
          <cell r="J2915">
            <v>45722</v>
          </cell>
          <cell r="K2915">
            <v>9</v>
          </cell>
        </row>
        <row r="2916">
          <cell r="C2916" t="str">
            <v>丁智軒</v>
          </cell>
          <cell r="F2916" t="str">
            <v>K231101R1</v>
          </cell>
          <cell r="J2916">
            <v>45723</v>
          </cell>
          <cell r="K2916">
            <v>9</v>
          </cell>
        </row>
        <row r="2917">
          <cell r="C2917" t="str">
            <v>丁智軒</v>
          </cell>
          <cell r="F2917" t="str">
            <v>K231101R1</v>
          </cell>
          <cell r="J2917">
            <v>45726</v>
          </cell>
          <cell r="K2917">
            <v>9</v>
          </cell>
        </row>
        <row r="2918">
          <cell r="C2918" t="str">
            <v>丁智軒</v>
          </cell>
          <cell r="F2918" t="str">
            <v>K231101R1</v>
          </cell>
          <cell r="J2918">
            <v>45727</v>
          </cell>
          <cell r="K2918">
            <v>9</v>
          </cell>
        </row>
        <row r="2919">
          <cell r="C2919" t="str">
            <v>丁智軒</v>
          </cell>
          <cell r="F2919" t="str">
            <v>K231101R1</v>
          </cell>
          <cell r="J2919">
            <v>45728</v>
          </cell>
          <cell r="K2919">
            <v>8</v>
          </cell>
        </row>
        <row r="2920">
          <cell r="C2920" t="str">
            <v>丁智軒</v>
          </cell>
          <cell r="F2920" t="str">
            <v>K231101R1</v>
          </cell>
          <cell r="J2920">
            <v>45729</v>
          </cell>
          <cell r="K2920">
            <v>9</v>
          </cell>
        </row>
        <row r="2921">
          <cell r="C2921" t="str">
            <v>丁智軒</v>
          </cell>
          <cell r="F2921" t="str">
            <v>K231101R1</v>
          </cell>
          <cell r="J2921">
            <v>45730</v>
          </cell>
          <cell r="K2921">
            <v>4</v>
          </cell>
        </row>
        <row r="2922">
          <cell r="C2922" t="str">
            <v>丁智軒</v>
          </cell>
          <cell r="J2922">
            <v>45730</v>
          </cell>
          <cell r="K2922">
            <v>4</v>
          </cell>
        </row>
        <row r="2923">
          <cell r="C2923" t="str">
            <v>丁智軒</v>
          </cell>
          <cell r="F2923" t="str">
            <v>K231101R1</v>
          </cell>
          <cell r="J2923">
            <v>45733</v>
          </cell>
          <cell r="K2923">
            <v>9</v>
          </cell>
        </row>
        <row r="2924">
          <cell r="C2924" t="str">
            <v>丁智軒</v>
          </cell>
          <cell r="F2924" t="str">
            <v>K231101R1</v>
          </cell>
          <cell r="J2924">
            <v>45734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45735</v>
          </cell>
          <cell r="K2925">
            <v>9</v>
          </cell>
        </row>
        <row r="2926">
          <cell r="C2926" t="str">
            <v>丁智軒</v>
          </cell>
          <cell r="F2926" t="str">
            <v>K231101R1</v>
          </cell>
          <cell r="J2926">
            <v>45736</v>
          </cell>
          <cell r="K2926">
            <v>10.5</v>
          </cell>
        </row>
        <row r="2927">
          <cell r="C2927" t="str">
            <v>丁智軒</v>
          </cell>
          <cell r="F2927" t="str">
            <v>K231101R1</v>
          </cell>
          <cell r="J2927">
            <v>45737</v>
          </cell>
          <cell r="K2927">
            <v>8</v>
          </cell>
        </row>
        <row r="2928">
          <cell r="C2928" t="str">
            <v>丁智軒</v>
          </cell>
          <cell r="F2928" t="str">
            <v>K231101R1</v>
          </cell>
          <cell r="J2928">
            <v>45740</v>
          </cell>
          <cell r="K2928">
            <v>10.5</v>
          </cell>
        </row>
        <row r="2929">
          <cell r="C2929" t="str">
            <v>丁智軒</v>
          </cell>
          <cell r="F2929" t="str">
            <v>K231101R1</v>
          </cell>
          <cell r="J2929">
            <v>45741</v>
          </cell>
          <cell r="K2929">
            <v>9.5</v>
          </cell>
        </row>
        <row r="2930">
          <cell r="C2930" t="str">
            <v>丁智軒</v>
          </cell>
          <cell r="F2930" t="str">
            <v>K231101R1</v>
          </cell>
          <cell r="J2930">
            <v>45742</v>
          </cell>
          <cell r="K2930">
            <v>9.5</v>
          </cell>
        </row>
        <row r="2931">
          <cell r="C2931" t="str">
            <v>丁智軒</v>
          </cell>
          <cell r="F2931" t="str">
            <v>K231101R1</v>
          </cell>
          <cell r="J2931">
            <v>45743</v>
          </cell>
          <cell r="K2931">
            <v>9</v>
          </cell>
        </row>
        <row r="2932">
          <cell r="C2932" t="str">
            <v>丁智軒</v>
          </cell>
          <cell r="F2932" t="str">
            <v>K231101R1</v>
          </cell>
          <cell r="J2932">
            <v>45744</v>
          </cell>
          <cell r="K2932">
            <v>9</v>
          </cell>
        </row>
        <row r="2933">
          <cell r="C2933" t="str">
            <v>丁智軒</v>
          </cell>
          <cell r="F2933" t="str">
            <v>K231101R1</v>
          </cell>
          <cell r="J2933">
            <v>45747</v>
          </cell>
          <cell r="K2933">
            <v>9</v>
          </cell>
        </row>
        <row r="2934">
          <cell r="C2934" t="str">
            <v>丁智軒</v>
          </cell>
          <cell r="F2934" t="str">
            <v>K231101R1</v>
          </cell>
          <cell r="J2934">
            <v>45754</v>
          </cell>
          <cell r="K2934">
            <v>8</v>
          </cell>
        </row>
        <row r="2935">
          <cell r="C2935" t="str">
            <v>丁智軒</v>
          </cell>
          <cell r="F2935" t="str">
            <v>K231101R1</v>
          </cell>
          <cell r="J2935">
            <v>45755</v>
          </cell>
          <cell r="K2935">
            <v>9</v>
          </cell>
        </row>
        <row r="2936">
          <cell r="C2936" t="str">
            <v>丁智軒</v>
          </cell>
          <cell r="F2936" t="str">
            <v>K231101R1</v>
          </cell>
          <cell r="J2936">
            <v>45756</v>
          </cell>
          <cell r="K2936">
            <v>4</v>
          </cell>
        </row>
        <row r="2937">
          <cell r="C2937" t="str">
            <v>丁智軒</v>
          </cell>
          <cell r="F2937" t="str">
            <v>K231101R1</v>
          </cell>
          <cell r="J2937">
            <v>45757</v>
          </cell>
          <cell r="K2937">
            <v>10</v>
          </cell>
        </row>
        <row r="2938">
          <cell r="C2938" t="str">
            <v>丁智軒</v>
          </cell>
          <cell r="F2938" t="str">
            <v>K231101R1</v>
          </cell>
          <cell r="J2938">
            <v>45758</v>
          </cell>
          <cell r="K2938">
            <v>8</v>
          </cell>
        </row>
        <row r="2939">
          <cell r="C2939" t="str">
            <v>丁智軒</v>
          </cell>
          <cell r="F2939" t="str">
            <v>K231101R1</v>
          </cell>
          <cell r="J2939">
            <v>45761</v>
          </cell>
          <cell r="K2939">
            <v>9</v>
          </cell>
        </row>
        <row r="2940">
          <cell r="C2940" t="str">
            <v>丁智軒</v>
          </cell>
          <cell r="F2940" t="str">
            <v>K201002R2</v>
          </cell>
          <cell r="J2940">
            <v>45762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45763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45764</v>
          </cell>
          <cell r="K2942">
            <v>9.5</v>
          </cell>
        </row>
        <row r="2943">
          <cell r="C2943" t="str">
            <v>丁智軒</v>
          </cell>
          <cell r="F2943" t="str">
            <v>K231101R1</v>
          </cell>
          <cell r="J2943">
            <v>45765</v>
          </cell>
          <cell r="K2943">
            <v>9.5</v>
          </cell>
        </row>
        <row r="2944">
          <cell r="C2944" t="str">
            <v>丁智軒</v>
          </cell>
          <cell r="F2944" t="str">
            <v>K231101R1</v>
          </cell>
          <cell r="J2944">
            <v>45768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45769</v>
          </cell>
          <cell r="K2945">
            <v>9</v>
          </cell>
        </row>
        <row r="2946">
          <cell r="C2946" t="str">
            <v>丁智軒</v>
          </cell>
          <cell r="F2946" t="str">
            <v>K231101R1</v>
          </cell>
          <cell r="J2946">
            <v>45770</v>
          </cell>
          <cell r="K2946">
            <v>9</v>
          </cell>
        </row>
        <row r="2947">
          <cell r="C2947" t="str">
            <v>丁智軒</v>
          </cell>
          <cell r="F2947" t="str">
            <v>K231101R1</v>
          </cell>
          <cell r="J2947">
            <v>45771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45772</v>
          </cell>
          <cell r="K2948">
            <v>8</v>
          </cell>
        </row>
        <row r="2949">
          <cell r="C2949" t="str">
            <v>丁智軒</v>
          </cell>
          <cell r="F2949" t="str">
            <v>K231101R1</v>
          </cell>
          <cell r="J2949">
            <v>45775</v>
          </cell>
          <cell r="K2949">
            <v>8</v>
          </cell>
        </row>
        <row r="2950">
          <cell r="C2950" t="str">
            <v>丁智軒</v>
          </cell>
          <cell r="F2950" t="str">
            <v>K231101R1</v>
          </cell>
          <cell r="J2950">
            <v>45776</v>
          </cell>
          <cell r="K2950">
            <v>9</v>
          </cell>
        </row>
        <row r="2951">
          <cell r="C2951" t="str">
            <v>丁智軒</v>
          </cell>
          <cell r="F2951" t="str">
            <v>K231101R1</v>
          </cell>
          <cell r="J2951">
            <v>45777</v>
          </cell>
          <cell r="K2951">
            <v>8</v>
          </cell>
        </row>
        <row r="2952">
          <cell r="C2952" t="str">
            <v>丁智軒</v>
          </cell>
          <cell r="J2952">
            <v>45779</v>
          </cell>
          <cell r="K2952">
            <v>8</v>
          </cell>
        </row>
        <row r="2953">
          <cell r="C2953" t="str">
            <v>丁智軒</v>
          </cell>
          <cell r="F2953" t="str">
            <v>K231101R1</v>
          </cell>
          <cell r="J2953">
            <v>45782</v>
          </cell>
          <cell r="K2953">
            <v>9</v>
          </cell>
        </row>
        <row r="2954">
          <cell r="C2954" t="str">
            <v>丁智軒</v>
          </cell>
          <cell r="F2954" t="str">
            <v>K231101R1</v>
          </cell>
          <cell r="J2954">
            <v>45783</v>
          </cell>
          <cell r="K2954">
            <v>9</v>
          </cell>
        </row>
        <row r="2955">
          <cell r="C2955" t="str">
            <v>丁智軒</v>
          </cell>
          <cell r="F2955" t="str">
            <v>K231101R1</v>
          </cell>
          <cell r="J2955">
            <v>45784</v>
          </cell>
          <cell r="K2955">
            <v>9</v>
          </cell>
        </row>
        <row r="2956">
          <cell r="C2956" t="str">
            <v>丁智軒</v>
          </cell>
          <cell r="F2956" t="str">
            <v>K231101R1</v>
          </cell>
          <cell r="J2956">
            <v>45785</v>
          </cell>
          <cell r="K2956">
            <v>9</v>
          </cell>
        </row>
        <row r="2957">
          <cell r="C2957" t="str">
            <v>丁智軒</v>
          </cell>
          <cell r="J2957">
            <v>45786</v>
          </cell>
          <cell r="K2957">
            <v>4</v>
          </cell>
        </row>
        <row r="2958">
          <cell r="C2958" t="str">
            <v>丁智軒</v>
          </cell>
          <cell r="F2958" t="str">
            <v>K231101R1</v>
          </cell>
          <cell r="J2958">
            <v>45786</v>
          </cell>
          <cell r="K2958">
            <v>4</v>
          </cell>
        </row>
        <row r="2959">
          <cell r="C2959" t="str">
            <v>丁智軒</v>
          </cell>
          <cell r="F2959" t="str">
            <v>K231101R1</v>
          </cell>
          <cell r="J2959">
            <v>45789</v>
          </cell>
          <cell r="K2959">
            <v>9</v>
          </cell>
        </row>
        <row r="2960">
          <cell r="C2960" t="str">
            <v>丁智軒</v>
          </cell>
          <cell r="F2960" t="str">
            <v>K231101R1</v>
          </cell>
          <cell r="J2960">
            <v>45790</v>
          </cell>
          <cell r="K2960">
            <v>9</v>
          </cell>
        </row>
        <row r="2961">
          <cell r="C2961" t="str">
            <v>丁智軒</v>
          </cell>
          <cell r="F2961" t="str">
            <v>K231101R1</v>
          </cell>
          <cell r="J2961">
            <v>45791</v>
          </cell>
          <cell r="K2961">
            <v>9</v>
          </cell>
        </row>
        <row r="2962">
          <cell r="C2962" t="str">
            <v>丁智軒</v>
          </cell>
          <cell r="F2962" t="str">
            <v>K231101R1</v>
          </cell>
          <cell r="J2962">
            <v>45792</v>
          </cell>
          <cell r="K2962">
            <v>9</v>
          </cell>
        </row>
        <row r="2963">
          <cell r="C2963" t="str">
            <v>丁智軒</v>
          </cell>
          <cell r="F2963" t="str">
            <v>K231101R1</v>
          </cell>
          <cell r="J2963">
            <v>45793</v>
          </cell>
          <cell r="K2963">
            <v>8</v>
          </cell>
        </row>
        <row r="2964">
          <cell r="C2964" t="str">
            <v>丁智軒</v>
          </cell>
          <cell r="F2964" t="str">
            <v>K231101R1</v>
          </cell>
          <cell r="J2964">
            <v>45796</v>
          </cell>
          <cell r="K2964">
            <v>9</v>
          </cell>
        </row>
        <row r="2965">
          <cell r="C2965" t="str">
            <v>丁智軒</v>
          </cell>
          <cell r="F2965" t="str">
            <v>K231101R1</v>
          </cell>
          <cell r="J2965">
            <v>45797</v>
          </cell>
          <cell r="K2965">
            <v>8</v>
          </cell>
        </row>
        <row r="2966">
          <cell r="C2966" t="str">
            <v>丁智軒</v>
          </cell>
          <cell r="F2966" t="str">
            <v>K231101R1</v>
          </cell>
          <cell r="J2966">
            <v>45798</v>
          </cell>
          <cell r="K2966">
            <v>9.5</v>
          </cell>
        </row>
        <row r="2967">
          <cell r="C2967" t="str">
            <v>丁智軒</v>
          </cell>
          <cell r="F2967" t="str">
            <v>K231101R1</v>
          </cell>
          <cell r="J2967">
            <v>45799</v>
          </cell>
          <cell r="K2967">
            <v>9.5</v>
          </cell>
        </row>
        <row r="2968">
          <cell r="C2968" t="str">
            <v>丁智軒</v>
          </cell>
          <cell r="F2968" t="str">
            <v>K231101R1</v>
          </cell>
          <cell r="J2968">
            <v>45800</v>
          </cell>
          <cell r="K2968">
            <v>9</v>
          </cell>
        </row>
        <row r="2969">
          <cell r="C2969" t="str">
            <v>丁智軒</v>
          </cell>
          <cell r="F2969" t="str">
            <v>K231101R1</v>
          </cell>
          <cell r="J2969">
            <v>45803</v>
          </cell>
          <cell r="K2969">
            <v>9</v>
          </cell>
        </row>
        <row r="2970">
          <cell r="C2970" t="str">
            <v>丁智軒</v>
          </cell>
          <cell r="F2970" t="str">
            <v>K231101R1</v>
          </cell>
          <cell r="J2970">
            <v>45804</v>
          </cell>
          <cell r="K2970">
            <v>9.5</v>
          </cell>
        </row>
        <row r="2971">
          <cell r="C2971" t="str">
            <v>丁智軒</v>
          </cell>
          <cell r="F2971" t="str">
            <v>K231101R1</v>
          </cell>
          <cell r="J2971">
            <v>45805</v>
          </cell>
          <cell r="K2971">
            <v>9.5</v>
          </cell>
        </row>
        <row r="2972">
          <cell r="C2972" t="str">
            <v>丁智軒</v>
          </cell>
          <cell r="F2972" t="str">
            <v>K231101R1</v>
          </cell>
          <cell r="J2972">
            <v>45806</v>
          </cell>
          <cell r="K2972">
            <v>8</v>
          </cell>
        </row>
        <row r="2973">
          <cell r="C2973" t="str">
            <v>丁智軒</v>
          </cell>
          <cell r="F2973" t="str">
            <v>K231101R1</v>
          </cell>
          <cell r="J2973">
            <v>45810</v>
          </cell>
          <cell r="K2973">
            <v>8</v>
          </cell>
        </row>
        <row r="2974">
          <cell r="C2974" t="str">
            <v>丁智軒</v>
          </cell>
          <cell r="F2974" t="str">
            <v>K231101R1</v>
          </cell>
          <cell r="J2974">
            <v>45811</v>
          </cell>
          <cell r="K2974">
            <v>9</v>
          </cell>
        </row>
        <row r="2975">
          <cell r="C2975" t="str">
            <v>丁智軒</v>
          </cell>
          <cell r="F2975" t="str">
            <v>K231101R1</v>
          </cell>
          <cell r="J2975">
            <v>45812</v>
          </cell>
          <cell r="K2975">
            <v>10</v>
          </cell>
        </row>
        <row r="2976">
          <cell r="C2976" t="str">
            <v>丁智軒</v>
          </cell>
          <cell r="F2976" t="str">
            <v>K231101R1</v>
          </cell>
          <cell r="J2976">
            <v>45813</v>
          </cell>
          <cell r="K2976">
            <v>11.5</v>
          </cell>
        </row>
        <row r="2977">
          <cell r="C2977" t="str">
            <v>丁智軒</v>
          </cell>
          <cell r="F2977" t="str">
            <v>K231101R1</v>
          </cell>
          <cell r="J2977">
            <v>45814</v>
          </cell>
          <cell r="K2977">
            <v>11.5</v>
          </cell>
        </row>
        <row r="2978">
          <cell r="C2978" t="str">
            <v>丁智軒</v>
          </cell>
          <cell r="F2978" t="str">
            <v>K231101R1</v>
          </cell>
          <cell r="J2978">
            <v>45817</v>
          </cell>
          <cell r="K2978">
            <v>9.5</v>
          </cell>
        </row>
        <row r="2979">
          <cell r="C2979" t="str">
            <v>丁智軒</v>
          </cell>
          <cell r="F2979" t="str">
            <v>K231101R1</v>
          </cell>
          <cell r="J2979">
            <v>45818</v>
          </cell>
          <cell r="K2979">
            <v>9.5</v>
          </cell>
        </row>
        <row r="2980">
          <cell r="C2980" t="str">
            <v>丁智軒</v>
          </cell>
          <cell r="F2980" t="str">
            <v>K231101R1</v>
          </cell>
          <cell r="J2980">
            <v>45819</v>
          </cell>
          <cell r="K2980">
            <v>8</v>
          </cell>
        </row>
        <row r="2981">
          <cell r="C2981" t="str">
            <v>丁智軒</v>
          </cell>
          <cell r="F2981" t="str">
            <v>K231101R1</v>
          </cell>
          <cell r="J2981">
            <v>45820</v>
          </cell>
          <cell r="K2981">
            <v>9</v>
          </cell>
        </row>
        <row r="2982">
          <cell r="C2982" t="str">
            <v>丁智軒</v>
          </cell>
          <cell r="F2982" t="str">
            <v>K231101R1</v>
          </cell>
          <cell r="J2982">
            <v>45821</v>
          </cell>
          <cell r="K2982">
            <v>8</v>
          </cell>
        </row>
        <row r="2983">
          <cell r="C2983" t="str">
            <v>丁智軒</v>
          </cell>
          <cell r="F2983" t="str">
            <v>K231101R1</v>
          </cell>
          <cell r="J2983">
            <v>45824</v>
          </cell>
          <cell r="K2983">
            <v>9.5</v>
          </cell>
        </row>
        <row r="2984">
          <cell r="C2984" t="str">
            <v>丁智軒</v>
          </cell>
          <cell r="F2984" t="str">
            <v>K231101R1</v>
          </cell>
          <cell r="J2984">
            <v>45825</v>
          </cell>
          <cell r="K2984">
            <v>9</v>
          </cell>
        </row>
        <row r="2985">
          <cell r="C2985" t="str">
            <v>丁智軒</v>
          </cell>
          <cell r="F2985" t="str">
            <v>K231101R1</v>
          </cell>
          <cell r="J2985">
            <v>45826</v>
          </cell>
          <cell r="K2985">
            <v>9</v>
          </cell>
        </row>
        <row r="2986">
          <cell r="C2986" t="str">
            <v>丁智軒</v>
          </cell>
          <cell r="F2986" t="str">
            <v>K231101R1</v>
          </cell>
          <cell r="J2986">
            <v>45827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45828</v>
          </cell>
          <cell r="K2987">
            <v>8</v>
          </cell>
        </row>
        <row r="2988">
          <cell r="C2988" t="str">
            <v>丁智軒</v>
          </cell>
          <cell r="F2988" t="str">
            <v>K231101R1</v>
          </cell>
          <cell r="J2988">
            <v>45831</v>
          </cell>
          <cell r="K2988">
            <v>9</v>
          </cell>
        </row>
        <row r="2989">
          <cell r="C2989" t="str">
            <v>丁智軒</v>
          </cell>
          <cell r="F2989" t="str">
            <v>K231101R1</v>
          </cell>
          <cell r="J2989">
            <v>45832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45833</v>
          </cell>
          <cell r="K2990">
            <v>8</v>
          </cell>
        </row>
        <row r="2991">
          <cell r="C2991" t="str">
            <v>丁智軒</v>
          </cell>
          <cell r="F2991" t="str">
            <v>K231101R1</v>
          </cell>
          <cell r="J2991">
            <v>45834</v>
          </cell>
          <cell r="K2991">
            <v>8</v>
          </cell>
        </row>
        <row r="2992">
          <cell r="C2992" t="str">
            <v>丁智軒</v>
          </cell>
          <cell r="J2992">
            <v>45835</v>
          </cell>
          <cell r="K2992">
            <v>8</v>
          </cell>
        </row>
        <row r="2993">
          <cell r="C2993" t="str">
            <v>丁智軒</v>
          </cell>
          <cell r="F2993" t="str">
            <v>K231101R1</v>
          </cell>
          <cell r="J2993">
            <v>45838</v>
          </cell>
          <cell r="K2993">
            <v>9</v>
          </cell>
        </row>
        <row r="2994">
          <cell r="C2994" t="str">
            <v>丁智軒</v>
          </cell>
          <cell r="F2994" t="str">
            <v>K231101R1</v>
          </cell>
          <cell r="J2994">
            <v>45839</v>
          </cell>
          <cell r="K2994">
            <v>9</v>
          </cell>
        </row>
        <row r="2995">
          <cell r="C2995" t="str">
            <v>丁智軒</v>
          </cell>
          <cell r="F2995" t="str">
            <v>K231101R1</v>
          </cell>
          <cell r="J2995">
            <v>45840</v>
          </cell>
          <cell r="K2995">
            <v>9</v>
          </cell>
        </row>
        <row r="2996">
          <cell r="C2996" t="str">
            <v>丁智軒</v>
          </cell>
          <cell r="F2996" t="str">
            <v>K231101R1</v>
          </cell>
          <cell r="J2996">
            <v>45841</v>
          </cell>
          <cell r="K2996">
            <v>9</v>
          </cell>
        </row>
        <row r="2997">
          <cell r="C2997" t="str">
            <v>丁智軒</v>
          </cell>
          <cell r="F2997" t="str">
            <v>K231101R1</v>
          </cell>
          <cell r="J2997">
            <v>45842</v>
          </cell>
          <cell r="K2997">
            <v>8</v>
          </cell>
        </row>
        <row r="2998">
          <cell r="C2998" t="str">
            <v>丁智軒</v>
          </cell>
          <cell r="F2998" t="str">
            <v>K231101R1</v>
          </cell>
          <cell r="J2998">
            <v>45846</v>
          </cell>
          <cell r="K2998">
            <v>18</v>
          </cell>
        </row>
        <row r="2999">
          <cell r="C2999" t="str">
            <v>丁智軒</v>
          </cell>
          <cell r="F2999" t="str">
            <v>K231101R1</v>
          </cell>
          <cell r="J2999">
            <v>45847</v>
          </cell>
          <cell r="K2999">
            <v>9</v>
          </cell>
        </row>
        <row r="3000">
          <cell r="C3000" t="str">
            <v>丁智軒</v>
          </cell>
          <cell r="F3000" t="str">
            <v>K231101R1</v>
          </cell>
          <cell r="J3000">
            <v>45848</v>
          </cell>
          <cell r="K3000">
            <v>9</v>
          </cell>
        </row>
        <row r="3001">
          <cell r="C3001" t="str">
            <v>丁智軒</v>
          </cell>
          <cell r="F3001" t="str">
            <v>K231101R1</v>
          </cell>
          <cell r="J3001">
            <v>45849</v>
          </cell>
          <cell r="K3001">
            <v>8</v>
          </cell>
        </row>
        <row r="3002">
          <cell r="C3002" t="str">
            <v>丁智軒</v>
          </cell>
          <cell r="F3002" t="str">
            <v>K231101R1</v>
          </cell>
          <cell r="J3002">
            <v>45852</v>
          </cell>
          <cell r="K3002">
            <v>9</v>
          </cell>
        </row>
        <row r="3003">
          <cell r="C3003" t="str">
            <v>丁智軒</v>
          </cell>
          <cell r="J3003">
            <v>45853</v>
          </cell>
          <cell r="K3003">
            <v>8</v>
          </cell>
        </row>
        <row r="3004">
          <cell r="C3004" t="str">
            <v>丁智軒</v>
          </cell>
          <cell r="F3004" t="str">
            <v>K231101R1</v>
          </cell>
          <cell r="J3004">
            <v>45854</v>
          </cell>
          <cell r="K3004">
            <v>8</v>
          </cell>
        </row>
        <row r="3005">
          <cell r="C3005" t="str">
            <v>丁智軒</v>
          </cell>
          <cell r="F3005" t="str">
            <v>K231101R1</v>
          </cell>
          <cell r="J3005">
            <v>45855</v>
          </cell>
          <cell r="K3005">
            <v>9</v>
          </cell>
        </row>
        <row r="3006">
          <cell r="C3006" t="str">
            <v>丁智軒</v>
          </cell>
          <cell r="F3006" t="str">
            <v>K231101R1</v>
          </cell>
          <cell r="J3006">
            <v>45856</v>
          </cell>
          <cell r="K3006">
            <v>8</v>
          </cell>
        </row>
        <row r="3007">
          <cell r="C3007" t="str">
            <v>丁智軒</v>
          </cell>
          <cell r="F3007" t="str">
            <v>K231101R1</v>
          </cell>
          <cell r="J3007">
            <v>45859</v>
          </cell>
          <cell r="K3007">
            <v>9.5</v>
          </cell>
        </row>
        <row r="3008">
          <cell r="C3008" t="str">
            <v>丁智軒</v>
          </cell>
          <cell r="F3008" t="str">
            <v>K231101R1</v>
          </cell>
          <cell r="J3008">
            <v>45860</v>
          </cell>
          <cell r="K3008">
            <v>9</v>
          </cell>
        </row>
        <row r="3009">
          <cell r="C3009" t="str">
            <v>丁智軒</v>
          </cell>
          <cell r="F3009" t="str">
            <v>K231101R1</v>
          </cell>
          <cell r="J3009">
            <v>45861</v>
          </cell>
          <cell r="K3009">
            <v>8</v>
          </cell>
        </row>
        <row r="3010">
          <cell r="C3010" t="str">
            <v>丁智軒</v>
          </cell>
          <cell r="J3010">
            <v>45862</v>
          </cell>
          <cell r="K3010">
            <v>8</v>
          </cell>
        </row>
        <row r="3011">
          <cell r="C3011" t="str">
            <v>丁智軒</v>
          </cell>
          <cell r="J3011">
            <v>45863</v>
          </cell>
          <cell r="K3011">
            <v>8</v>
          </cell>
        </row>
        <row r="3012">
          <cell r="C3012" t="str">
            <v>丁智軒</v>
          </cell>
          <cell r="F3012" t="str">
            <v>K231101R1</v>
          </cell>
          <cell r="J3012">
            <v>45866</v>
          </cell>
          <cell r="K3012">
            <v>9</v>
          </cell>
        </row>
        <row r="3013">
          <cell r="C3013" t="str">
            <v>丁智軒</v>
          </cell>
          <cell r="F3013" t="str">
            <v>K231101R1</v>
          </cell>
          <cell r="J3013">
            <v>45867</v>
          </cell>
          <cell r="K3013">
            <v>9</v>
          </cell>
        </row>
        <row r="3014">
          <cell r="C3014" t="str">
            <v>丁智軒</v>
          </cell>
          <cell r="F3014" t="str">
            <v>K231101R1</v>
          </cell>
          <cell r="J3014">
            <v>45868</v>
          </cell>
          <cell r="K3014">
            <v>9</v>
          </cell>
        </row>
        <row r="3015">
          <cell r="C3015" t="str">
            <v>丁智軒</v>
          </cell>
          <cell r="F3015" t="str">
            <v>K231101R1</v>
          </cell>
          <cell r="J3015">
            <v>45869</v>
          </cell>
          <cell r="K3015">
            <v>9.5</v>
          </cell>
        </row>
        <row r="3016">
          <cell r="C3016" t="str">
            <v>丁智軒</v>
          </cell>
          <cell r="F3016" t="str">
            <v>K231101R1</v>
          </cell>
          <cell r="J3016">
            <v>45870</v>
          </cell>
          <cell r="K3016">
            <v>8</v>
          </cell>
        </row>
        <row r="3017">
          <cell r="C3017" t="str">
            <v>丁智軒</v>
          </cell>
          <cell r="F3017" t="str">
            <v>K231101R1</v>
          </cell>
          <cell r="J3017">
            <v>45873</v>
          </cell>
          <cell r="K3017">
            <v>9</v>
          </cell>
        </row>
        <row r="3018">
          <cell r="C3018" t="str">
            <v>丁智軒</v>
          </cell>
          <cell r="F3018" t="str">
            <v>K231101R1</v>
          </cell>
          <cell r="J3018">
            <v>45874</v>
          </cell>
          <cell r="K3018">
            <v>9</v>
          </cell>
        </row>
        <row r="3019">
          <cell r="C3019" t="str">
            <v>丁智軒</v>
          </cell>
          <cell r="F3019" t="str">
            <v>K231101R1</v>
          </cell>
          <cell r="J3019">
            <v>45875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45876</v>
          </cell>
          <cell r="K3020">
            <v>9</v>
          </cell>
        </row>
        <row r="3021">
          <cell r="C3021" t="str">
            <v>丁智軒</v>
          </cell>
          <cell r="F3021" t="str">
            <v>K231101R1</v>
          </cell>
          <cell r="J3021">
            <v>45877</v>
          </cell>
          <cell r="K3021">
            <v>4</v>
          </cell>
        </row>
        <row r="3022">
          <cell r="C3022" t="str">
            <v>丁智軒</v>
          </cell>
          <cell r="F3022" t="str">
            <v>K231101R1</v>
          </cell>
          <cell r="J3022">
            <v>45882</v>
          </cell>
          <cell r="K3022">
            <v>26</v>
          </cell>
        </row>
        <row r="3023">
          <cell r="C3023" t="str">
            <v>丁智軒</v>
          </cell>
          <cell r="F3023" t="str">
            <v>K231101R1</v>
          </cell>
          <cell r="J3023">
            <v>45883</v>
          </cell>
          <cell r="K3023">
            <v>8</v>
          </cell>
        </row>
        <row r="3024">
          <cell r="C3024" t="str">
            <v>丁智軒</v>
          </cell>
          <cell r="F3024" t="str">
            <v>K231101R1</v>
          </cell>
          <cell r="J3024">
            <v>45884</v>
          </cell>
          <cell r="K3024">
            <v>8</v>
          </cell>
        </row>
        <row r="3025">
          <cell r="C3025" t="str">
            <v>丁智軒</v>
          </cell>
          <cell r="F3025" t="str">
            <v>K231101R1</v>
          </cell>
          <cell r="J3025">
            <v>45887</v>
          </cell>
          <cell r="K3025">
            <v>9.5</v>
          </cell>
        </row>
        <row r="3026">
          <cell r="C3026" t="str">
            <v>丁智軒</v>
          </cell>
          <cell r="F3026" t="str">
            <v>K231101R1</v>
          </cell>
          <cell r="J3026">
            <v>45888</v>
          </cell>
          <cell r="K3026">
            <v>9</v>
          </cell>
        </row>
        <row r="3027">
          <cell r="C3027" t="str">
            <v>丁智軒</v>
          </cell>
          <cell r="F3027" t="str">
            <v>K231101R1</v>
          </cell>
          <cell r="J3027">
            <v>45889</v>
          </cell>
          <cell r="K3027">
            <v>9</v>
          </cell>
        </row>
        <row r="3028">
          <cell r="C3028" t="str">
            <v>丁智軒</v>
          </cell>
          <cell r="F3028" t="str">
            <v>K231101R1</v>
          </cell>
          <cell r="J3028">
            <v>45890</v>
          </cell>
          <cell r="K3028">
            <v>8</v>
          </cell>
        </row>
        <row r="3029">
          <cell r="C3029" t="str">
            <v>丁智軒</v>
          </cell>
          <cell r="F3029" t="str">
            <v>K231101R1</v>
          </cell>
          <cell r="J3029">
            <v>45891</v>
          </cell>
          <cell r="K3029">
            <v>8</v>
          </cell>
        </row>
        <row r="3030">
          <cell r="C3030" t="str">
            <v>丁智軒</v>
          </cell>
          <cell r="F3030" t="str">
            <v>K231101R1</v>
          </cell>
          <cell r="J3030">
            <v>45894</v>
          </cell>
          <cell r="K3030">
            <v>9</v>
          </cell>
        </row>
        <row r="3031">
          <cell r="C3031" t="str">
            <v>丁智軒</v>
          </cell>
          <cell r="F3031" t="str">
            <v>K231101R1</v>
          </cell>
          <cell r="J3031">
            <v>45895</v>
          </cell>
          <cell r="K3031">
            <v>9</v>
          </cell>
        </row>
        <row r="3032">
          <cell r="C3032" t="str">
            <v>丁智軒</v>
          </cell>
          <cell r="F3032" t="str">
            <v>K231101R1</v>
          </cell>
          <cell r="J3032">
            <v>45896</v>
          </cell>
          <cell r="K3032">
            <v>9</v>
          </cell>
        </row>
        <row r="3033">
          <cell r="C3033" t="str">
            <v>丁智軒</v>
          </cell>
          <cell r="F3033" t="str">
            <v>K231101R1</v>
          </cell>
          <cell r="J3033">
            <v>45897</v>
          </cell>
          <cell r="K3033">
            <v>9</v>
          </cell>
        </row>
        <row r="3034">
          <cell r="C3034" t="str">
            <v>丁智軒</v>
          </cell>
          <cell r="F3034" t="str">
            <v>K231101R1</v>
          </cell>
          <cell r="J3034">
            <v>45898</v>
          </cell>
          <cell r="K3034">
            <v>8</v>
          </cell>
        </row>
        <row r="3035">
          <cell r="C3035" t="str">
            <v>丁智軒</v>
          </cell>
          <cell r="F3035" t="str">
            <v>K231101R1</v>
          </cell>
          <cell r="J3035">
            <v>45901</v>
          </cell>
          <cell r="K3035">
            <v>9</v>
          </cell>
        </row>
        <row r="3036">
          <cell r="C3036" t="str">
            <v>丁智軒</v>
          </cell>
          <cell r="J3036">
            <v>45902</v>
          </cell>
          <cell r="K3036">
            <v>4</v>
          </cell>
        </row>
        <row r="3037">
          <cell r="C3037" t="str">
            <v>丁智軒</v>
          </cell>
          <cell r="F3037" t="str">
            <v>K231101R1</v>
          </cell>
          <cell r="J3037">
            <v>45902</v>
          </cell>
          <cell r="K3037">
            <v>4</v>
          </cell>
        </row>
        <row r="3038">
          <cell r="C3038" t="str">
            <v>丁智軒</v>
          </cell>
          <cell r="F3038" t="str">
            <v>K231101R1</v>
          </cell>
          <cell r="J3038">
            <v>45903</v>
          </cell>
          <cell r="K3038">
            <v>10</v>
          </cell>
        </row>
        <row r="3039">
          <cell r="C3039" t="str">
            <v>丁智軒</v>
          </cell>
          <cell r="F3039" t="str">
            <v>K231101R1</v>
          </cell>
          <cell r="J3039">
            <v>45904</v>
          </cell>
          <cell r="K3039">
            <v>9</v>
          </cell>
        </row>
        <row r="3040">
          <cell r="C3040" t="str">
            <v>丁智軒</v>
          </cell>
          <cell r="F3040" t="str">
            <v>K231101R1</v>
          </cell>
          <cell r="J3040">
            <v>45905</v>
          </cell>
          <cell r="K3040">
            <v>8</v>
          </cell>
        </row>
        <row r="3041">
          <cell r="C3041" t="str">
            <v>丁智軒</v>
          </cell>
          <cell r="F3041" t="str">
            <v>K231101R1</v>
          </cell>
          <cell r="J3041">
            <v>45908</v>
          </cell>
          <cell r="K3041">
            <v>9</v>
          </cell>
        </row>
        <row r="3042">
          <cell r="C3042" t="str">
            <v>丁智軒</v>
          </cell>
          <cell r="F3042" t="str">
            <v>K231101R1</v>
          </cell>
          <cell r="J3042">
            <v>45909</v>
          </cell>
          <cell r="K3042">
            <v>9</v>
          </cell>
        </row>
        <row r="3043">
          <cell r="C3043" t="str">
            <v>丁智軒</v>
          </cell>
          <cell r="F3043" t="str">
            <v>K231101R1</v>
          </cell>
          <cell r="J3043">
            <v>45910</v>
          </cell>
          <cell r="K3043">
            <v>9</v>
          </cell>
        </row>
        <row r="3044">
          <cell r="C3044" t="str">
            <v>丁智軒</v>
          </cell>
          <cell r="F3044" t="str">
            <v>K231101R1</v>
          </cell>
          <cell r="J3044">
            <v>45911</v>
          </cell>
          <cell r="K3044">
            <v>9</v>
          </cell>
        </row>
        <row r="3045">
          <cell r="C3045" t="str">
            <v>丁智軒</v>
          </cell>
          <cell r="F3045" t="str">
            <v>K231101R1</v>
          </cell>
          <cell r="J3045">
            <v>45912</v>
          </cell>
          <cell r="K3045">
            <v>8</v>
          </cell>
        </row>
        <row r="3046">
          <cell r="C3046" t="str">
            <v>丁智軒</v>
          </cell>
          <cell r="F3046" t="str">
            <v>K231101R1</v>
          </cell>
          <cell r="J3046">
            <v>45915</v>
          </cell>
          <cell r="K3046">
            <v>9</v>
          </cell>
        </row>
        <row r="3047">
          <cell r="C3047" t="str">
            <v>丁智軒</v>
          </cell>
          <cell r="J3047">
            <v>45916</v>
          </cell>
          <cell r="K3047">
            <v>8</v>
          </cell>
        </row>
        <row r="3048">
          <cell r="C3048" t="str">
            <v>丁智軒</v>
          </cell>
          <cell r="J3048">
            <v>45917</v>
          </cell>
          <cell r="K3048">
            <v>8</v>
          </cell>
        </row>
        <row r="3049">
          <cell r="C3049" t="str">
            <v>丁智軒</v>
          </cell>
          <cell r="J3049">
            <v>45918</v>
          </cell>
          <cell r="K3049">
            <v>8</v>
          </cell>
        </row>
        <row r="3050">
          <cell r="C3050" t="str">
            <v>丁智軒</v>
          </cell>
          <cell r="J3050">
            <v>45919</v>
          </cell>
          <cell r="K3050">
            <v>8</v>
          </cell>
        </row>
        <row r="3051">
          <cell r="C3051" t="str">
            <v>丁智軒</v>
          </cell>
          <cell r="F3051" t="str">
            <v>K231101R1</v>
          </cell>
          <cell r="J3051">
            <v>45922</v>
          </cell>
          <cell r="K3051">
            <v>9</v>
          </cell>
        </row>
        <row r="3052">
          <cell r="C3052" t="str">
            <v>丁智軒</v>
          </cell>
          <cell r="F3052" t="str">
            <v>K231101R1</v>
          </cell>
          <cell r="J3052">
            <v>45923</v>
          </cell>
          <cell r="K3052">
            <v>9</v>
          </cell>
        </row>
        <row r="3053">
          <cell r="C3053" t="str">
            <v>丁智軒</v>
          </cell>
          <cell r="F3053" t="str">
            <v>K231101R1</v>
          </cell>
          <cell r="J3053">
            <v>45924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45925</v>
          </cell>
          <cell r="K3054">
            <v>9</v>
          </cell>
        </row>
        <row r="3055">
          <cell r="C3055" t="str">
            <v>丁智軒</v>
          </cell>
          <cell r="F3055" t="str">
            <v>K231101R1</v>
          </cell>
          <cell r="J3055">
            <v>45926</v>
          </cell>
          <cell r="K3055">
            <v>8</v>
          </cell>
        </row>
        <row r="3056">
          <cell r="C3056" t="str">
            <v>丁智軒</v>
          </cell>
          <cell r="F3056" t="str">
            <v>D250702R1</v>
          </cell>
          <cell r="J3056">
            <v>45930</v>
          </cell>
          <cell r="K3056">
            <v>9</v>
          </cell>
        </row>
        <row r="3057">
          <cell r="C3057" t="str">
            <v>丁智軒</v>
          </cell>
          <cell r="F3057" t="str">
            <v>D250702R1</v>
          </cell>
          <cell r="J3057">
            <v>45931</v>
          </cell>
          <cell r="K3057">
            <v>9</v>
          </cell>
        </row>
        <row r="3058">
          <cell r="C3058" t="str">
            <v>丁智軒</v>
          </cell>
          <cell r="F3058" t="str">
            <v>D250702R1</v>
          </cell>
          <cell r="J3058">
            <v>45932</v>
          </cell>
          <cell r="K3058">
            <v>4</v>
          </cell>
        </row>
        <row r="3059">
          <cell r="C3059" t="str">
            <v>丁智軒</v>
          </cell>
          <cell r="F3059" t="str">
            <v>D250702R1</v>
          </cell>
          <cell r="J3059">
            <v>45933</v>
          </cell>
          <cell r="K3059">
            <v>8</v>
          </cell>
        </row>
        <row r="3060">
          <cell r="C3060" t="str">
            <v>丁智軒</v>
          </cell>
          <cell r="J3060">
            <v>45937</v>
          </cell>
          <cell r="K3060">
            <v>8</v>
          </cell>
        </row>
        <row r="3061">
          <cell r="C3061" t="str">
            <v>丁智軒</v>
          </cell>
          <cell r="F3061" t="str">
            <v>K231101R1</v>
          </cell>
          <cell r="J3061">
            <v>45938</v>
          </cell>
          <cell r="K3061">
            <v>5</v>
          </cell>
        </row>
        <row r="3062">
          <cell r="C3062" t="str">
            <v>丁智軒</v>
          </cell>
          <cell r="F3062" t="str">
            <v>D250702R1</v>
          </cell>
          <cell r="J3062">
            <v>45938</v>
          </cell>
          <cell r="K3062">
            <v>4</v>
          </cell>
        </row>
        <row r="3063">
          <cell r="C3063" t="str">
            <v>丁智軒</v>
          </cell>
          <cell r="F3063" t="str">
            <v>K231101R1</v>
          </cell>
          <cell r="J3063">
            <v>45939</v>
          </cell>
          <cell r="K3063">
            <v>8</v>
          </cell>
        </row>
        <row r="3064">
          <cell r="C3064" t="str">
            <v>丁智軒</v>
          </cell>
          <cell r="J3064">
            <v>45943</v>
          </cell>
          <cell r="K3064">
            <v>4</v>
          </cell>
        </row>
        <row r="3065">
          <cell r="C3065" t="str">
            <v>丁智軒</v>
          </cell>
          <cell r="F3065" t="str">
            <v>K201002R2</v>
          </cell>
          <cell r="J3065">
            <v>45943</v>
          </cell>
          <cell r="K3065">
            <v>4</v>
          </cell>
        </row>
        <row r="3066">
          <cell r="C3066" t="str">
            <v>丁智軒</v>
          </cell>
          <cell r="F3066" t="str">
            <v>K231101R1</v>
          </cell>
          <cell r="J3066">
            <v>45944</v>
          </cell>
          <cell r="K3066">
            <v>8</v>
          </cell>
        </row>
        <row r="3067">
          <cell r="C3067" t="str">
            <v>丁智軒</v>
          </cell>
          <cell r="F3067" t="str">
            <v>K231101R1</v>
          </cell>
          <cell r="J3067">
            <v>45945</v>
          </cell>
          <cell r="K3067">
            <v>8</v>
          </cell>
        </row>
        <row r="3068">
          <cell r="C3068" t="str">
            <v>丁智軒</v>
          </cell>
          <cell r="J3068">
            <v>45946</v>
          </cell>
          <cell r="K3068">
            <v>8</v>
          </cell>
        </row>
        <row r="3069">
          <cell r="C3069" t="str">
            <v>丁智軒</v>
          </cell>
          <cell r="F3069" t="str">
            <v>K231101R1</v>
          </cell>
          <cell r="J3069">
            <v>45947</v>
          </cell>
          <cell r="K3069">
            <v>8</v>
          </cell>
        </row>
        <row r="3070">
          <cell r="C3070" t="str">
            <v>丁智軒</v>
          </cell>
          <cell r="F3070" t="str">
            <v>K231101R1</v>
          </cell>
          <cell r="J3070">
            <v>45950</v>
          </cell>
          <cell r="K3070">
            <v>9</v>
          </cell>
        </row>
        <row r="3071">
          <cell r="C3071" t="str">
            <v>丁智軒</v>
          </cell>
          <cell r="F3071" t="str">
            <v>K231101R1</v>
          </cell>
          <cell r="J3071">
            <v>45951</v>
          </cell>
          <cell r="K3071">
            <v>8</v>
          </cell>
        </row>
        <row r="3072">
          <cell r="C3072" t="str">
            <v>丁智軒</v>
          </cell>
          <cell r="F3072" t="str">
            <v>K231101R1</v>
          </cell>
          <cell r="J3072">
            <v>45952</v>
          </cell>
          <cell r="K3072">
            <v>8</v>
          </cell>
        </row>
        <row r="3073">
          <cell r="C3073" t="str">
            <v>丁智軒</v>
          </cell>
          <cell r="J3073">
            <v>45953</v>
          </cell>
          <cell r="K3073">
            <v>8</v>
          </cell>
        </row>
        <row r="3074">
          <cell r="C3074" t="str">
            <v>丁智軒</v>
          </cell>
          <cell r="J3074">
            <v>45957</v>
          </cell>
          <cell r="K3074">
            <v>8</v>
          </cell>
        </row>
        <row r="3075">
          <cell r="C3075" t="str">
            <v>鄭珅易</v>
          </cell>
          <cell r="J3075">
            <v>45470</v>
          </cell>
          <cell r="K3075">
            <v>8</v>
          </cell>
        </row>
        <row r="3076">
          <cell r="C3076" t="str">
            <v>鄭珅易</v>
          </cell>
          <cell r="J3076">
            <v>45471</v>
          </cell>
          <cell r="K3076">
            <v>8</v>
          </cell>
        </row>
        <row r="3077">
          <cell r="C3077" t="str">
            <v>鄭珅易</v>
          </cell>
          <cell r="J3077">
            <v>45474</v>
          </cell>
          <cell r="K3077">
            <v>8</v>
          </cell>
        </row>
        <row r="3078">
          <cell r="C3078" t="str">
            <v>鄭珅易</v>
          </cell>
          <cell r="J3078">
            <v>45475</v>
          </cell>
          <cell r="K3078">
            <v>8</v>
          </cell>
        </row>
        <row r="3079">
          <cell r="C3079" t="str">
            <v>鄭珅易</v>
          </cell>
          <cell r="F3079" t="str">
            <v>K240101R1</v>
          </cell>
          <cell r="J3079">
            <v>45476</v>
          </cell>
          <cell r="K3079">
            <v>8</v>
          </cell>
        </row>
        <row r="3080">
          <cell r="C3080" t="str">
            <v>鄭珅易</v>
          </cell>
          <cell r="J3080">
            <v>45477</v>
          </cell>
          <cell r="K3080">
            <v>8</v>
          </cell>
        </row>
        <row r="3081">
          <cell r="C3081" t="str">
            <v>鄭珅易</v>
          </cell>
          <cell r="J3081">
            <v>45478</v>
          </cell>
          <cell r="K3081">
            <v>8</v>
          </cell>
        </row>
        <row r="3082">
          <cell r="C3082" t="str">
            <v>鄭珅易</v>
          </cell>
          <cell r="J3082">
            <v>45481</v>
          </cell>
          <cell r="K3082">
            <v>8</v>
          </cell>
        </row>
        <row r="3083">
          <cell r="C3083" t="str">
            <v>鄭珅易</v>
          </cell>
          <cell r="F3083" t="str">
            <v>K231101R1</v>
          </cell>
          <cell r="J3083">
            <v>45482</v>
          </cell>
          <cell r="K3083">
            <v>8</v>
          </cell>
        </row>
        <row r="3084">
          <cell r="C3084" t="str">
            <v>鄭珅易</v>
          </cell>
          <cell r="F3084" t="str">
            <v>K201002R2</v>
          </cell>
          <cell r="J3084">
            <v>45483</v>
          </cell>
          <cell r="K3084">
            <v>8</v>
          </cell>
        </row>
        <row r="3085">
          <cell r="C3085" t="str">
            <v>鄭珅易</v>
          </cell>
          <cell r="F3085" t="str">
            <v>M230901R1</v>
          </cell>
          <cell r="J3085">
            <v>45484</v>
          </cell>
          <cell r="K3085">
            <v>8</v>
          </cell>
        </row>
        <row r="3086">
          <cell r="C3086" t="str">
            <v>鄭珅易</v>
          </cell>
          <cell r="F3086" t="str">
            <v>M230901R1</v>
          </cell>
          <cell r="J3086">
            <v>45485</v>
          </cell>
          <cell r="K3086">
            <v>8</v>
          </cell>
        </row>
        <row r="3087">
          <cell r="C3087" t="str">
            <v>鄭珅易</v>
          </cell>
          <cell r="F3087" t="str">
            <v>D240202R1</v>
          </cell>
          <cell r="J3087">
            <v>45488</v>
          </cell>
          <cell r="K3087">
            <v>8</v>
          </cell>
        </row>
        <row r="3088">
          <cell r="C3088" t="str">
            <v>鄭珅易</v>
          </cell>
          <cell r="F3088" t="str">
            <v>D240202R1</v>
          </cell>
          <cell r="J3088">
            <v>45489</v>
          </cell>
          <cell r="K3088">
            <v>8</v>
          </cell>
        </row>
        <row r="3089">
          <cell r="C3089" t="str">
            <v>鄭珅易</v>
          </cell>
          <cell r="F3089" t="str">
            <v>D240202R1</v>
          </cell>
          <cell r="J3089">
            <v>45490</v>
          </cell>
          <cell r="K3089">
            <v>8</v>
          </cell>
        </row>
        <row r="3090">
          <cell r="C3090" t="str">
            <v>鄭珅易</v>
          </cell>
          <cell r="F3090" t="str">
            <v>D240202R1</v>
          </cell>
          <cell r="J3090">
            <v>45491</v>
          </cell>
          <cell r="K3090">
            <v>8</v>
          </cell>
        </row>
        <row r="3091">
          <cell r="C3091" t="str">
            <v>鄭珅易</v>
          </cell>
          <cell r="F3091" t="str">
            <v>D240202R1</v>
          </cell>
          <cell r="J3091">
            <v>45492</v>
          </cell>
          <cell r="K3091">
            <v>8</v>
          </cell>
        </row>
        <row r="3092">
          <cell r="C3092" t="str">
            <v>鄭珅易</v>
          </cell>
          <cell r="F3092" t="str">
            <v>M240705R1</v>
          </cell>
          <cell r="J3092">
            <v>45495</v>
          </cell>
          <cell r="K3092">
            <v>8</v>
          </cell>
        </row>
        <row r="3093">
          <cell r="C3093" t="str">
            <v>鄭珅易</v>
          </cell>
          <cell r="F3093" t="str">
            <v>M240705R1</v>
          </cell>
          <cell r="J3093">
            <v>45496</v>
          </cell>
          <cell r="K3093">
            <v>8</v>
          </cell>
        </row>
        <row r="3094">
          <cell r="C3094" t="str">
            <v>鄭珅易</v>
          </cell>
          <cell r="F3094" t="str">
            <v>M240705R1</v>
          </cell>
          <cell r="J3094">
            <v>45499</v>
          </cell>
          <cell r="K3094">
            <v>8</v>
          </cell>
        </row>
        <row r="3095">
          <cell r="C3095" t="str">
            <v>鄭珅易</v>
          </cell>
          <cell r="F3095" t="str">
            <v>M240705R1</v>
          </cell>
          <cell r="J3095">
            <v>45502</v>
          </cell>
          <cell r="K3095">
            <v>8</v>
          </cell>
        </row>
        <row r="3096">
          <cell r="C3096" t="str">
            <v>鄭珅易</v>
          </cell>
          <cell r="F3096" t="str">
            <v>M230901R1</v>
          </cell>
          <cell r="J3096">
            <v>45503</v>
          </cell>
          <cell r="K3096">
            <v>8</v>
          </cell>
        </row>
        <row r="3097">
          <cell r="C3097" t="str">
            <v>鄭珅易</v>
          </cell>
          <cell r="F3097" t="str">
            <v>M220603R1</v>
          </cell>
          <cell r="J3097">
            <v>45504</v>
          </cell>
          <cell r="K3097">
            <v>8</v>
          </cell>
        </row>
        <row r="3098">
          <cell r="C3098" t="str">
            <v>鄭珅易</v>
          </cell>
          <cell r="F3098" t="str">
            <v>M220603R1</v>
          </cell>
          <cell r="J3098">
            <v>45505</v>
          </cell>
          <cell r="K3098">
            <v>8</v>
          </cell>
        </row>
        <row r="3099">
          <cell r="C3099" t="str">
            <v>鄭珅易</v>
          </cell>
          <cell r="J3099">
            <v>45506</v>
          </cell>
          <cell r="K3099">
            <v>8</v>
          </cell>
        </row>
        <row r="3100">
          <cell r="C3100" t="str">
            <v>鄭珅易</v>
          </cell>
          <cell r="J3100">
            <v>45509</v>
          </cell>
          <cell r="K3100">
            <v>8</v>
          </cell>
        </row>
        <row r="3101">
          <cell r="C3101" t="str">
            <v>鄭珅易</v>
          </cell>
          <cell r="J3101">
            <v>45510</v>
          </cell>
          <cell r="K3101">
            <v>8</v>
          </cell>
        </row>
        <row r="3102">
          <cell r="C3102" t="str">
            <v>鄭珅易</v>
          </cell>
          <cell r="J3102">
            <v>45511</v>
          </cell>
          <cell r="K3102">
            <v>8</v>
          </cell>
        </row>
        <row r="3103">
          <cell r="C3103" t="str">
            <v>鄭珅易</v>
          </cell>
          <cell r="F3103" t="str">
            <v>M220603R1</v>
          </cell>
          <cell r="J3103">
            <v>45512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45513</v>
          </cell>
          <cell r="K3104">
            <v>8</v>
          </cell>
        </row>
        <row r="3105">
          <cell r="C3105" t="str">
            <v>鄭珅易</v>
          </cell>
          <cell r="F3105" t="str">
            <v>D240202R1</v>
          </cell>
          <cell r="J3105">
            <v>45516</v>
          </cell>
          <cell r="K3105">
            <v>8</v>
          </cell>
        </row>
        <row r="3106">
          <cell r="C3106" t="str">
            <v>鄭珅易</v>
          </cell>
          <cell r="F3106" t="str">
            <v>K231101R1</v>
          </cell>
          <cell r="J3106">
            <v>45517</v>
          </cell>
          <cell r="K3106">
            <v>8</v>
          </cell>
        </row>
        <row r="3107">
          <cell r="C3107" t="str">
            <v>鄭珅易</v>
          </cell>
          <cell r="F3107" t="str">
            <v>K231101R1</v>
          </cell>
          <cell r="J3107">
            <v>45518</v>
          </cell>
          <cell r="K3107">
            <v>8</v>
          </cell>
        </row>
        <row r="3108">
          <cell r="C3108" t="str">
            <v>鄭珅易</v>
          </cell>
          <cell r="F3108" t="str">
            <v>M230901R1</v>
          </cell>
          <cell r="J3108">
            <v>45519</v>
          </cell>
          <cell r="K3108">
            <v>8</v>
          </cell>
        </row>
        <row r="3109">
          <cell r="C3109" t="str">
            <v>鄭珅易</v>
          </cell>
          <cell r="F3109" t="str">
            <v>M230901R1</v>
          </cell>
          <cell r="J3109">
            <v>45520</v>
          </cell>
          <cell r="K3109">
            <v>8</v>
          </cell>
        </row>
        <row r="3110">
          <cell r="C3110" t="str">
            <v>鄭珅易</v>
          </cell>
          <cell r="F3110" t="str">
            <v>M230901R1</v>
          </cell>
          <cell r="J3110">
            <v>45523</v>
          </cell>
          <cell r="K3110">
            <v>8</v>
          </cell>
        </row>
        <row r="3111">
          <cell r="C3111" t="str">
            <v>鄭珅易</v>
          </cell>
          <cell r="F3111" t="str">
            <v>M230901R1</v>
          </cell>
          <cell r="J3111">
            <v>45524</v>
          </cell>
          <cell r="K3111">
            <v>8</v>
          </cell>
        </row>
        <row r="3112">
          <cell r="C3112" t="str">
            <v>鄭珅易</v>
          </cell>
          <cell r="F3112" t="str">
            <v>M230901R1</v>
          </cell>
          <cell r="J3112">
            <v>45525</v>
          </cell>
          <cell r="K3112">
            <v>8</v>
          </cell>
        </row>
        <row r="3113">
          <cell r="C3113" t="str">
            <v>鄭珅易</v>
          </cell>
          <cell r="J3113">
            <v>45526</v>
          </cell>
          <cell r="K3113">
            <v>8</v>
          </cell>
        </row>
        <row r="3114">
          <cell r="C3114" t="str">
            <v>鄭珅易</v>
          </cell>
          <cell r="F3114" t="str">
            <v>M230901R1</v>
          </cell>
          <cell r="J3114">
            <v>45527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45530</v>
          </cell>
          <cell r="K3115">
            <v>8</v>
          </cell>
        </row>
        <row r="3116">
          <cell r="C3116" t="str">
            <v>鄭珅易</v>
          </cell>
          <cell r="J3116">
            <v>45531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45532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45533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45534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45537</v>
          </cell>
          <cell r="K3120">
            <v>8</v>
          </cell>
        </row>
        <row r="3121">
          <cell r="C3121" t="str">
            <v>鄭珅易</v>
          </cell>
          <cell r="J3121">
            <v>45538</v>
          </cell>
          <cell r="K3121">
            <v>8</v>
          </cell>
        </row>
        <row r="3122">
          <cell r="C3122" t="str">
            <v>鄭珅易</v>
          </cell>
          <cell r="J3122">
            <v>45539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45540</v>
          </cell>
          <cell r="K3123">
            <v>8</v>
          </cell>
        </row>
        <row r="3124">
          <cell r="C3124" t="str">
            <v>鄭珅易</v>
          </cell>
          <cell r="J3124">
            <v>45541</v>
          </cell>
          <cell r="K3124">
            <v>8</v>
          </cell>
        </row>
        <row r="3125">
          <cell r="C3125" t="str">
            <v>鄭珅易</v>
          </cell>
          <cell r="J3125">
            <v>45544</v>
          </cell>
          <cell r="K3125">
            <v>8</v>
          </cell>
        </row>
        <row r="3126">
          <cell r="C3126" t="str">
            <v>鄭珅易</v>
          </cell>
          <cell r="J3126">
            <v>45545</v>
          </cell>
          <cell r="K3126">
            <v>8</v>
          </cell>
        </row>
        <row r="3127">
          <cell r="C3127" t="str">
            <v>鄭珅易</v>
          </cell>
          <cell r="J3127">
            <v>45546</v>
          </cell>
          <cell r="K3127">
            <v>8</v>
          </cell>
        </row>
        <row r="3128">
          <cell r="C3128" t="str">
            <v>鄭珅易</v>
          </cell>
          <cell r="J3128">
            <v>45547</v>
          </cell>
          <cell r="K3128">
            <v>8</v>
          </cell>
        </row>
        <row r="3129">
          <cell r="C3129" t="str">
            <v>鄭珅易</v>
          </cell>
          <cell r="J3129">
            <v>45548</v>
          </cell>
          <cell r="K3129">
            <v>8</v>
          </cell>
        </row>
        <row r="3130">
          <cell r="C3130" t="str">
            <v>鄭珅易</v>
          </cell>
          <cell r="J3130">
            <v>45551</v>
          </cell>
          <cell r="K3130">
            <v>8</v>
          </cell>
        </row>
        <row r="3131">
          <cell r="C3131" t="str">
            <v>鄭珅易</v>
          </cell>
          <cell r="F3131" t="str">
            <v>K240801R1</v>
          </cell>
          <cell r="J3131">
            <v>45553</v>
          </cell>
          <cell r="K3131">
            <v>8</v>
          </cell>
        </row>
        <row r="3132">
          <cell r="C3132" t="str">
            <v>鄭珅易</v>
          </cell>
          <cell r="F3132" t="str">
            <v>K240801R1</v>
          </cell>
          <cell r="J3132">
            <v>45554</v>
          </cell>
          <cell r="K3132">
            <v>8</v>
          </cell>
        </row>
        <row r="3133">
          <cell r="C3133" t="str">
            <v>鄭珅易</v>
          </cell>
          <cell r="F3133" t="str">
            <v>K240801R1</v>
          </cell>
          <cell r="J3133">
            <v>45555</v>
          </cell>
          <cell r="K3133">
            <v>8</v>
          </cell>
        </row>
        <row r="3134">
          <cell r="C3134" t="str">
            <v>鄭珅易</v>
          </cell>
          <cell r="F3134" t="str">
            <v>K231101R1</v>
          </cell>
          <cell r="J3134">
            <v>45558</v>
          </cell>
          <cell r="K3134">
            <v>8</v>
          </cell>
        </row>
        <row r="3135">
          <cell r="C3135" t="str">
            <v>鄭珅易</v>
          </cell>
          <cell r="J3135">
            <v>45559</v>
          </cell>
          <cell r="K3135">
            <v>8</v>
          </cell>
        </row>
        <row r="3136">
          <cell r="C3136" t="str">
            <v>鄭珅易</v>
          </cell>
          <cell r="F3136" t="str">
            <v>K240801R1</v>
          </cell>
          <cell r="J3136">
            <v>45560</v>
          </cell>
          <cell r="K3136">
            <v>8</v>
          </cell>
        </row>
        <row r="3137">
          <cell r="C3137" t="str">
            <v>鄭珅易</v>
          </cell>
          <cell r="F3137" t="str">
            <v>M230901R1</v>
          </cell>
          <cell r="J3137">
            <v>45561</v>
          </cell>
          <cell r="K3137">
            <v>8</v>
          </cell>
        </row>
        <row r="3138">
          <cell r="C3138" t="str">
            <v>鄭珅易</v>
          </cell>
          <cell r="F3138" t="str">
            <v>M230901R1</v>
          </cell>
          <cell r="J3138">
            <v>45562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45565</v>
          </cell>
          <cell r="K3139">
            <v>8</v>
          </cell>
        </row>
        <row r="3140">
          <cell r="C3140" t="str">
            <v>鄭珅易</v>
          </cell>
          <cell r="F3140" t="str">
            <v>K240801R1</v>
          </cell>
          <cell r="J3140">
            <v>45566</v>
          </cell>
          <cell r="K3140">
            <v>8</v>
          </cell>
        </row>
        <row r="3141">
          <cell r="C3141" t="str">
            <v>鄭珅易</v>
          </cell>
          <cell r="F3141" t="str">
            <v>K240801R1</v>
          </cell>
          <cell r="J3141">
            <v>45569</v>
          </cell>
          <cell r="K3141">
            <v>8</v>
          </cell>
        </row>
        <row r="3142">
          <cell r="C3142" t="str">
            <v>鄭珅易</v>
          </cell>
          <cell r="J3142">
            <v>45572</v>
          </cell>
          <cell r="K3142">
            <v>8</v>
          </cell>
        </row>
        <row r="3143">
          <cell r="C3143" t="str">
            <v>鄭珅易</v>
          </cell>
          <cell r="J3143">
            <v>45573</v>
          </cell>
          <cell r="K3143">
            <v>8</v>
          </cell>
        </row>
        <row r="3144">
          <cell r="C3144" t="str">
            <v>鄭珅易</v>
          </cell>
          <cell r="J3144">
            <v>45574</v>
          </cell>
          <cell r="K3144">
            <v>8</v>
          </cell>
        </row>
        <row r="3145">
          <cell r="C3145" t="str">
            <v>鄭珅易</v>
          </cell>
          <cell r="J3145">
            <v>45576</v>
          </cell>
          <cell r="K3145">
            <v>8</v>
          </cell>
        </row>
        <row r="3146">
          <cell r="C3146" t="str">
            <v>鄭珅易</v>
          </cell>
          <cell r="J3146">
            <v>45579</v>
          </cell>
          <cell r="K3146">
            <v>8</v>
          </cell>
        </row>
        <row r="3147">
          <cell r="C3147" t="str">
            <v>鄭珅易</v>
          </cell>
          <cell r="J3147">
            <v>45580</v>
          </cell>
          <cell r="K3147">
            <v>8</v>
          </cell>
        </row>
        <row r="3148">
          <cell r="C3148" t="str">
            <v>鄭珅易</v>
          </cell>
          <cell r="F3148" t="str">
            <v>M240801R1</v>
          </cell>
          <cell r="J3148">
            <v>45581</v>
          </cell>
          <cell r="K3148">
            <v>8</v>
          </cell>
        </row>
        <row r="3149">
          <cell r="C3149" t="str">
            <v>鄭珅易</v>
          </cell>
          <cell r="J3149">
            <v>45582</v>
          </cell>
          <cell r="K3149">
            <v>8</v>
          </cell>
        </row>
        <row r="3150">
          <cell r="C3150" t="str">
            <v>鄭珅易</v>
          </cell>
          <cell r="J3150">
            <v>45583</v>
          </cell>
          <cell r="K3150">
            <v>8</v>
          </cell>
        </row>
        <row r="3151">
          <cell r="C3151" t="str">
            <v>鄭珅易</v>
          </cell>
          <cell r="J3151">
            <v>45586</v>
          </cell>
          <cell r="K3151">
            <v>8</v>
          </cell>
        </row>
        <row r="3152">
          <cell r="C3152" t="str">
            <v>鄭珅易</v>
          </cell>
          <cell r="F3152" t="str">
            <v>M240801R1</v>
          </cell>
          <cell r="J3152">
            <v>45587</v>
          </cell>
          <cell r="K3152">
            <v>8</v>
          </cell>
        </row>
        <row r="3153">
          <cell r="C3153" t="str">
            <v>鄭珅易</v>
          </cell>
          <cell r="J3153">
            <v>45588</v>
          </cell>
          <cell r="K3153">
            <v>8</v>
          </cell>
        </row>
        <row r="3154">
          <cell r="C3154" t="str">
            <v>鄭珅易</v>
          </cell>
          <cell r="J3154">
            <v>45589</v>
          </cell>
          <cell r="K3154">
            <v>8</v>
          </cell>
        </row>
        <row r="3155">
          <cell r="C3155" t="str">
            <v>鄭珅易</v>
          </cell>
          <cell r="F3155" t="str">
            <v>M240801R1</v>
          </cell>
          <cell r="J3155">
            <v>45590</v>
          </cell>
          <cell r="K3155">
            <v>8</v>
          </cell>
        </row>
        <row r="3156">
          <cell r="C3156" t="str">
            <v>鄭珅易</v>
          </cell>
          <cell r="J3156">
            <v>45593</v>
          </cell>
          <cell r="K3156">
            <v>8</v>
          </cell>
        </row>
        <row r="3157">
          <cell r="C3157" t="str">
            <v>鄭珅易</v>
          </cell>
          <cell r="J3157">
            <v>45594</v>
          </cell>
          <cell r="K3157">
            <v>8</v>
          </cell>
        </row>
        <row r="3158">
          <cell r="C3158" t="str">
            <v>鄭珅易</v>
          </cell>
          <cell r="F3158" t="str">
            <v>K241001R1</v>
          </cell>
          <cell r="J3158">
            <v>45595</v>
          </cell>
          <cell r="K3158">
            <v>8</v>
          </cell>
        </row>
        <row r="3159">
          <cell r="C3159" t="str">
            <v>鄭珅易</v>
          </cell>
          <cell r="F3159" t="str">
            <v>K241001R1</v>
          </cell>
          <cell r="J3159">
            <v>45597</v>
          </cell>
          <cell r="K3159">
            <v>8</v>
          </cell>
        </row>
        <row r="3160">
          <cell r="C3160" t="str">
            <v>鄭珅易</v>
          </cell>
          <cell r="J3160">
            <v>45600</v>
          </cell>
          <cell r="K3160">
            <v>8</v>
          </cell>
        </row>
        <row r="3161">
          <cell r="C3161" t="str">
            <v>鄭珅易</v>
          </cell>
          <cell r="J3161">
            <v>45601</v>
          </cell>
          <cell r="K3161">
            <v>8</v>
          </cell>
        </row>
        <row r="3162">
          <cell r="C3162" t="str">
            <v>鄭珅易</v>
          </cell>
          <cell r="J3162">
            <v>45602</v>
          </cell>
          <cell r="K3162">
            <v>8</v>
          </cell>
        </row>
        <row r="3163">
          <cell r="C3163" t="str">
            <v>鄭珅易</v>
          </cell>
          <cell r="J3163">
            <v>45603</v>
          </cell>
          <cell r="K3163">
            <v>8</v>
          </cell>
        </row>
        <row r="3164">
          <cell r="C3164" t="str">
            <v>鄭珅易</v>
          </cell>
          <cell r="J3164">
            <v>45604</v>
          </cell>
          <cell r="K3164">
            <v>8</v>
          </cell>
        </row>
        <row r="3165">
          <cell r="C3165" t="str">
            <v>鄭珅易</v>
          </cell>
          <cell r="J3165">
            <v>45607</v>
          </cell>
          <cell r="K3165">
            <v>8</v>
          </cell>
        </row>
        <row r="3166">
          <cell r="C3166" t="str">
            <v>鄭珅易</v>
          </cell>
          <cell r="J3166">
            <v>45608</v>
          </cell>
          <cell r="K3166">
            <v>8</v>
          </cell>
        </row>
        <row r="3167">
          <cell r="C3167" t="str">
            <v>鄭珅易</v>
          </cell>
          <cell r="F3167" t="str">
            <v>K240801R1</v>
          </cell>
          <cell r="J3167">
            <v>45609</v>
          </cell>
          <cell r="K3167">
            <v>8</v>
          </cell>
        </row>
        <row r="3168">
          <cell r="C3168" t="str">
            <v>鄭珅易</v>
          </cell>
          <cell r="J3168">
            <v>45610</v>
          </cell>
          <cell r="K3168">
            <v>8</v>
          </cell>
        </row>
        <row r="3169">
          <cell r="C3169" t="str">
            <v>鄭珅易</v>
          </cell>
          <cell r="J3169">
            <v>45611</v>
          </cell>
          <cell r="K3169">
            <v>8</v>
          </cell>
        </row>
        <row r="3170">
          <cell r="C3170" t="str">
            <v>鄭珅易</v>
          </cell>
          <cell r="J3170">
            <v>45614</v>
          </cell>
          <cell r="K3170">
            <v>8</v>
          </cell>
        </row>
        <row r="3171">
          <cell r="C3171" t="str">
            <v>鄭珅易</v>
          </cell>
          <cell r="F3171" t="str">
            <v>K240801R1</v>
          </cell>
          <cell r="J3171">
            <v>45615</v>
          </cell>
          <cell r="K3171">
            <v>8</v>
          </cell>
        </row>
        <row r="3172">
          <cell r="C3172" t="str">
            <v>鄭珅易</v>
          </cell>
          <cell r="F3172" t="str">
            <v>K240801R1</v>
          </cell>
          <cell r="J3172">
            <v>45616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45617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45618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45621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45622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45623</v>
          </cell>
          <cell r="K3177">
            <v>8</v>
          </cell>
        </row>
        <row r="3178">
          <cell r="C3178" t="str">
            <v>鄭珅易</v>
          </cell>
          <cell r="F3178" t="str">
            <v>K240801R1</v>
          </cell>
          <cell r="J3178">
            <v>45624</v>
          </cell>
          <cell r="K3178">
            <v>8</v>
          </cell>
        </row>
        <row r="3179">
          <cell r="C3179" t="str">
            <v>鄭珅易</v>
          </cell>
          <cell r="F3179" t="str">
            <v>K240801R1</v>
          </cell>
          <cell r="J3179">
            <v>45625</v>
          </cell>
          <cell r="K3179">
            <v>8</v>
          </cell>
        </row>
        <row r="3180">
          <cell r="C3180" t="str">
            <v>鄭珅易</v>
          </cell>
          <cell r="F3180" t="str">
            <v>K240801R1</v>
          </cell>
          <cell r="J3180">
            <v>45628</v>
          </cell>
          <cell r="K3180">
            <v>8</v>
          </cell>
        </row>
        <row r="3181">
          <cell r="C3181" t="str">
            <v>鄭珅易</v>
          </cell>
          <cell r="F3181" t="str">
            <v>K240801R1</v>
          </cell>
          <cell r="J3181">
            <v>45629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45630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45631</v>
          </cell>
          <cell r="K3183">
            <v>8</v>
          </cell>
        </row>
        <row r="3184">
          <cell r="C3184" t="str">
            <v>鄭珅易</v>
          </cell>
          <cell r="F3184" t="str">
            <v>K240801R1</v>
          </cell>
          <cell r="J3184">
            <v>45632</v>
          </cell>
          <cell r="K3184">
            <v>8</v>
          </cell>
        </row>
        <row r="3185">
          <cell r="C3185" t="str">
            <v>鄭珅易</v>
          </cell>
          <cell r="F3185" t="str">
            <v>K240801R1</v>
          </cell>
          <cell r="J3185">
            <v>45635</v>
          </cell>
          <cell r="K3185">
            <v>8</v>
          </cell>
        </row>
        <row r="3186">
          <cell r="C3186" t="str">
            <v>鄭珅易</v>
          </cell>
          <cell r="F3186" t="str">
            <v>K240801R1</v>
          </cell>
          <cell r="J3186">
            <v>45636</v>
          </cell>
          <cell r="K3186">
            <v>8</v>
          </cell>
        </row>
        <row r="3187">
          <cell r="C3187" t="str">
            <v>鄭珅易</v>
          </cell>
          <cell r="F3187" t="str">
            <v>K240801R1</v>
          </cell>
          <cell r="J3187">
            <v>45637</v>
          </cell>
          <cell r="K3187">
            <v>8</v>
          </cell>
        </row>
        <row r="3188">
          <cell r="C3188" t="str">
            <v>鄭珅易</v>
          </cell>
          <cell r="F3188" t="str">
            <v>K240801R1</v>
          </cell>
          <cell r="J3188">
            <v>45638</v>
          </cell>
          <cell r="K3188">
            <v>8</v>
          </cell>
        </row>
        <row r="3189">
          <cell r="C3189" t="str">
            <v>鄭珅易</v>
          </cell>
          <cell r="F3189" t="str">
            <v>K240801R1</v>
          </cell>
          <cell r="J3189">
            <v>45639</v>
          </cell>
          <cell r="K3189">
            <v>8</v>
          </cell>
        </row>
        <row r="3190">
          <cell r="C3190" t="str">
            <v>鄭珅易</v>
          </cell>
          <cell r="F3190" t="str">
            <v>K240801R1</v>
          </cell>
          <cell r="J3190">
            <v>45642</v>
          </cell>
          <cell r="K3190">
            <v>8</v>
          </cell>
        </row>
        <row r="3191">
          <cell r="C3191" t="str">
            <v>鄭珅易</v>
          </cell>
          <cell r="F3191" t="str">
            <v>K240801R1</v>
          </cell>
          <cell r="J3191">
            <v>45643</v>
          </cell>
          <cell r="K3191">
            <v>8</v>
          </cell>
        </row>
        <row r="3192">
          <cell r="C3192" t="str">
            <v>鄭珅易</v>
          </cell>
          <cell r="F3192" t="str">
            <v>K240801R1</v>
          </cell>
          <cell r="J3192">
            <v>45644</v>
          </cell>
          <cell r="K3192">
            <v>8</v>
          </cell>
        </row>
        <row r="3193">
          <cell r="C3193" t="str">
            <v>鄭珅易</v>
          </cell>
          <cell r="F3193" t="str">
            <v>K240801R1</v>
          </cell>
          <cell r="J3193">
            <v>45645</v>
          </cell>
          <cell r="K3193">
            <v>8</v>
          </cell>
        </row>
        <row r="3194">
          <cell r="C3194" t="str">
            <v>鄭珅易</v>
          </cell>
          <cell r="F3194" t="str">
            <v>K240801R1</v>
          </cell>
          <cell r="J3194">
            <v>45646</v>
          </cell>
          <cell r="K3194">
            <v>8</v>
          </cell>
        </row>
        <row r="3195">
          <cell r="C3195" t="str">
            <v>鄭珅易</v>
          </cell>
          <cell r="F3195" t="str">
            <v>K240801R2</v>
          </cell>
          <cell r="J3195">
            <v>45649</v>
          </cell>
          <cell r="K3195">
            <v>8</v>
          </cell>
        </row>
        <row r="3196">
          <cell r="C3196" t="str">
            <v>鄭珅易</v>
          </cell>
          <cell r="J3196">
            <v>45650</v>
          </cell>
          <cell r="K3196">
            <v>8</v>
          </cell>
        </row>
        <row r="3197">
          <cell r="C3197" t="str">
            <v>鄭珅易</v>
          </cell>
          <cell r="J3197">
            <v>45651</v>
          </cell>
          <cell r="K3197">
            <v>8</v>
          </cell>
        </row>
        <row r="3198">
          <cell r="C3198" t="str">
            <v>鄭珅易</v>
          </cell>
          <cell r="F3198" t="str">
            <v>M230901R1</v>
          </cell>
          <cell r="J3198">
            <v>45652</v>
          </cell>
          <cell r="K3198">
            <v>8</v>
          </cell>
        </row>
        <row r="3199">
          <cell r="C3199" t="str">
            <v>鄭珅易</v>
          </cell>
          <cell r="F3199" t="str">
            <v>M230901R1</v>
          </cell>
          <cell r="J3199">
            <v>45653</v>
          </cell>
          <cell r="K3199">
            <v>8</v>
          </cell>
        </row>
        <row r="3200">
          <cell r="C3200" t="str">
            <v>鄭珅易</v>
          </cell>
          <cell r="F3200" t="str">
            <v>K240801R2</v>
          </cell>
          <cell r="J3200">
            <v>45656</v>
          </cell>
          <cell r="K3200">
            <v>8</v>
          </cell>
        </row>
        <row r="3201">
          <cell r="C3201" t="str">
            <v>鄭珅易</v>
          </cell>
          <cell r="F3201" t="str">
            <v>M230901R1</v>
          </cell>
          <cell r="J3201">
            <v>45657</v>
          </cell>
          <cell r="K3201">
            <v>8</v>
          </cell>
        </row>
        <row r="3202">
          <cell r="C3202" t="str">
            <v>鄭珅易</v>
          </cell>
          <cell r="F3202" t="str">
            <v>K240801R1</v>
          </cell>
          <cell r="J3202">
            <v>45659</v>
          </cell>
          <cell r="K3202">
            <v>8</v>
          </cell>
        </row>
        <row r="3203">
          <cell r="C3203" t="str">
            <v>鄭珅易</v>
          </cell>
          <cell r="F3203" t="str">
            <v>K240801R1</v>
          </cell>
          <cell r="J3203">
            <v>45660</v>
          </cell>
          <cell r="K3203">
            <v>8</v>
          </cell>
        </row>
        <row r="3204">
          <cell r="C3204" t="str">
            <v>鄭珅易</v>
          </cell>
          <cell r="F3204" t="str">
            <v>K240801R1</v>
          </cell>
          <cell r="J3204">
            <v>45663</v>
          </cell>
          <cell r="K3204">
            <v>8</v>
          </cell>
        </row>
        <row r="3205">
          <cell r="C3205" t="str">
            <v>鄭珅易</v>
          </cell>
          <cell r="F3205" t="str">
            <v>K240801R1</v>
          </cell>
          <cell r="J3205">
            <v>45664</v>
          </cell>
          <cell r="K3205">
            <v>8</v>
          </cell>
        </row>
        <row r="3206">
          <cell r="C3206" t="str">
            <v>鄭珅易</v>
          </cell>
          <cell r="F3206" t="str">
            <v>K240801R1</v>
          </cell>
          <cell r="J3206">
            <v>45665</v>
          </cell>
          <cell r="K3206">
            <v>8</v>
          </cell>
        </row>
        <row r="3207">
          <cell r="C3207" t="str">
            <v>鄭珅易</v>
          </cell>
          <cell r="F3207" t="str">
            <v>K240801R1</v>
          </cell>
          <cell r="J3207">
            <v>45666</v>
          </cell>
          <cell r="K3207">
            <v>8</v>
          </cell>
        </row>
        <row r="3208">
          <cell r="C3208" t="str">
            <v>鄭珅易</v>
          </cell>
          <cell r="F3208" t="str">
            <v>K240801R1</v>
          </cell>
          <cell r="J3208">
            <v>45667</v>
          </cell>
          <cell r="K3208">
            <v>8</v>
          </cell>
        </row>
        <row r="3209">
          <cell r="C3209" t="str">
            <v>鄭珅易</v>
          </cell>
          <cell r="F3209" t="str">
            <v>K240801R1</v>
          </cell>
          <cell r="J3209">
            <v>45670</v>
          </cell>
          <cell r="K3209">
            <v>8</v>
          </cell>
        </row>
        <row r="3210">
          <cell r="C3210" t="str">
            <v>鄭珅易</v>
          </cell>
          <cell r="F3210" t="str">
            <v>K240801R1</v>
          </cell>
          <cell r="J3210">
            <v>45671</v>
          </cell>
          <cell r="K3210">
            <v>8</v>
          </cell>
        </row>
        <row r="3211">
          <cell r="C3211" t="str">
            <v>鄭珅易</v>
          </cell>
          <cell r="F3211" t="str">
            <v>K240801R1</v>
          </cell>
          <cell r="J3211">
            <v>45672</v>
          </cell>
          <cell r="K3211">
            <v>8</v>
          </cell>
        </row>
        <row r="3212">
          <cell r="C3212" t="str">
            <v>鄭珅易</v>
          </cell>
          <cell r="F3212" t="str">
            <v>K240801R1</v>
          </cell>
          <cell r="J3212">
            <v>45673</v>
          </cell>
          <cell r="K3212">
            <v>8</v>
          </cell>
        </row>
        <row r="3213">
          <cell r="C3213" t="str">
            <v>鄭珅易</v>
          </cell>
          <cell r="F3213" t="str">
            <v>K240801R1</v>
          </cell>
          <cell r="J3213">
            <v>45674</v>
          </cell>
          <cell r="K3213">
            <v>8</v>
          </cell>
        </row>
        <row r="3214">
          <cell r="C3214" t="str">
            <v>鄭珅易</v>
          </cell>
          <cell r="F3214" t="str">
            <v>K240801R1</v>
          </cell>
          <cell r="J3214">
            <v>45677</v>
          </cell>
          <cell r="K3214">
            <v>8</v>
          </cell>
        </row>
        <row r="3215">
          <cell r="C3215" t="str">
            <v>鄭珅易</v>
          </cell>
          <cell r="F3215" t="str">
            <v>K240801R1</v>
          </cell>
          <cell r="J3215">
            <v>45678</v>
          </cell>
          <cell r="K3215">
            <v>8</v>
          </cell>
        </row>
        <row r="3216">
          <cell r="C3216" t="str">
            <v>鄭珅易</v>
          </cell>
          <cell r="F3216" t="str">
            <v>K240801R1</v>
          </cell>
          <cell r="J3216">
            <v>45679</v>
          </cell>
          <cell r="K3216">
            <v>8</v>
          </cell>
        </row>
        <row r="3217">
          <cell r="C3217" t="str">
            <v>鄭珅易</v>
          </cell>
          <cell r="J3217">
            <v>45680</v>
          </cell>
          <cell r="K3217">
            <v>8</v>
          </cell>
        </row>
        <row r="3218">
          <cell r="C3218" t="str">
            <v>鄭珅易</v>
          </cell>
          <cell r="J3218">
            <v>45681</v>
          </cell>
          <cell r="K3218">
            <v>8</v>
          </cell>
        </row>
        <row r="3219">
          <cell r="C3219" t="str">
            <v>鄭珅易</v>
          </cell>
          <cell r="F3219" t="str">
            <v>K241201R1</v>
          </cell>
          <cell r="J3219">
            <v>45691</v>
          </cell>
          <cell r="K3219">
            <v>8</v>
          </cell>
        </row>
        <row r="3220">
          <cell r="C3220" t="str">
            <v>鄭珅易</v>
          </cell>
          <cell r="F3220" t="str">
            <v>K240801R1</v>
          </cell>
          <cell r="J3220">
            <v>45692</v>
          </cell>
          <cell r="K3220">
            <v>8</v>
          </cell>
        </row>
        <row r="3221">
          <cell r="C3221" t="str">
            <v>鄭珅易</v>
          </cell>
          <cell r="F3221" t="str">
            <v>K241201R1</v>
          </cell>
          <cell r="J3221">
            <v>45693</v>
          </cell>
          <cell r="K3221">
            <v>8</v>
          </cell>
        </row>
        <row r="3222">
          <cell r="C3222" t="str">
            <v>鄭珅易</v>
          </cell>
          <cell r="F3222" t="str">
            <v>K241201R1</v>
          </cell>
          <cell r="J3222">
            <v>45694</v>
          </cell>
          <cell r="K3222">
            <v>8</v>
          </cell>
        </row>
        <row r="3223">
          <cell r="C3223" t="str">
            <v>鄭珅易</v>
          </cell>
          <cell r="F3223" t="str">
            <v>K240801R1</v>
          </cell>
          <cell r="J3223">
            <v>45695</v>
          </cell>
          <cell r="K3223">
            <v>8</v>
          </cell>
        </row>
        <row r="3224">
          <cell r="C3224" t="str">
            <v>鄭珅易</v>
          </cell>
          <cell r="F3224" t="str">
            <v>K241201R1</v>
          </cell>
          <cell r="J3224">
            <v>45696</v>
          </cell>
          <cell r="K3224">
            <v>8</v>
          </cell>
        </row>
        <row r="3225">
          <cell r="C3225" t="str">
            <v>鄭珅易</v>
          </cell>
          <cell r="F3225" t="str">
            <v>K241201R1</v>
          </cell>
          <cell r="J3225">
            <v>45698</v>
          </cell>
          <cell r="K3225">
            <v>8</v>
          </cell>
        </row>
        <row r="3226">
          <cell r="C3226" t="str">
            <v>鄭珅易</v>
          </cell>
          <cell r="F3226" t="str">
            <v>K240801R1</v>
          </cell>
          <cell r="J3226">
            <v>45699</v>
          </cell>
          <cell r="K3226">
            <v>8</v>
          </cell>
        </row>
        <row r="3227">
          <cell r="C3227" t="str">
            <v>鄭珅易</v>
          </cell>
          <cell r="F3227" t="str">
            <v>M230901R1</v>
          </cell>
          <cell r="J3227">
            <v>45700</v>
          </cell>
          <cell r="K3227">
            <v>8</v>
          </cell>
        </row>
        <row r="3228">
          <cell r="C3228" t="str">
            <v>鄭珅易</v>
          </cell>
          <cell r="F3228" t="str">
            <v>M230901R1</v>
          </cell>
          <cell r="J3228">
            <v>45701</v>
          </cell>
          <cell r="K3228">
            <v>8</v>
          </cell>
        </row>
        <row r="3229">
          <cell r="C3229" t="str">
            <v>鄭珅易</v>
          </cell>
          <cell r="F3229" t="str">
            <v>K240801R1</v>
          </cell>
          <cell r="J3229">
            <v>45702</v>
          </cell>
          <cell r="K3229">
            <v>8</v>
          </cell>
        </row>
        <row r="3230">
          <cell r="C3230" t="str">
            <v>鄭珅易</v>
          </cell>
          <cell r="F3230" t="str">
            <v>M230901R1</v>
          </cell>
          <cell r="J3230">
            <v>45705</v>
          </cell>
          <cell r="K3230">
            <v>8</v>
          </cell>
        </row>
        <row r="3231">
          <cell r="C3231" t="str">
            <v>鄭珅易</v>
          </cell>
          <cell r="F3231" t="str">
            <v>M230901R1</v>
          </cell>
          <cell r="J3231">
            <v>45706</v>
          </cell>
          <cell r="K3231">
            <v>8</v>
          </cell>
        </row>
        <row r="3232">
          <cell r="C3232" t="str">
            <v>鄭珅易</v>
          </cell>
          <cell r="F3232" t="str">
            <v>K240801R1</v>
          </cell>
          <cell r="J3232">
            <v>45707</v>
          </cell>
          <cell r="K3232">
            <v>8</v>
          </cell>
        </row>
        <row r="3233">
          <cell r="C3233" t="str">
            <v>鄭珅易</v>
          </cell>
          <cell r="F3233" t="str">
            <v>M230901R1</v>
          </cell>
          <cell r="J3233">
            <v>45708</v>
          </cell>
          <cell r="K3233">
            <v>8</v>
          </cell>
        </row>
        <row r="3234">
          <cell r="C3234" t="str">
            <v>鄭珅易</v>
          </cell>
          <cell r="F3234" t="str">
            <v>M230901R1</v>
          </cell>
          <cell r="J3234">
            <v>45709</v>
          </cell>
          <cell r="K3234">
            <v>8</v>
          </cell>
        </row>
        <row r="3235">
          <cell r="C3235" t="str">
            <v>鄭珅易</v>
          </cell>
          <cell r="F3235" t="str">
            <v>M230901R1</v>
          </cell>
          <cell r="J3235">
            <v>45712</v>
          </cell>
          <cell r="K3235">
            <v>8</v>
          </cell>
        </row>
        <row r="3236">
          <cell r="C3236" t="str">
            <v>鄭珅易</v>
          </cell>
          <cell r="F3236" t="str">
            <v>K240801R1</v>
          </cell>
          <cell r="J3236">
            <v>45713</v>
          </cell>
          <cell r="K3236">
            <v>8</v>
          </cell>
        </row>
        <row r="3237">
          <cell r="C3237" t="str">
            <v>鄭珅易</v>
          </cell>
          <cell r="F3237" t="str">
            <v>K241201R1</v>
          </cell>
          <cell r="J3237">
            <v>45714</v>
          </cell>
          <cell r="K3237">
            <v>8</v>
          </cell>
        </row>
        <row r="3238">
          <cell r="C3238" t="str">
            <v>鄭珅易</v>
          </cell>
          <cell r="F3238" t="str">
            <v>K240801R1</v>
          </cell>
          <cell r="J3238">
            <v>45715</v>
          </cell>
          <cell r="K3238">
            <v>8</v>
          </cell>
        </row>
        <row r="3239">
          <cell r="C3239" t="str">
            <v>鄭珅易</v>
          </cell>
          <cell r="F3239" t="str">
            <v>K240801R1</v>
          </cell>
          <cell r="J3239">
            <v>45719</v>
          </cell>
          <cell r="K3239">
            <v>8</v>
          </cell>
        </row>
        <row r="3240">
          <cell r="C3240" t="str">
            <v>鄭珅易</v>
          </cell>
          <cell r="F3240" t="str">
            <v>K231101R1</v>
          </cell>
          <cell r="J3240">
            <v>45720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45721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45722</v>
          </cell>
          <cell r="K3242">
            <v>8</v>
          </cell>
        </row>
        <row r="3243">
          <cell r="C3243" t="str">
            <v>鄭珅易</v>
          </cell>
          <cell r="F3243" t="str">
            <v>K231101R1</v>
          </cell>
          <cell r="J3243">
            <v>45723</v>
          </cell>
          <cell r="K3243">
            <v>8</v>
          </cell>
        </row>
        <row r="3244">
          <cell r="C3244" t="str">
            <v>鄭珅易</v>
          </cell>
          <cell r="F3244" t="str">
            <v>K231101R1</v>
          </cell>
          <cell r="J3244">
            <v>45726</v>
          </cell>
          <cell r="K3244">
            <v>8</v>
          </cell>
        </row>
        <row r="3245">
          <cell r="C3245" t="str">
            <v>鄭珅易</v>
          </cell>
          <cell r="F3245" t="str">
            <v>K241201R1</v>
          </cell>
          <cell r="J3245">
            <v>45727</v>
          </cell>
          <cell r="K3245">
            <v>8</v>
          </cell>
        </row>
        <row r="3246">
          <cell r="C3246" t="str">
            <v>鄭珅易</v>
          </cell>
          <cell r="F3246" t="str">
            <v>K231101R1</v>
          </cell>
          <cell r="J3246">
            <v>45728</v>
          </cell>
          <cell r="K3246">
            <v>8</v>
          </cell>
        </row>
        <row r="3247">
          <cell r="C3247" t="str">
            <v>鄭珅易</v>
          </cell>
          <cell r="F3247" t="str">
            <v>M230901R1</v>
          </cell>
          <cell r="J3247">
            <v>45729</v>
          </cell>
          <cell r="K3247">
            <v>8</v>
          </cell>
        </row>
        <row r="3248">
          <cell r="C3248" t="str">
            <v>鄭珅易</v>
          </cell>
          <cell r="F3248" t="str">
            <v>K231101R1</v>
          </cell>
          <cell r="J3248">
            <v>45730</v>
          </cell>
          <cell r="K3248">
            <v>8</v>
          </cell>
        </row>
        <row r="3249">
          <cell r="C3249" t="str">
            <v>鄭珅易</v>
          </cell>
          <cell r="F3249" t="str">
            <v>K241201R1</v>
          </cell>
          <cell r="J3249">
            <v>45733</v>
          </cell>
          <cell r="K3249">
            <v>8</v>
          </cell>
        </row>
        <row r="3250">
          <cell r="C3250" t="str">
            <v>鄭珅易</v>
          </cell>
          <cell r="F3250" t="str">
            <v>K241201R1</v>
          </cell>
          <cell r="J3250">
            <v>45734</v>
          </cell>
          <cell r="K3250">
            <v>8</v>
          </cell>
        </row>
        <row r="3251">
          <cell r="C3251" t="str">
            <v>鄭珅易</v>
          </cell>
          <cell r="F3251" t="str">
            <v>K241201R1</v>
          </cell>
          <cell r="J3251">
            <v>45735</v>
          </cell>
          <cell r="K3251">
            <v>8</v>
          </cell>
        </row>
        <row r="3252">
          <cell r="C3252" t="str">
            <v>鄭珅易</v>
          </cell>
          <cell r="F3252" t="str">
            <v>K241201R1</v>
          </cell>
          <cell r="J3252">
            <v>45736</v>
          </cell>
          <cell r="K3252">
            <v>8</v>
          </cell>
        </row>
        <row r="3253">
          <cell r="C3253" t="str">
            <v>鄭珅易</v>
          </cell>
          <cell r="F3253" t="str">
            <v>K241201R1</v>
          </cell>
          <cell r="J3253">
            <v>45737</v>
          </cell>
          <cell r="K3253">
            <v>8</v>
          </cell>
        </row>
        <row r="3254">
          <cell r="C3254" t="str">
            <v>鄭珅易</v>
          </cell>
          <cell r="F3254" t="str">
            <v>K241201R1</v>
          </cell>
          <cell r="J3254">
            <v>45740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45741</v>
          </cell>
          <cell r="K3255">
            <v>8</v>
          </cell>
        </row>
        <row r="3256">
          <cell r="C3256" t="str">
            <v>鄭珅易</v>
          </cell>
          <cell r="F3256" t="str">
            <v>K241201R1</v>
          </cell>
          <cell r="J3256">
            <v>45742</v>
          </cell>
          <cell r="K3256">
            <v>8</v>
          </cell>
        </row>
        <row r="3257">
          <cell r="C3257" t="str">
            <v>鄭珅易</v>
          </cell>
          <cell r="F3257" t="str">
            <v>K231101R1</v>
          </cell>
          <cell r="J3257">
            <v>45743</v>
          </cell>
          <cell r="K3257">
            <v>8</v>
          </cell>
        </row>
        <row r="3258">
          <cell r="C3258" t="str">
            <v>鄭珅易</v>
          </cell>
          <cell r="F3258" t="str">
            <v>K231101R1</v>
          </cell>
          <cell r="J3258">
            <v>45744</v>
          </cell>
          <cell r="K3258">
            <v>8</v>
          </cell>
        </row>
        <row r="3259">
          <cell r="C3259" t="str">
            <v>鄭珅易</v>
          </cell>
          <cell r="F3259" t="str">
            <v>K231101R1</v>
          </cell>
          <cell r="J3259">
            <v>45747</v>
          </cell>
          <cell r="K3259">
            <v>8</v>
          </cell>
        </row>
        <row r="3260">
          <cell r="C3260" t="str">
            <v>鄭珅易</v>
          </cell>
          <cell r="F3260" t="str">
            <v>K231101R1</v>
          </cell>
          <cell r="J3260">
            <v>45748</v>
          </cell>
          <cell r="K3260">
            <v>8</v>
          </cell>
        </row>
        <row r="3261">
          <cell r="C3261" t="str">
            <v>鄭珅易</v>
          </cell>
          <cell r="J3261">
            <v>45749</v>
          </cell>
          <cell r="K3261">
            <v>4</v>
          </cell>
        </row>
        <row r="3262">
          <cell r="C3262" t="str">
            <v>鄭珅易</v>
          </cell>
          <cell r="J3262">
            <v>45749</v>
          </cell>
          <cell r="K3262">
            <v>4</v>
          </cell>
        </row>
        <row r="3263">
          <cell r="C3263" t="str">
            <v>鄭珅易</v>
          </cell>
          <cell r="F3263" t="str">
            <v>K231101R1</v>
          </cell>
          <cell r="J3263">
            <v>45754</v>
          </cell>
          <cell r="K3263">
            <v>8</v>
          </cell>
        </row>
        <row r="3264">
          <cell r="C3264" t="str">
            <v>鄭珅易</v>
          </cell>
          <cell r="F3264" t="str">
            <v>K231101R1</v>
          </cell>
          <cell r="J3264">
            <v>45755</v>
          </cell>
          <cell r="K3264">
            <v>8</v>
          </cell>
        </row>
        <row r="3265">
          <cell r="C3265" t="str">
            <v>鄭珅易</v>
          </cell>
          <cell r="F3265" t="str">
            <v>K231101R1</v>
          </cell>
          <cell r="J3265">
            <v>45756</v>
          </cell>
          <cell r="K3265">
            <v>8</v>
          </cell>
        </row>
        <row r="3266">
          <cell r="C3266" t="str">
            <v>鄭珅易</v>
          </cell>
          <cell r="F3266" t="str">
            <v>K240801R1</v>
          </cell>
          <cell r="J3266">
            <v>45757</v>
          </cell>
          <cell r="K3266">
            <v>8</v>
          </cell>
        </row>
        <row r="3267">
          <cell r="C3267" t="str">
            <v>鄭珅易</v>
          </cell>
          <cell r="F3267" t="str">
            <v>K240801R1</v>
          </cell>
          <cell r="J3267">
            <v>45758</v>
          </cell>
          <cell r="K3267">
            <v>8</v>
          </cell>
        </row>
        <row r="3268">
          <cell r="C3268" t="str">
            <v>鄭珅易</v>
          </cell>
          <cell r="F3268" t="str">
            <v>K231101R1</v>
          </cell>
          <cell r="J3268">
            <v>45761</v>
          </cell>
          <cell r="K3268">
            <v>8</v>
          </cell>
        </row>
        <row r="3269">
          <cell r="C3269" t="str">
            <v>鄭珅易</v>
          </cell>
          <cell r="F3269" t="str">
            <v>K231101R1</v>
          </cell>
          <cell r="J3269">
            <v>45762</v>
          </cell>
          <cell r="K3269">
            <v>8</v>
          </cell>
        </row>
        <row r="3270">
          <cell r="C3270" t="str">
            <v>鄭珅易</v>
          </cell>
          <cell r="F3270" t="str">
            <v>K231101R1</v>
          </cell>
          <cell r="J3270">
            <v>45763</v>
          </cell>
          <cell r="K3270">
            <v>8</v>
          </cell>
        </row>
        <row r="3271">
          <cell r="C3271" t="str">
            <v>鄭珅易</v>
          </cell>
          <cell r="F3271" t="str">
            <v>K231101R1</v>
          </cell>
          <cell r="J3271">
            <v>45764</v>
          </cell>
          <cell r="K3271">
            <v>8</v>
          </cell>
        </row>
        <row r="3272">
          <cell r="C3272" t="str">
            <v>鄭珅易</v>
          </cell>
          <cell r="F3272" t="str">
            <v>K231101R1</v>
          </cell>
          <cell r="J3272">
            <v>45765</v>
          </cell>
          <cell r="K3272">
            <v>8</v>
          </cell>
        </row>
        <row r="3273">
          <cell r="C3273" t="str">
            <v>鄭珅易</v>
          </cell>
          <cell r="F3273" t="str">
            <v>K231101R1</v>
          </cell>
          <cell r="J3273">
            <v>45768</v>
          </cell>
          <cell r="K3273">
            <v>8</v>
          </cell>
        </row>
        <row r="3274">
          <cell r="C3274" t="str">
            <v>鄭珅易</v>
          </cell>
          <cell r="F3274" t="str">
            <v>K231101R1</v>
          </cell>
          <cell r="J3274">
            <v>45769</v>
          </cell>
          <cell r="K3274">
            <v>8</v>
          </cell>
        </row>
        <row r="3275">
          <cell r="C3275" t="str">
            <v>鄭珅易</v>
          </cell>
          <cell r="F3275" t="str">
            <v>K231101R1</v>
          </cell>
          <cell r="J3275">
            <v>45770</v>
          </cell>
          <cell r="K3275">
            <v>8</v>
          </cell>
        </row>
        <row r="3276">
          <cell r="C3276" t="str">
            <v>鄭珅易</v>
          </cell>
          <cell r="F3276" t="str">
            <v>K231101R1</v>
          </cell>
          <cell r="J3276">
            <v>45771</v>
          </cell>
          <cell r="K3276">
            <v>8</v>
          </cell>
        </row>
        <row r="3277">
          <cell r="C3277" t="str">
            <v>鄭珅易</v>
          </cell>
          <cell r="F3277" t="str">
            <v>K231101R1</v>
          </cell>
          <cell r="J3277">
            <v>45772</v>
          </cell>
          <cell r="K3277">
            <v>8</v>
          </cell>
        </row>
        <row r="3278">
          <cell r="C3278" t="str">
            <v>鄭珅易</v>
          </cell>
          <cell r="F3278" t="str">
            <v>K231101R1</v>
          </cell>
          <cell r="J3278">
            <v>45775</v>
          </cell>
          <cell r="K3278">
            <v>8</v>
          </cell>
        </row>
        <row r="3279">
          <cell r="C3279" t="str">
            <v>鄭珅易</v>
          </cell>
          <cell r="F3279" t="str">
            <v>K231101R1</v>
          </cell>
          <cell r="J3279">
            <v>45776</v>
          </cell>
          <cell r="K3279">
            <v>8</v>
          </cell>
        </row>
        <row r="3280">
          <cell r="C3280" t="str">
            <v>鄭珅易</v>
          </cell>
          <cell r="F3280" t="str">
            <v>K231101R1</v>
          </cell>
          <cell r="J3280">
            <v>45777</v>
          </cell>
          <cell r="K3280">
            <v>8</v>
          </cell>
        </row>
        <row r="3281">
          <cell r="C3281" t="str">
            <v>鄭珅易</v>
          </cell>
          <cell r="J3281">
            <v>45779</v>
          </cell>
          <cell r="K3281">
            <v>8</v>
          </cell>
        </row>
        <row r="3282">
          <cell r="C3282" t="str">
            <v>鄭珅易</v>
          </cell>
          <cell r="J3282">
            <v>45782</v>
          </cell>
          <cell r="K3282">
            <v>8</v>
          </cell>
        </row>
        <row r="3283">
          <cell r="C3283" t="str">
            <v>鄭珅易</v>
          </cell>
          <cell r="J3283">
            <v>45783</v>
          </cell>
          <cell r="K3283">
            <v>8</v>
          </cell>
        </row>
        <row r="3284">
          <cell r="C3284" t="str">
            <v>鄭珅易</v>
          </cell>
          <cell r="J3284">
            <v>45784</v>
          </cell>
          <cell r="K3284">
            <v>8</v>
          </cell>
        </row>
        <row r="3285">
          <cell r="C3285" t="str">
            <v>鄭珅易</v>
          </cell>
          <cell r="J3285">
            <v>45785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45786</v>
          </cell>
          <cell r="K3286">
            <v>8</v>
          </cell>
        </row>
        <row r="3287">
          <cell r="C3287" t="str">
            <v>鄭珅易</v>
          </cell>
          <cell r="F3287" t="str">
            <v>K231101R1</v>
          </cell>
          <cell r="J3287">
            <v>45789</v>
          </cell>
          <cell r="K3287">
            <v>8</v>
          </cell>
        </row>
        <row r="3288">
          <cell r="C3288" t="str">
            <v>鄭珅易</v>
          </cell>
          <cell r="F3288" t="str">
            <v>K231101R1</v>
          </cell>
          <cell r="J3288">
            <v>45790</v>
          </cell>
          <cell r="K3288">
            <v>8</v>
          </cell>
        </row>
        <row r="3289">
          <cell r="C3289" t="str">
            <v>鄭珅易</v>
          </cell>
          <cell r="F3289" t="str">
            <v>K231101R1</v>
          </cell>
          <cell r="J3289">
            <v>45791</v>
          </cell>
          <cell r="K3289">
            <v>8</v>
          </cell>
        </row>
        <row r="3290">
          <cell r="C3290" t="str">
            <v>鄭珅易</v>
          </cell>
          <cell r="F3290" t="str">
            <v>K241001R1</v>
          </cell>
          <cell r="J3290">
            <v>45792</v>
          </cell>
          <cell r="K3290">
            <v>8</v>
          </cell>
        </row>
        <row r="3291">
          <cell r="C3291" t="str">
            <v>鄭珅易</v>
          </cell>
          <cell r="F3291" t="str">
            <v>K231101R1</v>
          </cell>
          <cell r="J3291">
            <v>45793</v>
          </cell>
          <cell r="K3291">
            <v>8</v>
          </cell>
        </row>
        <row r="3292">
          <cell r="C3292" t="str">
            <v>鄭珅易</v>
          </cell>
          <cell r="F3292" t="str">
            <v>K231101R1</v>
          </cell>
          <cell r="J3292">
            <v>45796</v>
          </cell>
          <cell r="K3292">
            <v>8</v>
          </cell>
        </row>
        <row r="3293">
          <cell r="C3293" t="str">
            <v>鄭珅易</v>
          </cell>
          <cell r="F3293" t="str">
            <v>K231101R1</v>
          </cell>
          <cell r="J3293">
            <v>45797</v>
          </cell>
          <cell r="K3293">
            <v>8</v>
          </cell>
        </row>
        <row r="3294">
          <cell r="C3294" t="str">
            <v>鄭珅易</v>
          </cell>
          <cell r="F3294" t="str">
            <v>K231101R1</v>
          </cell>
          <cell r="J3294">
            <v>45798</v>
          </cell>
          <cell r="K3294">
            <v>8</v>
          </cell>
        </row>
        <row r="3295">
          <cell r="C3295" t="str">
            <v>鄭珅易</v>
          </cell>
          <cell r="F3295" t="str">
            <v>K231101R1</v>
          </cell>
          <cell r="J3295">
            <v>45799</v>
          </cell>
          <cell r="K3295">
            <v>8</v>
          </cell>
        </row>
        <row r="3296">
          <cell r="C3296" t="str">
            <v>鄭珅易</v>
          </cell>
          <cell r="F3296" t="str">
            <v>K231101R1</v>
          </cell>
          <cell r="J3296">
            <v>45800</v>
          </cell>
          <cell r="K3296">
            <v>8</v>
          </cell>
        </row>
        <row r="3297">
          <cell r="C3297" t="str">
            <v>鄭珅易</v>
          </cell>
          <cell r="F3297" t="str">
            <v>K231101R1</v>
          </cell>
          <cell r="J3297">
            <v>45803</v>
          </cell>
          <cell r="K3297">
            <v>8</v>
          </cell>
        </row>
        <row r="3298">
          <cell r="C3298" t="str">
            <v>鄭珅易</v>
          </cell>
          <cell r="F3298" t="str">
            <v>K231101R1</v>
          </cell>
          <cell r="J3298">
            <v>45804</v>
          </cell>
          <cell r="K3298">
            <v>8</v>
          </cell>
        </row>
        <row r="3299">
          <cell r="C3299" t="str">
            <v>鄭珅易</v>
          </cell>
          <cell r="F3299" t="str">
            <v>K231101R1</v>
          </cell>
          <cell r="J3299">
            <v>45805</v>
          </cell>
          <cell r="K3299">
            <v>8</v>
          </cell>
        </row>
        <row r="3300">
          <cell r="C3300" t="str">
            <v>鄭珅易</v>
          </cell>
          <cell r="F3300" t="str">
            <v>K231101R1</v>
          </cell>
          <cell r="J3300">
            <v>45806</v>
          </cell>
          <cell r="K3300">
            <v>8</v>
          </cell>
        </row>
        <row r="3301">
          <cell r="C3301" t="str">
            <v>鄭珅易</v>
          </cell>
          <cell r="F3301" t="str">
            <v>K231101R1</v>
          </cell>
          <cell r="J3301">
            <v>45810</v>
          </cell>
          <cell r="K3301">
            <v>8</v>
          </cell>
        </row>
        <row r="3302">
          <cell r="C3302" t="str">
            <v>鄭珅易</v>
          </cell>
          <cell r="F3302" t="str">
            <v>K231101R1</v>
          </cell>
          <cell r="J3302">
            <v>45811</v>
          </cell>
          <cell r="K3302">
            <v>8</v>
          </cell>
        </row>
        <row r="3303">
          <cell r="C3303" t="str">
            <v>鄭珅易</v>
          </cell>
          <cell r="F3303" t="str">
            <v>K231101R1</v>
          </cell>
          <cell r="J3303">
            <v>45812</v>
          </cell>
          <cell r="K3303">
            <v>8</v>
          </cell>
        </row>
        <row r="3304">
          <cell r="C3304" t="str">
            <v>鄭珅易</v>
          </cell>
          <cell r="F3304" t="str">
            <v>K231101R1</v>
          </cell>
          <cell r="J3304">
            <v>45813</v>
          </cell>
          <cell r="K3304">
            <v>8</v>
          </cell>
        </row>
        <row r="3305">
          <cell r="C3305" t="str">
            <v>鄭珅易</v>
          </cell>
          <cell r="F3305" t="str">
            <v>K231101R1</v>
          </cell>
          <cell r="J3305">
            <v>45814</v>
          </cell>
          <cell r="K3305">
            <v>8</v>
          </cell>
        </row>
        <row r="3306">
          <cell r="C3306" t="str">
            <v>鄭珅易</v>
          </cell>
          <cell r="F3306" t="str">
            <v>K231101R1</v>
          </cell>
          <cell r="J3306">
            <v>45817</v>
          </cell>
          <cell r="K3306">
            <v>8</v>
          </cell>
        </row>
        <row r="3307">
          <cell r="C3307" t="str">
            <v>鄭珅易</v>
          </cell>
          <cell r="F3307" t="str">
            <v>K231101R1</v>
          </cell>
          <cell r="J3307">
            <v>45818</v>
          </cell>
          <cell r="K3307">
            <v>8</v>
          </cell>
        </row>
        <row r="3308">
          <cell r="C3308" t="str">
            <v>鄭珅易</v>
          </cell>
          <cell r="F3308" t="str">
            <v>K231101R1</v>
          </cell>
          <cell r="J3308">
            <v>45819</v>
          </cell>
          <cell r="K3308">
            <v>8</v>
          </cell>
        </row>
        <row r="3309">
          <cell r="C3309" t="str">
            <v>鄭珅易</v>
          </cell>
          <cell r="F3309" t="str">
            <v>K231101R1</v>
          </cell>
          <cell r="J3309">
            <v>45820</v>
          </cell>
          <cell r="K3309">
            <v>8</v>
          </cell>
        </row>
        <row r="3310">
          <cell r="C3310" t="str">
            <v>鄭珅易</v>
          </cell>
          <cell r="F3310" t="str">
            <v>K231101R1</v>
          </cell>
          <cell r="J3310">
            <v>45821</v>
          </cell>
          <cell r="K3310">
            <v>8</v>
          </cell>
        </row>
        <row r="3311">
          <cell r="C3311" t="str">
            <v>鄭珅易</v>
          </cell>
          <cell r="F3311" t="str">
            <v>K231101R1</v>
          </cell>
          <cell r="J3311">
            <v>45824</v>
          </cell>
          <cell r="K3311">
            <v>8</v>
          </cell>
        </row>
        <row r="3312">
          <cell r="C3312" t="str">
            <v>鄭珅易</v>
          </cell>
          <cell r="F3312" t="str">
            <v>K231101R1</v>
          </cell>
          <cell r="J3312">
            <v>45825</v>
          </cell>
          <cell r="K3312">
            <v>8</v>
          </cell>
        </row>
        <row r="3313">
          <cell r="C3313" t="str">
            <v>鄭珅易</v>
          </cell>
          <cell r="F3313" t="str">
            <v>K231101R1</v>
          </cell>
          <cell r="J3313">
            <v>45826</v>
          </cell>
          <cell r="K3313">
            <v>8</v>
          </cell>
        </row>
        <row r="3314">
          <cell r="C3314" t="str">
            <v>鄭珅易</v>
          </cell>
          <cell r="F3314" t="str">
            <v>K231101R1</v>
          </cell>
          <cell r="J3314">
            <v>45827</v>
          </cell>
          <cell r="K3314">
            <v>8</v>
          </cell>
        </row>
        <row r="3315">
          <cell r="C3315" t="str">
            <v>鄭珅易</v>
          </cell>
          <cell r="F3315" t="str">
            <v>K231101R1</v>
          </cell>
          <cell r="J3315">
            <v>45828</v>
          </cell>
          <cell r="K3315">
            <v>8</v>
          </cell>
        </row>
        <row r="3316">
          <cell r="C3316" t="str">
            <v>鄭珅易</v>
          </cell>
          <cell r="F3316" t="str">
            <v>K231101R1</v>
          </cell>
          <cell r="J3316">
            <v>45831</v>
          </cell>
          <cell r="K3316">
            <v>8</v>
          </cell>
        </row>
        <row r="3317">
          <cell r="C3317" t="str">
            <v>鄭珅易</v>
          </cell>
          <cell r="F3317" t="str">
            <v>K231101R1</v>
          </cell>
          <cell r="J3317">
            <v>45832</v>
          </cell>
          <cell r="K3317">
            <v>8</v>
          </cell>
        </row>
        <row r="3318">
          <cell r="C3318" t="str">
            <v>鄭珅易</v>
          </cell>
          <cell r="F3318" t="str">
            <v>K231101R1</v>
          </cell>
          <cell r="J3318">
            <v>45833</v>
          </cell>
          <cell r="K3318">
            <v>8</v>
          </cell>
        </row>
        <row r="3319">
          <cell r="C3319" t="str">
            <v>鄭珅易</v>
          </cell>
          <cell r="F3319" t="str">
            <v>K231101R1</v>
          </cell>
          <cell r="J3319">
            <v>45834</v>
          </cell>
          <cell r="K3319">
            <v>8</v>
          </cell>
        </row>
        <row r="3320">
          <cell r="C3320" t="str">
            <v>鄭珅易</v>
          </cell>
          <cell r="F3320" t="str">
            <v>K231101R1</v>
          </cell>
          <cell r="J3320">
            <v>45835</v>
          </cell>
          <cell r="K3320">
            <v>8</v>
          </cell>
        </row>
        <row r="3321">
          <cell r="C3321" t="str">
            <v>鄭珅易</v>
          </cell>
          <cell r="F3321" t="str">
            <v>K231101R1</v>
          </cell>
          <cell r="J3321">
            <v>45838</v>
          </cell>
          <cell r="K3321">
            <v>8</v>
          </cell>
        </row>
        <row r="3322">
          <cell r="C3322" t="str">
            <v>鄭珅易</v>
          </cell>
          <cell r="F3322" t="str">
            <v>K231101R1</v>
          </cell>
          <cell r="J3322">
            <v>45839</v>
          </cell>
          <cell r="K3322">
            <v>8</v>
          </cell>
        </row>
        <row r="3323">
          <cell r="C3323" t="str">
            <v>鄭珅易</v>
          </cell>
          <cell r="F3323" t="str">
            <v>K231101R1</v>
          </cell>
          <cell r="J3323">
            <v>45840</v>
          </cell>
          <cell r="K3323">
            <v>8</v>
          </cell>
        </row>
        <row r="3324">
          <cell r="C3324" t="str">
            <v>鄭珅易</v>
          </cell>
          <cell r="F3324" t="str">
            <v>K231101R1</v>
          </cell>
          <cell r="J3324">
            <v>45841</v>
          </cell>
          <cell r="K3324">
            <v>8</v>
          </cell>
        </row>
        <row r="3325">
          <cell r="C3325" t="str">
            <v>鄭珅易</v>
          </cell>
          <cell r="F3325" t="str">
            <v>K231101R1</v>
          </cell>
          <cell r="J3325">
            <v>45842</v>
          </cell>
          <cell r="K3325">
            <v>8</v>
          </cell>
        </row>
        <row r="3326">
          <cell r="C3326" t="str">
            <v>鄭珅易</v>
          </cell>
          <cell r="F3326" t="str">
            <v>K231101R1</v>
          </cell>
          <cell r="J3326">
            <v>45845</v>
          </cell>
          <cell r="K3326">
            <v>8</v>
          </cell>
        </row>
        <row r="3327">
          <cell r="C3327" t="str">
            <v>鄭珅易</v>
          </cell>
          <cell r="F3327" t="str">
            <v>K231101R1</v>
          </cell>
          <cell r="J3327">
            <v>45846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45847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45848</v>
          </cell>
          <cell r="K3329">
            <v>8</v>
          </cell>
        </row>
        <row r="3330">
          <cell r="C3330" t="str">
            <v>鄭珅易</v>
          </cell>
          <cell r="F3330" t="str">
            <v>K231101R1</v>
          </cell>
          <cell r="J3330">
            <v>45849</v>
          </cell>
          <cell r="K3330">
            <v>8</v>
          </cell>
        </row>
        <row r="3331">
          <cell r="C3331" t="str">
            <v>鄭珅易</v>
          </cell>
          <cell r="F3331" t="str">
            <v>K231101R1</v>
          </cell>
          <cell r="J3331">
            <v>45852</v>
          </cell>
          <cell r="K3331">
            <v>8</v>
          </cell>
        </row>
        <row r="3332">
          <cell r="C3332" t="str">
            <v>鄭珅易</v>
          </cell>
          <cell r="F3332" t="str">
            <v>K231101R1</v>
          </cell>
          <cell r="J3332">
            <v>45853</v>
          </cell>
          <cell r="K3332">
            <v>8</v>
          </cell>
        </row>
        <row r="3333">
          <cell r="C3333" t="str">
            <v>鄭珅易</v>
          </cell>
          <cell r="F3333" t="str">
            <v>K231101R1</v>
          </cell>
          <cell r="J3333">
            <v>45854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45855</v>
          </cell>
          <cell r="K3334">
            <v>8</v>
          </cell>
        </row>
        <row r="3335">
          <cell r="C3335" t="str">
            <v>鄭珅易</v>
          </cell>
          <cell r="F3335" t="str">
            <v>K240801R1</v>
          </cell>
          <cell r="J3335">
            <v>45856</v>
          </cell>
          <cell r="K3335">
            <v>8</v>
          </cell>
        </row>
        <row r="3336">
          <cell r="C3336" t="str">
            <v>鄭珅易</v>
          </cell>
          <cell r="F3336" t="str">
            <v>K240801R1</v>
          </cell>
          <cell r="J3336">
            <v>45859</v>
          </cell>
          <cell r="K3336">
            <v>8</v>
          </cell>
        </row>
        <row r="3337">
          <cell r="C3337" t="str">
            <v>鄭珅易</v>
          </cell>
          <cell r="F3337" t="str">
            <v>K240801R1</v>
          </cell>
          <cell r="J3337">
            <v>45860</v>
          </cell>
          <cell r="K3337">
            <v>8</v>
          </cell>
        </row>
        <row r="3338">
          <cell r="C3338" t="str">
            <v>鄭珅易</v>
          </cell>
          <cell r="F3338" t="str">
            <v>K240801R1</v>
          </cell>
          <cell r="J3338">
            <v>45861</v>
          </cell>
          <cell r="K3338">
            <v>8</v>
          </cell>
        </row>
        <row r="3339">
          <cell r="C3339" t="str">
            <v>鄭珅易</v>
          </cell>
          <cell r="F3339" t="str">
            <v>K240801R1</v>
          </cell>
          <cell r="J3339">
            <v>45862</v>
          </cell>
          <cell r="K3339">
            <v>8</v>
          </cell>
        </row>
        <row r="3340">
          <cell r="C3340" t="str">
            <v>鄭珅易</v>
          </cell>
          <cell r="F3340" t="str">
            <v>K240801R1</v>
          </cell>
          <cell r="J3340">
            <v>45863</v>
          </cell>
          <cell r="K3340">
            <v>8</v>
          </cell>
        </row>
        <row r="3341">
          <cell r="C3341" t="str">
            <v>鄭珅易</v>
          </cell>
          <cell r="F3341" t="str">
            <v>K240801R1</v>
          </cell>
          <cell r="J3341">
            <v>45866</v>
          </cell>
          <cell r="K3341">
            <v>8</v>
          </cell>
        </row>
        <row r="3342">
          <cell r="C3342" t="str">
            <v>鄭珅易</v>
          </cell>
          <cell r="F3342" t="str">
            <v>K240801R1</v>
          </cell>
          <cell r="J3342">
            <v>45867</v>
          </cell>
          <cell r="K3342">
            <v>8</v>
          </cell>
        </row>
        <row r="3343">
          <cell r="C3343" t="str">
            <v>鄭珅易</v>
          </cell>
          <cell r="F3343" t="str">
            <v>K240801R1</v>
          </cell>
          <cell r="J3343">
            <v>45868</v>
          </cell>
          <cell r="K3343">
            <v>8</v>
          </cell>
        </row>
        <row r="3344">
          <cell r="C3344" t="str">
            <v>鄭珅易</v>
          </cell>
          <cell r="F3344" t="str">
            <v>K240801R1</v>
          </cell>
          <cell r="J3344">
            <v>45869</v>
          </cell>
          <cell r="K3344">
            <v>8</v>
          </cell>
        </row>
        <row r="3345">
          <cell r="C3345" t="str">
            <v>鄭珅易</v>
          </cell>
          <cell r="F3345" t="str">
            <v>K231101R1</v>
          </cell>
          <cell r="J3345">
            <v>45870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45873</v>
          </cell>
          <cell r="K3346">
            <v>8</v>
          </cell>
        </row>
        <row r="3347">
          <cell r="C3347" t="str">
            <v>鄭珅易</v>
          </cell>
          <cell r="F3347" t="str">
            <v>K231101R1</v>
          </cell>
          <cell r="J3347">
            <v>45874</v>
          </cell>
          <cell r="K3347">
            <v>8</v>
          </cell>
        </row>
        <row r="3348">
          <cell r="C3348" t="str">
            <v>鄭珅易</v>
          </cell>
          <cell r="F3348" t="str">
            <v>K231101R1</v>
          </cell>
          <cell r="J3348">
            <v>45875</v>
          </cell>
          <cell r="K3348">
            <v>8</v>
          </cell>
        </row>
        <row r="3349">
          <cell r="C3349" t="str">
            <v>鄭珅易</v>
          </cell>
          <cell r="F3349" t="str">
            <v>K231101R1</v>
          </cell>
          <cell r="J3349">
            <v>45876</v>
          </cell>
          <cell r="K3349">
            <v>8</v>
          </cell>
        </row>
        <row r="3350">
          <cell r="C3350" t="str">
            <v>鄭珅易</v>
          </cell>
          <cell r="F3350" t="str">
            <v>K231101R1</v>
          </cell>
          <cell r="J3350">
            <v>45877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45880</v>
          </cell>
          <cell r="K3351">
            <v>5</v>
          </cell>
        </row>
        <row r="3352">
          <cell r="C3352" t="str">
            <v>鄭珅易</v>
          </cell>
          <cell r="F3352" t="str">
            <v>K231101R1</v>
          </cell>
          <cell r="J3352">
            <v>45881</v>
          </cell>
          <cell r="K3352">
            <v>8</v>
          </cell>
        </row>
        <row r="3353">
          <cell r="C3353" t="str">
            <v>鄭珅易</v>
          </cell>
          <cell r="F3353" t="str">
            <v>K231101R1</v>
          </cell>
          <cell r="J3353">
            <v>45882</v>
          </cell>
          <cell r="K3353">
            <v>8</v>
          </cell>
        </row>
        <row r="3354">
          <cell r="C3354" t="str">
            <v>鄭珅易</v>
          </cell>
          <cell r="F3354" t="str">
            <v>K231101R1</v>
          </cell>
          <cell r="J3354">
            <v>45883</v>
          </cell>
          <cell r="K3354">
            <v>8</v>
          </cell>
        </row>
        <row r="3355">
          <cell r="C3355" t="str">
            <v>鄭珅易</v>
          </cell>
          <cell r="F3355" t="str">
            <v>K231101R1</v>
          </cell>
          <cell r="J3355">
            <v>45884</v>
          </cell>
          <cell r="K3355">
            <v>8</v>
          </cell>
        </row>
        <row r="3356">
          <cell r="C3356" t="str">
            <v>鄭珅易</v>
          </cell>
          <cell r="F3356" t="str">
            <v>K231101R1</v>
          </cell>
          <cell r="J3356">
            <v>45887</v>
          </cell>
          <cell r="K3356">
            <v>8</v>
          </cell>
        </row>
        <row r="3357">
          <cell r="C3357" t="str">
            <v>鄭珅易</v>
          </cell>
          <cell r="F3357" t="str">
            <v>K231101R1</v>
          </cell>
          <cell r="J3357">
            <v>45888</v>
          </cell>
          <cell r="K3357">
            <v>8</v>
          </cell>
        </row>
        <row r="3358">
          <cell r="C3358" t="str">
            <v>鄭珅易</v>
          </cell>
          <cell r="F3358" t="str">
            <v>K231101R1</v>
          </cell>
          <cell r="J3358">
            <v>45889</v>
          </cell>
          <cell r="K3358">
            <v>8</v>
          </cell>
        </row>
        <row r="3359">
          <cell r="C3359" t="str">
            <v>鄭珅易</v>
          </cell>
          <cell r="F3359" t="str">
            <v>K231101R1</v>
          </cell>
          <cell r="J3359">
            <v>45890</v>
          </cell>
          <cell r="K3359">
            <v>8</v>
          </cell>
        </row>
        <row r="3360">
          <cell r="C3360" t="str">
            <v>鄭珅易</v>
          </cell>
          <cell r="F3360" t="str">
            <v>K231101R1</v>
          </cell>
          <cell r="J3360">
            <v>45891</v>
          </cell>
          <cell r="K3360">
            <v>8</v>
          </cell>
        </row>
        <row r="3361">
          <cell r="C3361" t="str">
            <v>鄭珅易</v>
          </cell>
          <cell r="J3361">
            <v>45894</v>
          </cell>
          <cell r="K3361">
            <v>0</v>
          </cell>
        </row>
        <row r="3362">
          <cell r="C3362" t="str">
            <v>鄭珅易</v>
          </cell>
          <cell r="F3362" t="str">
            <v>K231101R1</v>
          </cell>
          <cell r="J3362">
            <v>45895</v>
          </cell>
          <cell r="K3362">
            <v>8</v>
          </cell>
        </row>
        <row r="3363">
          <cell r="C3363" t="str">
            <v>鄭珅易</v>
          </cell>
          <cell r="F3363" t="str">
            <v>K231101R1</v>
          </cell>
          <cell r="J3363">
            <v>45896</v>
          </cell>
          <cell r="K3363">
            <v>8</v>
          </cell>
        </row>
        <row r="3364">
          <cell r="C3364" t="str">
            <v>鄭珅易</v>
          </cell>
          <cell r="F3364" t="str">
            <v>K231101R1</v>
          </cell>
          <cell r="J3364">
            <v>45897</v>
          </cell>
          <cell r="K3364">
            <v>8</v>
          </cell>
        </row>
        <row r="3365">
          <cell r="C3365" t="str">
            <v>鄭珅易</v>
          </cell>
          <cell r="F3365" t="str">
            <v>K231101R1</v>
          </cell>
          <cell r="J3365">
            <v>45898</v>
          </cell>
          <cell r="K3365">
            <v>8</v>
          </cell>
        </row>
        <row r="3366">
          <cell r="C3366" t="str">
            <v>鄭珅易</v>
          </cell>
          <cell r="F3366" t="str">
            <v>K231101R1</v>
          </cell>
          <cell r="J3366">
            <v>45901</v>
          </cell>
          <cell r="K3366">
            <v>8</v>
          </cell>
        </row>
        <row r="3367">
          <cell r="C3367" t="str">
            <v>鄭珅易</v>
          </cell>
          <cell r="F3367" t="str">
            <v>K231101R1</v>
          </cell>
          <cell r="J3367">
            <v>45902</v>
          </cell>
          <cell r="K3367">
            <v>8</v>
          </cell>
        </row>
        <row r="3368">
          <cell r="C3368" t="str">
            <v>鄭珅易</v>
          </cell>
          <cell r="F3368" t="str">
            <v>K231101R1</v>
          </cell>
          <cell r="J3368">
            <v>45903</v>
          </cell>
          <cell r="K3368">
            <v>8</v>
          </cell>
        </row>
        <row r="3369">
          <cell r="C3369" t="str">
            <v>鄭珅易</v>
          </cell>
          <cell r="F3369" t="str">
            <v>K231101R1</v>
          </cell>
          <cell r="J3369">
            <v>45904</v>
          </cell>
          <cell r="K3369">
            <v>8</v>
          </cell>
        </row>
        <row r="3370">
          <cell r="C3370" t="str">
            <v>鄭珅易</v>
          </cell>
          <cell r="F3370" t="str">
            <v>K231101R1</v>
          </cell>
          <cell r="J3370">
            <v>45905</v>
          </cell>
          <cell r="K3370">
            <v>8</v>
          </cell>
        </row>
        <row r="3371">
          <cell r="C3371" t="str">
            <v>鄭珅易</v>
          </cell>
          <cell r="F3371" t="str">
            <v>K231101R1</v>
          </cell>
          <cell r="J3371">
            <v>45908</v>
          </cell>
          <cell r="K3371">
            <v>8</v>
          </cell>
        </row>
        <row r="3372">
          <cell r="C3372" t="str">
            <v>鄭珅易</v>
          </cell>
          <cell r="F3372" t="str">
            <v>K231101R1</v>
          </cell>
          <cell r="J3372">
            <v>45909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45910</v>
          </cell>
          <cell r="K3373">
            <v>8</v>
          </cell>
        </row>
        <row r="3374">
          <cell r="C3374" t="str">
            <v>鄭珅易</v>
          </cell>
          <cell r="F3374" t="str">
            <v>K231101R1</v>
          </cell>
          <cell r="J3374">
            <v>45911</v>
          </cell>
          <cell r="K3374">
            <v>8</v>
          </cell>
        </row>
        <row r="3375">
          <cell r="C3375" t="str">
            <v>鄭珅易</v>
          </cell>
          <cell r="F3375" t="str">
            <v>K231101R1</v>
          </cell>
          <cell r="J3375">
            <v>45912</v>
          </cell>
          <cell r="K3375">
            <v>8</v>
          </cell>
        </row>
        <row r="3376">
          <cell r="C3376" t="str">
            <v>鄭珅易</v>
          </cell>
          <cell r="J3376">
            <v>45915</v>
          </cell>
          <cell r="K3376">
            <v>8</v>
          </cell>
        </row>
        <row r="3377">
          <cell r="C3377" t="str">
            <v>鄭珅易</v>
          </cell>
          <cell r="J3377">
            <v>45916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45917</v>
          </cell>
          <cell r="K3378">
            <v>8</v>
          </cell>
        </row>
        <row r="3379">
          <cell r="C3379" t="str">
            <v>鄭珅易</v>
          </cell>
          <cell r="F3379" t="str">
            <v>K231101R1</v>
          </cell>
          <cell r="J3379">
            <v>45918</v>
          </cell>
          <cell r="K3379">
            <v>8</v>
          </cell>
        </row>
        <row r="3380">
          <cell r="C3380" t="str">
            <v>鄭珅易</v>
          </cell>
          <cell r="F3380" t="str">
            <v>K231101R1</v>
          </cell>
          <cell r="J3380">
            <v>45919</v>
          </cell>
          <cell r="K3380">
            <v>8</v>
          </cell>
        </row>
        <row r="3381">
          <cell r="C3381" t="str">
            <v>鄭珅易</v>
          </cell>
          <cell r="F3381" t="str">
            <v>K231101R1</v>
          </cell>
          <cell r="J3381">
            <v>45922</v>
          </cell>
          <cell r="K3381">
            <v>8</v>
          </cell>
        </row>
        <row r="3382">
          <cell r="C3382" t="str">
            <v>鄭珅易</v>
          </cell>
          <cell r="F3382" t="str">
            <v>K231101R1</v>
          </cell>
          <cell r="J3382">
            <v>45923</v>
          </cell>
          <cell r="K3382">
            <v>8</v>
          </cell>
        </row>
        <row r="3383">
          <cell r="C3383" t="str">
            <v>鄭珅易</v>
          </cell>
          <cell r="F3383" t="str">
            <v>K231101R1</v>
          </cell>
          <cell r="J3383">
            <v>45924</v>
          </cell>
          <cell r="K3383">
            <v>8</v>
          </cell>
        </row>
        <row r="3384">
          <cell r="C3384" t="str">
            <v>鄭珅易</v>
          </cell>
          <cell r="F3384" t="str">
            <v>K231101R1</v>
          </cell>
          <cell r="J3384">
            <v>45925</v>
          </cell>
          <cell r="K3384">
            <v>8</v>
          </cell>
        </row>
        <row r="3385">
          <cell r="C3385" t="str">
            <v>鄭珅易</v>
          </cell>
          <cell r="F3385" t="str">
            <v>K231101R1</v>
          </cell>
          <cell r="J3385">
            <v>45926</v>
          </cell>
          <cell r="K3385">
            <v>8</v>
          </cell>
        </row>
        <row r="3386">
          <cell r="C3386" t="str">
            <v>鄭珅易</v>
          </cell>
          <cell r="F3386" t="str">
            <v>K231101R1</v>
          </cell>
          <cell r="J3386">
            <v>45930</v>
          </cell>
          <cell r="K3386">
            <v>8</v>
          </cell>
        </row>
        <row r="3387">
          <cell r="C3387" t="str">
            <v>鄭珅易</v>
          </cell>
          <cell r="F3387" t="str">
            <v>K231101R1</v>
          </cell>
          <cell r="J3387">
            <v>45931</v>
          </cell>
          <cell r="K3387">
            <v>8</v>
          </cell>
        </row>
        <row r="3388">
          <cell r="C3388" t="str">
            <v>鄭珅易</v>
          </cell>
          <cell r="F3388" t="str">
            <v>D250702R1</v>
          </cell>
          <cell r="J3388">
            <v>45932</v>
          </cell>
          <cell r="K3388">
            <v>8</v>
          </cell>
        </row>
        <row r="3389">
          <cell r="C3389" t="str">
            <v>鄭珅易</v>
          </cell>
          <cell r="F3389" t="str">
            <v>D250702R1</v>
          </cell>
          <cell r="J3389">
            <v>45933</v>
          </cell>
          <cell r="K3389">
            <v>8</v>
          </cell>
        </row>
        <row r="3390">
          <cell r="C3390" t="str">
            <v>鄭珅易</v>
          </cell>
          <cell r="F3390" t="str">
            <v>K231101R1</v>
          </cell>
          <cell r="J3390">
            <v>45937</v>
          </cell>
          <cell r="K3390">
            <v>8</v>
          </cell>
        </row>
        <row r="3391">
          <cell r="C3391" t="str">
            <v>鄭珅易</v>
          </cell>
          <cell r="F3391" t="str">
            <v>K240801R1</v>
          </cell>
          <cell r="J3391">
            <v>45938</v>
          </cell>
          <cell r="K3391">
            <v>8</v>
          </cell>
        </row>
        <row r="3392">
          <cell r="C3392" t="str">
            <v>鄭珅易</v>
          </cell>
          <cell r="F3392" t="str">
            <v>D250702R1</v>
          </cell>
          <cell r="J3392">
            <v>45939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45943</v>
          </cell>
          <cell r="K3393">
            <v>8</v>
          </cell>
        </row>
        <row r="3394">
          <cell r="C3394" t="str">
            <v>鄭珅易</v>
          </cell>
          <cell r="F3394" t="str">
            <v>K231101R1</v>
          </cell>
          <cell r="J3394">
            <v>45944</v>
          </cell>
          <cell r="K3394">
            <v>8</v>
          </cell>
        </row>
        <row r="3395">
          <cell r="C3395" t="str">
            <v>鄭珅易</v>
          </cell>
          <cell r="F3395" t="str">
            <v>K231101R1</v>
          </cell>
          <cell r="J3395">
            <v>45945</v>
          </cell>
          <cell r="K3395">
            <v>8</v>
          </cell>
        </row>
        <row r="3396">
          <cell r="C3396" t="str">
            <v>鄭珅易</v>
          </cell>
          <cell r="F3396" t="str">
            <v>K231101R1</v>
          </cell>
          <cell r="J3396">
            <v>45946</v>
          </cell>
          <cell r="K3396">
            <v>8</v>
          </cell>
        </row>
        <row r="3397">
          <cell r="C3397" t="str">
            <v>鄭珅易</v>
          </cell>
          <cell r="F3397" t="str">
            <v>K231101R1</v>
          </cell>
          <cell r="J3397">
            <v>45947</v>
          </cell>
          <cell r="K3397">
            <v>8</v>
          </cell>
        </row>
        <row r="3398">
          <cell r="C3398" t="str">
            <v>鄭珅易</v>
          </cell>
          <cell r="F3398" t="str">
            <v>K231101R1</v>
          </cell>
          <cell r="J3398">
            <v>45950</v>
          </cell>
          <cell r="K3398">
            <v>8</v>
          </cell>
        </row>
        <row r="3399">
          <cell r="C3399" t="str">
            <v>鄭珅易</v>
          </cell>
          <cell r="F3399" t="str">
            <v>K231101R1</v>
          </cell>
          <cell r="J3399">
            <v>45951</v>
          </cell>
          <cell r="K3399">
            <v>8</v>
          </cell>
        </row>
        <row r="3400">
          <cell r="C3400" t="str">
            <v>鄭珅易</v>
          </cell>
          <cell r="F3400" t="str">
            <v>K231101R1</v>
          </cell>
          <cell r="J3400">
            <v>45952</v>
          </cell>
          <cell r="K3400">
            <v>8</v>
          </cell>
        </row>
        <row r="3401">
          <cell r="C3401" t="str">
            <v>鄭珅易</v>
          </cell>
          <cell r="F3401" t="str">
            <v>K231101R1</v>
          </cell>
          <cell r="J3401">
            <v>45957</v>
          </cell>
          <cell r="K3401">
            <v>8</v>
          </cell>
        </row>
        <row r="3402">
          <cell r="C3402" t="str">
            <v>鄭珅易</v>
          </cell>
          <cell r="F3402" t="str">
            <v>K231101R1</v>
          </cell>
          <cell r="J3402">
            <v>45958</v>
          </cell>
          <cell r="K3402">
            <v>8</v>
          </cell>
        </row>
        <row r="3403">
          <cell r="C3403" t="str">
            <v>鄭珅易</v>
          </cell>
          <cell r="F3403" t="str">
            <v>K231101R1</v>
          </cell>
          <cell r="J3403">
            <v>45959</v>
          </cell>
          <cell r="K3403">
            <v>8</v>
          </cell>
        </row>
        <row r="3404">
          <cell r="C3404" t="str">
            <v>鄭珅易</v>
          </cell>
          <cell r="F3404" t="str">
            <v>K231101R1</v>
          </cell>
          <cell r="J3404">
            <v>45960</v>
          </cell>
          <cell r="K3404">
            <v>8</v>
          </cell>
        </row>
        <row r="3405">
          <cell r="C3405" t="str">
            <v>鄭珅易</v>
          </cell>
          <cell r="F3405" t="str">
            <v>K231101R1</v>
          </cell>
          <cell r="J3405">
            <v>45961</v>
          </cell>
          <cell r="K3405">
            <v>8</v>
          </cell>
        </row>
        <row r="3406">
          <cell r="C3406" t="str">
            <v>鄭珅易</v>
          </cell>
          <cell r="F3406" t="str">
            <v>K231101R1</v>
          </cell>
          <cell r="J3406">
            <v>45964</v>
          </cell>
          <cell r="K3406">
            <v>8</v>
          </cell>
        </row>
        <row r="3407">
          <cell r="C3407" t="str">
            <v>鄭珅易</v>
          </cell>
          <cell r="F3407" t="str">
            <v>K240801R1</v>
          </cell>
          <cell r="J3407">
            <v>45965</v>
          </cell>
          <cell r="K3407">
            <v>8</v>
          </cell>
        </row>
        <row r="3408">
          <cell r="C3408" t="str">
            <v>鄭珅易</v>
          </cell>
          <cell r="F3408" t="str">
            <v>K240801R1</v>
          </cell>
          <cell r="J3408">
            <v>45966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45967</v>
          </cell>
          <cell r="K3409">
            <v>8</v>
          </cell>
        </row>
        <row r="3410">
          <cell r="C3410" t="str">
            <v>鄭珅易</v>
          </cell>
          <cell r="F3410" t="str">
            <v>K240801R1</v>
          </cell>
          <cell r="J3410">
            <v>45968</v>
          </cell>
          <cell r="K3410">
            <v>8</v>
          </cell>
        </row>
        <row r="3411">
          <cell r="C3411" t="str">
            <v>鄭珅易</v>
          </cell>
          <cell r="F3411" t="str">
            <v>K231101R1</v>
          </cell>
          <cell r="J3411">
            <v>45971</v>
          </cell>
          <cell r="K3411">
            <v>4</v>
          </cell>
        </row>
        <row r="3412">
          <cell r="C3412" t="str">
            <v>鄭珅易</v>
          </cell>
          <cell r="F3412" t="str">
            <v>K231101R1</v>
          </cell>
          <cell r="J3412">
            <v>45972</v>
          </cell>
          <cell r="K3412">
            <v>8</v>
          </cell>
        </row>
        <row r="3413">
          <cell r="C3413" t="str">
            <v>鄭珅易</v>
          </cell>
          <cell r="F3413" t="str">
            <v>K241001R1</v>
          </cell>
          <cell r="J3413">
            <v>45973</v>
          </cell>
          <cell r="K3413">
            <v>8</v>
          </cell>
        </row>
        <row r="3414">
          <cell r="C3414" t="str">
            <v>鄭珅易</v>
          </cell>
          <cell r="F3414" t="str">
            <v>K240801R1</v>
          </cell>
          <cell r="J3414">
            <v>45974</v>
          </cell>
          <cell r="K3414">
            <v>8</v>
          </cell>
        </row>
        <row r="3415">
          <cell r="C3415" t="str">
            <v>鄭珅易</v>
          </cell>
          <cell r="F3415" t="str">
            <v>K241001R1</v>
          </cell>
          <cell r="J3415">
            <v>45975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45978</v>
          </cell>
          <cell r="K3416">
            <v>8</v>
          </cell>
        </row>
        <row r="3417">
          <cell r="C3417" t="str">
            <v>鄭珅易</v>
          </cell>
          <cell r="F3417" t="str">
            <v>K231101R1</v>
          </cell>
          <cell r="J3417">
            <v>45979</v>
          </cell>
          <cell r="K3417">
            <v>8</v>
          </cell>
        </row>
        <row r="3418">
          <cell r="C3418" t="str">
            <v>鄭珅易</v>
          </cell>
          <cell r="F3418" t="str">
            <v>K231101R1</v>
          </cell>
          <cell r="J3418">
            <v>45980</v>
          </cell>
          <cell r="K3418">
            <v>8</v>
          </cell>
        </row>
        <row r="3419">
          <cell r="C3419" t="str">
            <v>鄭珅易</v>
          </cell>
          <cell r="F3419" t="str">
            <v>K231101R1</v>
          </cell>
          <cell r="J3419">
            <v>45981</v>
          </cell>
          <cell r="K3419">
            <v>8</v>
          </cell>
        </row>
        <row r="3420">
          <cell r="C3420" t="str">
            <v>鄭珅易</v>
          </cell>
          <cell r="F3420" t="str">
            <v>K231101R1</v>
          </cell>
          <cell r="J3420">
            <v>45982</v>
          </cell>
          <cell r="K3420">
            <v>8</v>
          </cell>
        </row>
        <row r="3421">
          <cell r="C3421" t="str">
            <v>鄭珅易</v>
          </cell>
          <cell r="F3421" t="str">
            <v>K231101R1</v>
          </cell>
          <cell r="J3421">
            <v>45985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45986</v>
          </cell>
          <cell r="K3422">
            <v>8</v>
          </cell>
        </row>
        <row r="3423">
          <cell r="C3423" t="str">
            <v>鄭珅易</v>
          </cell>
          <cell r="F3423" t="str">
            <v>K240801R1</v>
          </cell>
          <cell r="J3423">
            <v>45987</v>
          </cell>
          <cell r="K3423">
            <v>8</v>
          </cell>
        </row>
        <row r="3424">
          <cell r="C3424" t="str">
            <v>鄭珅易</v>
          </cell>
          <cell r="F3424" t="str">
            <v>K240801R1</v>
          </cell>
          <cell r="J3424">
            <v>45988</v>
          </cell>
          <cell r="K3424">
            <v>8</v>
          </cell>
        </row>
        <row r="3425">
          <cell r="C3425" t="str">
            <v>鄭珅易</v>
          </cell>
          <cell r="F3425" t="str">
            <v>K240801R1</v>
          </cell>
          <cell r="J3425">
            <v>45989</v>
          </cell>
          <cell r="K3425">
            <v>8</v>
          </cell>
        </row>
        <row r="3426">
          <cell r="C3426" t="str">
            <v>鄭珅易</v>
          </cell>
          <cell r="F3426" t="str">
            <v>K240801R1</v>
          </cell>
          <cell r="J3426">
            <v>45992</v>
          </cell>
          <cell r="K3426">
            <v>8</v>
          </cell>
        </row>
        <row r="3427">
          <cell r="C3427" t="str">
            <v>鄭珅易</v>
          </cell>
          <cell r="F3427" t="str">
            <v>K240801R1</v>
          </cell>
          <cell r="J3427">
            <v>45993</v>
          </cell>
          <cell r="K3427">
            <v>8</v>
          </cell>
        </row>
        <row r="3428">
          <cell r="C3428" t="str">
            <v>鄭珅易</v>
          </cell>
          <cell r="F3428" t="str">
            <v>K240801R2</v>
          </cell>
          <cell r="J3428">
            <v>45994</v>
          </cell>
          <cell r="K3428">
            <v>8</v>
          </cell>
        </row>
        <row r="3429">
          <cell r="C3429" t="str">
            <v>鄭珅易</v>
          </cell>
          <cell r="F3429" t="str">
            <v>K240801R2</v>
          </cell>
          <cell r="J3429">
            <v>45995</v>
          </cell>
          <cell r="K3429">
            <v>8</v>
          </cell>
        </row>
        <row r="3430">
          <cell r="C3430" t="str">
            <v>鄭珅易</v>
          </cell>
          <cell r="J3430">
            <v>45996</v>
          </cell>
          <cell r="K3430">
            <v>8</v>
          </cell>
        </row>
        <row r="3431">
          <cell r="C3431" t="str">
            <v>鄭珅易</v>
          </cell>
          <cell r="F3431" t="str">
            <v>D250702R1</v>
          </cell>
          <cell r="J3431">
            <v>45999</v>
          </cell>
          <cell r="K3431">
            <v>8</v>
          </cell>
        </row>
        <row r="3432">
          <cell r="C3432" t="str">
            <v>鄭珅易</v>
          </cell>
          <cell r="F3432" t="str">
            <v>K240801R2</v>
          </cell>
          <cell r="J3432">
            <v>46000</v>
          </cell>
          <cell r="K3432">
            <v>8</v>
          </cell>
        </row>
        <row r="3433">
          <cell r="C3433" t="str">
            <v>鄭珅易</v>
          </cell>
          <cell r="F3433" t="str">
            <v>K240801R2</v>
          </cell>
          <cell r="J3433">
            <v>46001</v>
          </cell>
          <cell r="K3433">
            <v>8</v>
          </cell>
        </row>
        <row r="3434">
          <cell r="C3434" t="str">
            <v>鄭珅易</v>
          </cell>
          <cell r="F3434" t="str">
            <v>K240801R1</v>
          </cell>
          <cell r="J3434">
            <v>46002</v>
          </cell>
          <cell r="K3434">
            <v>8</v>
          </cell>
        </row>
        <row r="3435">
          <cell r="C3435" t="str">
            <v>鄭珅易</v>
          </cell>
          <cell r="F3435" t="str">
            <v>K240801R1</v>
          </cell>
          <cell r="J3435">
            <v>46003</v>
          </cell>
          <cell r="K3435">
            <v>8</v>
          </cell>
        </row>
        <row r="3436">
          <cell r="C3436" t="str">
            <v>鄭珅易</v>
          </cell>
          <cell r="F3436" t="str">
            <v>K240801R2</v>
          </cell>
          <cell r="J3436">
            <v>46006</v>
          </cell>
          <cell r="K3436">
            <v>8</v>
          </cell>
        </row>
        <row r="3437">
          <cell r="C3437" t="str">
            <v>鄭珅易</v>
          </cell>
          <cell r="F3437" t="str">
            <v>K240801R2</v>
          </cell>
          <cell r="J3437">
            <v>46007</v>
          </cell>
          <cell r="K3437">
            <v>8</v>
          </cell>
        </row>
        <row r="3438">
          <cell r="C3438" t="str">
            <v>鄭珅易</v>
          </cell>
          <cell r="F3438" t="str">
            <v>K240801R2</v>
          </cell>
          <cell r="J3438">
            <v>46008</v>
          </cell>
          <cell r="K3438">
            <v>8</v>
          </cell>
        </row>
        <row r="3439">
          <cell r="C3439" t="str">
            <v>鄭珅易</v>
          </cell>
          <cell r="F3439" t="str">
            <v>K240801R2</v>
          </cell>
          <cell r="J3439">
            <v>46009</v>
          </cell>
          <cell r="K3439">
            <v>8</v>
          </cell>
        </row>
        <row r="3440">
          <cell r="C3440" t="str">
            <v>鄭珅易</v>
          </cell>
          <cell r="F3440" t="str">
            <v>K240801R2</v>
          </cell>
          <cell r="J3440">
            <v>46010</v>
          </cell>
          <cell r="K3440">
            <v>8</v>
          </cell>
        </row>
        <row r="3441">
          <cell r="C3441" t="str">
            <v>鄭珅易</v>
          </cell>
          <cell r="J3441">
            <v>46013</v>
          </cell>
          <cell r="K3441">
            <v>0</v>
          </cell>
        </row>
        <row r="3442">
          <cell r="C3442" t="str">
            <v>鄭珅易</v>
          </cell>
          <cell r="F3442" t="str">
            <v>K240801R2</v>
          </cell>
          <cell r="J3442">
            <v>46014</v>
          </cell>
          <cell r="K3442">
            <v>8</v>
          </cell>
        </row>
        <row r="3443">
          <cell r="C3443" t="str">
            <v>鄭珅易</v>
          </cell>
          <cell r="F3443" t="str">
            <v>K240801R2</v>
          </cell>
          <cell r="J3443">
            <v>46015</v>
          </cell>
          <cell r="K3443">
            <v>8</v>
          </cell>
        </row>
        <row r="3444">
          <cell r="C3444" t="str">
            <v>鄭珅易</v>
          </cell>
          <cell r="J3444">
            <v>46017</v>
          </cell>
          <cell r="K3444">
            <v>0</v>
          </cell>
        </row>
        <row r="3445">
          <cell r="C3445" t="str">
            <v>鄭珅易</v>
          </cell>
          <cell r="F3445" t="str">
            <v>K240801R2</v>
          </cell>
          <cell r="J3445">
            <v>46020</v>
          </cell>
          <cell r="K3445">
            <v>8</v>
          </cell>
        </row>
        <row r="3446">
          <cell r="C3446" t="str">
            <v>鄭珅易</v>
          </cell>
          <cell r="F3446" t="str">
            <v>K240801R2</v>
          </cell>
          <cell r="J3446">
            <v>46021</v>
          </cell>
          <cell r="K3446">
            <v>8</v>
          </cell>
        </row>
        <row r="3447">
          <cell r="C3447" t="str">
            <v>鄭珅易</v>
          </cell>
          <cell r="J3447">
            <v>46022</v>
          </cell>
          <cell r="K3447">
            <v>0</v>
          </cell>
        </row>
        <row r="3448">
          <cell r="C3448" t="str">
            <v>鄭珅易</v>
          </cell>
          <cell r="F3448" t="str">
            <v>K240801R2</v>
          </cell>
          <cell r="J3448">
            <v>46024</v>
          </cell>
          <cell r="K3448">
            <v>8</v>
          </cell>
        </row>
        <row r="3449">
          <cell r="C3449" t="str">
            <v>鄭珅易</v>
          </cell>
          <cell r="F3449" t="str">
            <v>K240801R2</v>
          </cell>
          <cell r="J3449">
            <v>46027</v>
          </cell>
          <cell r="K3449">
            <v>8</v>
          </cell>
        </row>
        <row r="3450">
          <cell r="C3450" t="str">
            <v>鄭珅易</v>
          </cell>
          <cell r="F3450" t="str">
            <v>K240801R2</v>
          </cell>
          <cell r="J3450">
            <v>46028</v>
          </cell>
          <cell r="K3450">
            <v>8</v>
          </cell>
        </row>
        <row r="3451">
          <cell r="C3451" t="str">
            <v>鄭珅易</v>
          </cell>
          <cell r="F3451" t="str">
            <v>K240801R2</v>
          </cell>
          <cell r="J3451">
            <v>46029</v>
          </cell>
          <cell r="K3451">
            <v>8</v>
          </cell>
        </row>
        <row r="3452">
          <cell r="C3452" t="str">
            <v>鄭珅易</v>
          </cell>
          <cell r="F3452" t="str">
            <v>K240801R2</v>
          </cell>
          <cell r="J3452">
            <v>46030</v>
          </cell>
          <cell r="K3452">
            <v>8</v>
          </cell>
        </row>
        <row r="3453">
          <cell r="C3453" t="str">
            <v>鄭珅易</v>
          </cell>
          <cell r="F3453" t="str">
            <v>K240801R2</v>
          </cell>
          <cell r="J3453">
            <v>46031</v>
          </cell>
          <cell r="K3453">
            <v>8</v>
          </cell>
        </row>
        <row r="3454">
          <cell r="C3454" t="str">
            <v>鄭珅易</v>
          </cell>
          <cell r="F3454" t="str">
            <v>K240801R2</v>
          </cell>
          <cell r="J3454">
            <v>46034</v>
          </cell>
          <cell r="K3454">
            <v>8</v>
          </cell>
        </row>
        <row r="3455">
          <cell r="C3455" t="str">
            <v>鄭珅易</v>
          </cell>
          <cell r="F3455" t="str">
            <v>K240801R2</v>
          </cell>
          <cell r="J3455">
            <v>46035</v>
          </cell>
          <cell r="K3455">
            <v>8</v>
          </cell>
        </row>
        <row r="3456">
          <cell r="C3456" t="str">
            <v>鄭珅易</v>
          </cell>
          <cell r="F3456" t="str">
            <v>K240801R2</v>
          </cell>
          <cell r="J3456">
            <v>46036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46037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46038</v>
          </cell>
          <cell r="K3458">
            <v>8</v>
          </cell>
        </row>
        <row r="3459">
          <cell r="C3459" t="str">
            <v>鄭珅易</v>
          </cell>
          <cell r="F3459" t="str">
            <v>K240801R2</v>
          </cell>
          <cell r="J3459">
            <v>46041</v>
          </cell>
          <cell r="K3459">
            <v>8</v>
          </cell>
        </row>
        <row r="3460">
          <cell r="C3460" t="str">
            <v>鄭珅易</v>
          </cell>
          <cell r="F3460" t="str">
            <v>K240801R2</v>
          </cell>
          <cell r="J3460">
            <v>46042</v>
          </cell>
          <cell r="K3460">
            <v>8</v>
          </cell>
        </row>
        <row r="3461">
          <cell r="C3461" t="str">
            <v>鄭珅易</v>
          </cell>
          <cell r="J3461">
            <v>46043</v>
          </cell>
          <cell r="K3461">
            <v>8</v>
          </cell>
        </row>
        <row r="3462">
          <cell r="C3462" t="str">
            <v>鄭珅易</v>
          </cell>
          <cell r="F3462" t="str">
            <v>K240801R2</v>
          </cell>
          <cell r="J3462">
            <v>46044</v>
          </cell>
          <cell r="K3462">
            <v>8</v>
          </cell>
        </row>
        <row r="3463">
          <cell r="C3463" t="str">
            <v>鄭珅易</v>
          </cell>
          <cell r="F3463" t="str">
            <v>K240801R2</v>
          </cell>
          <cell r="J3463">
            <v>46045</v>
          </cell>
          <cell r="K3463">
            <v>8</v>
          </cell>
        </row>
        <row r="3464">
          <cell r="C3464" t="str">
            <v>鄭珅易</v>
          </cell>
          <cell r="F3464" t="str">
            <v>K240801R2</v>
          </cell>
          <cell r="J3464">
            <v>46048</v>
          </cell>
          <cell r="K3464">
            <v>8</v>
          </cell>
        </row>
        <row r="3465">
          <cell r="C3465" t="str">
            <v>鄭珅易</v>
          </cell>
          <cell r="F3465" t="str">
            <v>K240801R2</v>
          </cell>
          <cell r="J3465">
            <v>46049</v>
          </cell>
          <cell r="K3465">
            <v>8</v>
          </cell>
        </row>
        <row r="3466">
          <cell r="C3466" t="str">
            <v>鄭珅易</v>
          </cell>
          <cell r="F3466" t="str">
            <v>K240801R2</v>
          </cell>
          <cell r="J3466">
            <v>46050</v>
          </cell>
          <cell r="K3466">
            <v>8</v>
          </cell>
        </row>
        <row r="3467">
          <cell r="C3467" t="str">
            <v>鄭珅易</v>
          </cell>
          <cell r="F3467" t="str">
            <v>K240801R2</v>
          </cell>
          <cell r="J3467">
            <v>46051</v>
          </cell>
          <cell r="K3467">
            <v>8</v>
          </cell>
        </row>
        <row r="3468">
          <cell r="C3468" t="str">
            <v>鄭珅易</v>
          </cell>
          <cell r="F3468" t="str">
            <v>K240801R2</v>
          </cell>
          <cell r="J3468">
            <v>46052</v>
          </cell>
          <cell r="K3468">
            <v>8</v>
          </cell>
        </row>
        <row r="3469">
          <cell r="C3469" t="str">
            <v>鄭珅易</v>
          </cell>
          <cell r="J3469">
            <v>46055</v>
          </cell>
          <cell r="K3469">
            <v>0</v>
          </cell>
        </row>
        <row r="3470">
          <cell r="C3470" t="str">
            <v>鄭珅易</v>
          </cell>
          <cell r="F3470" t="str">
            <v>K240801R2</v>
          </cell>
          <cell r="J3470">
            <v>46056</v>
          </cell>
          <cell r="K3470">
            <v>8</v>
          </cell>
        </row>
        <row r="3471">
          <cell r="C3471" t="str">
            <v>鄭珅易</v>
          </cell>
          <cell r="F3471" t="str">
            <v>K240801R2</v>
          </cell>
          <cell r="J3471">
            <v>46057</v>
          </cell>
          <cell r="K3471">
            <v>8</v>
          </cell>
        </row>
        <row r="3472">
          <cell r="C3472" t="str">
            <v>鄭珅易</v>
          </cell>
          <cell r="F3472" t="str">
            <v>K240801R2</v>
          </cell>
          <cell r="J3472">
            <v>46058</v>
          </cell>
          <cell r="K3472">
            <v>8</v>
          </cell>
        </row>
        <row r="3473">
          <cell r="C3473" t="str">
            <v>鄭珅易</v>
          </cell>
          <cell r="F3473" t="str">
            <v>K240801R2</v>
          </cell>
          <cell r="J3473">
            <v>46059</v>
          </cell>
          <cell r="K3473">
            <v>8</v>
          </cell>
        </row>
        <row r="3474">
          <cell r="C3474" t="str">
            <v>鄭珅易</v>
          </cell>
          <cell r="F3474" t="str">
            <v>K240801R2</v>
          </cell>
          <cell r="J3474">
            <v>46062</v>
          </cell>
          <cell r="K3474">
            <v>8</v>
          </cell>
        </row>
        <row r="3475">
          <cell r="C3475" t="str">
            <v>鄭珅易</v>
          </cell>
          <cell r="F3475" t="str">
            <v>K240801R2</v>
          </cell>
          <cell r="J3475">
            <v>46063</v>
          </cell>
          <cell r="K3475">
            <v>8</v>
          </cell>
        </row>
        <row r="3476">
          <cell r="C3476" t="str">
            <v>鄭珅易</v>
          </cell>
          <cell r="F3476" t="str">
            <v>K240801R2</v>
          </cell>
          <cell r="J3476">
            <v>46064</v>
          </cell>
          <cell r="K3476">
            <v>8</v>
          </cell>
        </row>
        <row r="3477">
          <cell r="C3477" t="str">
            <v>鄭珅易</v>
          </cell>
          <cell r="F3477" t="str">
            <v>K240801R2</v>
          </cell>
          <cell r="J3477">
            <v>46065</v>
          </cell>
          <cell r="K3477">
            <v>8</v>
          </cell>
        </row>
        <row r="3478">
          <cell r="C3478" t="str">
            <v>鄭珅易</v>
          </cell>
          <cell r="F3478" t="str">
            <v>K240801R2</v>
          </cell>
          <cell r="J3478">
            <v>46066</v>
          </cell>
          <cell r="K3478">
            <v>8</v>
          </cell>
        </row>
        <row r="3479">
          <cell r="C3479" t="str">
            <v>鄭珅易</v>
          </cell>
          <cell r="F3479" t="str">
            <v>K240801R2</v>
          </cell>
          <cell r="J3479">
            <v>46076</v>
          </cell>
          <cell r="K3479">
            <v>8</v>
          </cell>
        </row>
        <row r="3480">
          <cell r="C3480" t="str">
            <v>鄭珅易</v>
          </cell>
          <cell r="F3480" t="str">
            <v>K240801R2</v>
          </cell>
          <cell r="J3480">
            <v>46077</v>
          </cell>
          <cell r="K3480">
            <v>8</v>
          </cell>
        </row>
        <row r="3481">
          <cell r="C3481" t="str">
            <v>鄭珅易</v>
          </cell>
          <cell r="F3481" t="str">
            <v>K240801R2</v>
          </cell>
          <cell r="J3481">
            <v>46078</v>
          </cell>
          <cell r="K3481">
            <v>8</v>
          </cell>
        </row>
        <row r="3482">
          <cell r="C3482" t="str">
            <v>鄭珅易</v>
          </cell>
          <cell r="F3482" t="str">
            <v>K240801R2</v>
          </cell>
          <cell r="J3482">
            <v>46079</v>
          </cell>
          <cell r="K3482">
            <v>8</v>
          </cell>
        </row>
        <row r="3483">
          <cell r="C3483" t="str">
            <v>鄭珅易</v>
          </cell>
          <cell r="F3483" t="str">
            <v>K240801R2</v>
          </cell>
          <cell r="J3483">
            <v>46083</v>
          </cell>
          <cell r="K3483">
            <v>8</v>
          </cell>
        </row>
        <row r="3484">
          <cell r="C3484" t="str">
            <v>鄭珅易</v>
          </cell>
          <cell r="F3484" t="str">
            <v>K240801R2</v>
          </cell>
          <cell r="J3484">
            <v>46084</v>
          </cell>
          <cell r="K3484">
            <v>8</v>
          </cell>
        </row>
        <row r="3485">
          <cell r="C3485" t="str">
            <v>鄭珅易</v>
          </cell>
          <cell r="F3485" t="str">
            <v>K240801R2</v>
          </cell>
          <cell r="J3485">
            <v>46085</v>
          </cell>
          <cell r="K3485">
            <v>8</v>
          </cell>
        </row>
        <row r="3486">
          <cell r="C3486" t="str">
            <v>鄭珅易</v>
          </cell>
          <cell r="F3486" t="str">
            <v>K240801R2</v>
          </cell>
          <cell r="J3486">
            <v>46086</v>
          </cell>
          <cell r="K3486">
            <v>8</v>
          </cell>
        </row>
        <row r="3487">
          <cell r="C3487" t="str">
            <v>鄭珅易</v>
          </cell>
          <cell r="F3487" t="str">
            <v>K240801R2</v>
          </cell>
          <cell r="J3487">
            <v>46087</v>
          </cell>
          <cell r="K3487">
            <v>8</v>
          </cell>
        </row>
        <row r="3488">
          <cell r="C3488" t="str">
            <v>鄭珅易</v>
          </cell>
          <cell r="F3488" t="str">
            <v>K240801R2</v>
          </cell>
          <cell r="J3488">
            <v>46090</v>
          </cell>
          <cell r="K3488">
            <v>8</v>
          </cell>
        </row>
        <row r="3489">
          <cell r="C3489" t="str">
            <v>鄭珅易</v>
          </cell>
          <cell r="F3489" t="str">
            <v>K240801R2</v>
          </cell>
          <cell r="J3489">
            <v>46091</v>
          </cell>
          <cell r="K3489">
            <v>8</v>
          </cell>
        </row>
        <row r="3490">
          <cell r="C3490" t="str">
            <v>鄭珅易</v>
          </cell>
          <cell r="F3490" t="str">
            <v>K240801R2</v>
          </cell>
          <cell r="J3490">
            <v>46092</v>
          </cell>
          <cell r="K3490">
            <v>8</v>
          </cell>
        </row>
        <row r="3491">
          <cell r="C3491" t="str">
            <v>鄭珅易</v>
          </cell>
          <cell r="F3491" t="str">
            <v>K240801R2</v>
          </cell>
          <cell r="J3491">
            <v>46093</v>
          </cell>
          <cell r="K3491">
            <v>8</v>
          </cell>
        </row>
        <row r="3492">
          <cell r="C3492" t="str">
            <v>鄭珅易</v>
          </cell>
          <cell r="F3492" t="str">
            <v>K231101R1</v>
          </cell>
          <cell r="J3492">
            <v>46094</v>
          </cell>
          <cell r="K3492">
            <v>8</v>
          </cell>
        </row>
        <row r="3493">
          <cell r="C3493" t="str">
            <v>鄭珅易</v>
          </cell>
          <cell r="F3493" t="str">
            <v>K231101R1</v>
          </cell>
          <cell r="J3493">
            <v>46097</v>
          </cell>
          <cell r="K3493">
            <v>8</v>
          </cell>
        </row>
        <row r="3494">
          <cell r="C3494" t="str">
            <v>鄭珅易</v>
          </cell>
          <cell r="F3494" t="str">
            <v>K231101R1</v>
          </cell>
          <cell r="J3494">
            <v>46098</v>
          </cell>
          <cell r="K3494">
            <v>8</v>
          </cell>
        </row>
        <row r="3495">
          <cell r="C3495" t="str">
            <v>鄭珅易</v>
          </cell>
          <cell r="F3495" t="str">
            <v>K240801R2</v>
          </cell>
          <cell r="J3495">
            <v>46099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46100</v>
          </cell>
          <cell r="K3496">
            <v>8</v>
          </cell>
        </row>
        <row r="3497">
          <cell r="C3497" t="str">
            <v>鄭珅易</v>
          </cell>
          <cell r="F3497" t="str">
            <v>K240801R2</v>
          </cell>
          <cell r="J3497">
            <v>46101</v>
          </cell>
          <cell r="K3497">
            <v>8</v>
          </cell>
        </row>
        <row r="3498">
          <cell r="C3498" t="str">
            <v>鄭珅易</v>
          </cell>
          <cell r="J3498">
            <v>46104</v>
          </cell>
          <cell r="K3498">
            <v>8</v>
          </cell>
        </row>
        <row r="3499">
          <cell r="C3499" t="str">
            <v>鄭珅易</v>
          </cell>
          <cell r="F3499" t="str">
            <v>K240801R2</v>
          </cell>
          <cell r="J3499">
            <v>46105</v>
          </cell>
          <cell r="K3499">
            <v>8</v>
          </cell>
        </row>
        <row r="3500">
          <cell r="C3500" t="str">
            <v>鄭珅易</v>
          </cell>
          <cell r="F3500" t="str">
            <v>K240801R2</v>
          </cell>
          <cell r="J3500">
            <v>46106</v>
          </cell>
          <cell r="K3500">
            <v>8</v>
          </cell>
        </row>
        <row r="3501">
          <cell r="C3501" t="str">
            <v>鄭珅易</v>
          </cell>
          <cell r="J3501">
            <v>46107</v>
          </cell>
          <cell r="K3501">
            <v>8</v>
          </cell>
        </row>
        <row r="3502">
          <cell r="C3502" t="str">
            <v>鄭珅易</v>
          </cell>
          <cell r="J3502">
            <v>46108</v>
          </cell>
          <cell r="K3502">
            <v>8</v>
          </cell>
        </row>
        <row r="3503">
          <cell r="C3503" t="str">
            <v>鄭珅易</v>
          </cell>
          <cell r="J3503">
            <v>46111</v>
          </cell>
          <cell r="K3503">
            <v>8</v>
          </cell>
        </row>
        <row r="3504">
          <cell r="C3504" t="str">
            <v>鄭珅易</v>
          </cell>
          <cell r="J3504">
            <v>46112</v>
          </cell>
          <cell r="K3504">
            <v>8</v>
          </cell>
        </row>
        <row r="3505">
          <cell r="C3505" t="str">
            <v>鄭珅易</v>
          </cell>
          <cell r="J3505">
            <v>46113</v>
          </cell>
          <cell r="K3505">
            <v>8</v>
          </cell>
        </row>
        <row r="3506">
          <cell r="C3506" t="str">
            <v>鄭珅易</v>
          </cell>
          <cell r="J3506">
            <v>46114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46119</v>
          </cell>
          <cell r="K3507">
            <v>8</v>
          </cell>
        </row>
        <row r="3508">
          <cell r="C3508" t="str">
            <v>鄭珅易</v>
          </cell>
          <cell r="J3508">
            <v>46120</v>
          </cell>
          <cell r="K3508">
            <v>0</v>
          </cell>
        </row>
        <row r="3509">
          <cell r="C3509" t="str">
            <v>鄭珅易</v>
          </cell>
          <cell r="F3509" t="str">
            <v>K240801R2</v>
          </cell>
          <cell r="J3509">
            <v>46121</v>
          </cell>
          <cell r="K3509">
            <v>8</v>
          </cell>
        </row>
        <row r="3510">
          <cell r="C3510" t="str">
            <v>鄭珅易</v>
          </cell>
          <cell r="F3510" t="str">
            <v>K240801R2</v>
          </cell>
          <cell r="J3510">
            <v>46122</v>
          </cell>
          <cell r="K3510">
            <v>8</v>
          </cell>
        </row>
        <row r="3511">
          <cell r="C3511" t="str">
            <v>鄭珅易</v>
          </cell>
          <cell r="F3511" t="str">
            <v>K240801R2</v>
          </cell>
          <cell r="J3511">
            <v>46125</v>
          </cell>
          <cell r="K3511">
            <v>8</v>
          </cell>
        </row>
        <row r="3512">
          <cell r="C3512" t="str">
            <v>鄭珅易</v>
          </cell>
          <cell r="J3512">
            <v>46126</v>
          </cell>
          <cell r="K3512">
            <v>8</v>
          </cell>
        </row>
        <row r="3513">
          <cell r="C3513" t="str">
            <v>鄭珅易</v>
          </cell>
          <cell r="J3513">
            <v>46127</v>
          </cell>
          <cell r="K3513">
            <v>8</v>
          </cell>
        </row>
        <row r="3514">
          <cell r="C3514" t="str">
            <v>鄭珅易</v>
          </cell>
          <cell r="J3514">
            <v>46128</v>
          </cell>
          <cell r="K3514">
            <v>8</v>
          </cell>
        </row>
        <row r="3515">
          <cell r="C3515" t="str">
            <v>鄭珅易</v>
          </cell>
          <cell r="J3515">
            <v>46129</v>
          </cell>
          <cell r="K3515">
            <v>8</v>
          </cell>
        </row>
        <row r="3516">
          <cell r="C3516" t="str">
            <v>鄭珅易</v>
          </cell>
          <cell r="F3516" t="str">
            <v>K240801R2</v>
          </cell>
          <cell r="J3516">
            <v>46132</v>
          </cell>
          <cell r="K3516">
            <v>8</v>
          </cell>
        </row>
        <row r="3517">
          <cell r="C3517" t="str">
            <v>鄭珅易</v>
          </cell>
          <cell r="J3517">
            <v>46133</v>
          </cell>
          <cell r="K3517">
            <v>8</v>
          </cell>
        </row>
        <row r="3518">
          <cell r="C3518" t="str">
            <v>鄭珅易</v>
          </cell>
          <cell r="J3518">
            <v>46134</v>
          </cell>
          <cell r="K3518">
            <v>8</v>
          </cell>
        </row>
        <row r="3519">
          <cell r="C3519" t="str">
            <v>鄭珅易</v>
          </cell>
          <cell r="J3519">
            <v>46135</v>
          </cell>
          <cell r="K3519">
            <v>8</v>
          </cell>
        </row>
        <row r="3520">
          <cell r="C3520" t="str">
            <v>鄭珅易</v>
          </cell>
          <cell r="J3520">
            <v>46136</v>
          </cell>
          <cell r="K3520">
            <v>8</v>
          </cell>
        </row>
        <row r="3521">
          <cell r="C3521" t="str">
            <v>鄭珅易</v>
          </cell>
          <cell r="F3521" t="str">
            <v>K240801R2</v>
          </cell>
          <cell r="J3521">
            <v>46139</v>
          </cell>
          <cell r="K3521">
            <v>8</v>
          </cell>
        </row>
        <row r="3522">
          <cell r="C3522" t="str">
            <v>鄭珅易</v>
          </cell>
          <cell r="F3522" t="str">
            <v>K240801R2</v>
          </cell>
          <cell r="J3522">
            <v>46140</v>
          </cell>
          <cell r="K3522">
            <v>8</v>
          </cell>
        </row>
        <row r="3523">
          <cell r="C3523" t="str">
            <v>鄭珅易</v>
          </cell>
          <cell r="F3523" t="str">
            <v>K240801R2</v>
          </cell>
          <cell r="J3523">
            <v>46141</v>
          </cell>
          <cell r="K3523">
            <v>8</v>
          </cell>
        </row>
        <row r="3524">
          <cell r="C3524" t="str">
            <v>鄭珅易</v>
          </cell>
          <cell r="F3524" t="str">
            <v>K240801R2</v>
          </cell>
          <cell r="J3524">
            <v>46142</v>
          </cell>
          <cell r="K3524">
            <v>8</v>
          </cell>
        </row>
        <row r="3525">
          <cell r="C3525" t="str">
            <v>鄭珅易</v>
          </cell>
          <cell r="F3525" t="str">
            <v>K240801R2</v>
          </cell>
          <cell r="J3525">
            <v>46146</v>
          </cell>
          <cell r="K3525">
            <v>8</v>
          </cell>
        </row>
        <row r="3526">
          <cell r="C3526" t="str">
            <v>鄭珅易</v>
          </cell>
          <cell r="F3526" t="str">
            <v>K240801R2</v>
          </cell>
          <cell r="J3526">
            <v>46147</v>
          </cell>
          <cell r="K3526">
            <v>8</v>
          </cell>
        </row>
        <row r="3527">
          <cell r="C3527" t="str">
            <v>鄭珅易</v>
          </cell>
          <cell r="F3527" t="str">
            <v>K240801R2</v>
          </cell>
          <cell r="J3527">
            <v>46148</v>
          </cell>
          <cell r="K3527">
            <v>8</v>
          </cell>
        </row>
        <row r="3528">
          <cell r="C3528" t="str">
            <v>鄭珅易</v>
          </cell>
          <cell r="F3528" t="str">
            <v>K240801R2</v>
          </cell>
          <cell r="J3528">
            <v>46149</v>
          </cell>
          <cell r="K3528">
            <v>8</v>
          </cell>
        </row>
        <row r="3529">
          <cell r="C3529" t="str">
            <v>鄭珅易</v>
          </cell>
          <cell r="F3529" t="str">
            <v>K240801R2</v>
          </cell>
          <cell r="J3529">
            <v>46150</v>
          </cell>
          <cell r="K3529">
            <v>8</v>
          </cell>
        </row>
        <row r="3530">
          <cell r="C3530" t="str">
            <v>鄭珅易</v>
          </cell>
          <cell r="F3530" t="str">
            <v>K240801R2</v>
          </cell>
          <cell r="J3530">
            <v>46153</v>
          </cell>
          <cell r="K3530">
            <v>8</v>
          </cell>
        </row>
        <row r="3531">
          <cell r="C3531" t="str">
            <v>鄭珅易</v>
          </cell>
          <cell r="F3531" t="str">
            <v>K240801R2</v>
          </cell>
          <cell r="J3531">
            <v>46154</v>
          </cell>
          <cell r="K3531">
            <v>8</v>
          </cell>
        </row>
        <row r="3532">
          <cell r="C3532" t="str">
            <v>鄭珅易</v>
          </cell>
          <cell r="F3532" t="str">
            <v>K240801R2</v>
          </cell>
          <cell r="J3532">
            <v>46155</v>
          </cell>
          <cell r="K3532">
            <v>8</v>
          </cell>
        </row>
        <row r="3533">
          <cell r="C3533" t="str">
            <v>鄭珅易</v>
          </cell>
          <cell r="F3533" t="str">
            <v>K240801R2</v>
          </cell>
          <cell r="J3533">
            <v>46156</v>
          </cell>
          <cell r="K3533">
            <v>8</v>
          </cell>
        </row>
        <row r="3534">
          <cell r="C3534" t="str">
            <v>鄭珅易</v>
          </cell>
          <cell r="J3534">
            <v>46157</v>
          </cell>
          <cell r="K3534">
            <v>2.5</v>
          </cell>
        </row>
        <row r="3535">
          <cell r="C3535" t="str">
            <v>鄭珅易</v>
          </cell>
          <cell r="F3535" t="str">
            <v>K240801R2</v>
          </cell>
          <cell r="J3535">
            <v>46157</v>
          </cell>
          <cell r="K3535">
            <v>5.5</v>
          </cell>
        </row>
        <row r="3536">
          <cell r="C3536" t="str">
            <v>鄭珅易</v>
          </cell>
          <cell r="J3536">
            <v>46160</v>
          </cell>
          <cell r="K3536">
            <v>2.5</v>
          </cell>
        </row>
        <row r="3537">
          <cell r="C3537" t="str">
            <v>鄭珅易</v>
          </cell>
          <cell r="F3537" t="str">
            <v>K201002R2</v>
          </cell>
          <cell r="J3537">
            <v>46160</v>
          </cell>
          <cell r="K3537">
            <v>5.5</v>
          </cell>
        </row>
        <row r="3538">
          <cell r="C3538" t="str">
            <v>鄭珅易</v>
          </cell>
          <cell r="J3538">
            <v>46161</v>
          </cell>
          <cell r="K3538">
            <v>2.5</v>
          </cell>
        </row>
        <row r="3539">
          <cell r="C3539" t="str">
            <v>鄭珅易</v>
          </cell>
          <cell r="F3539" t="str">
            <v>K201002R2</v>
          </cell>
          <cell r="J3539">
            <v>46161</v>
          </cell>
          <cell r="K3539">
            <v>5.5</v>
          </cell>
        </row>
        <row r="3540">
          <cell r="C3540" t="str">
            <v>鄭珅易</v>
          </cell>
          <cell r="J3540">
            <v>46162</v>
          </cell>
          <cell r="K3540">
            <v>2.5</v>
          </cell>
        </row>
        <row r="3541">
          <cell r="C3541" t="str">
            <v>鄭珅易</v>
          </cell>
          <cell r="F3541" t="str">
            <v>K201002R2</v>
          </cell>
          <cell r="J3541">
            <v>46162</v>
          </cell>
          <cell r="K3541">
            <v>5.5</v>
          </cell>
        </row>
        <row r="3542">
          <cell r="C3542" t="str">
            <v>陳奕宏</v>
          </cell>
          <cell r="F3542" t="str">
            <v>K201002R2</v>
          </cell>
          <cell r="J3542">
            <v>45714</v>
          </cell>
          <cell r="K3542">
            <v>8</v>
          </cell>
        </row>
        <row r="3543">
          <cell r="C3543" t="str">
            <v>陳奕宏</v>
          </cell>
          <cell r="F3543" t="str">
            <v>K201002R2</v>
          </cell>
          <cell r="J3543">
            <v>45715</v>
          </cell>
          <cell r="K3543">
            <v>8</v>
          </cell>
        </row>
        <row r="3544">
          <cell r="C3544" t="str">
            <v>陳奕宏</v>
          </cell>
          <cell r="F3544" t="str">
            <v>K201002R2</v>
          </cell>
          <cell r="J3544">
            <v>45719</v>
          </cell>
          <cell r="K3544">
            <v>8</v>
          </cell>
        </row>
        <row r="3545">
          <cell r="C3545" t="str">
            <v>陳奕宏</v>
          </cell>
          <cell r="F3545" t="str">
            <v>K201002R2</v>
          </cell>
          <cell r="J3545">
            <v>45720</v>
          </cell>
          <cell r="K3545">
            <v>8</v>
          </cell>
        </row>
        <row r="3546">
          <cell r="C3546" t="str">
            <v>陳奕宏</v>
          </cell>
          <cell r="F3546" t="str">
            <v>K201002R2</v>
          </cell>
          <cell r="J3546">
            <v>45721</v>
          </cell>
          <cell r="K3546">
            <v>8</v>
          </cell>
        </row>
        <row r="3547">
          <cell r="C3547" t="str">
            <v>陳奕宏</v>
          </cell>
          <cell r="F3547" t="str">
            <v>K201002R2</v>
          </cell>
          <cell r="J3547">
            <v>45722</v>
          </cell>
          <cell r="K3547">
            <v>8</v>
          </cell>
        </row>
        <row r="3548">
          <cell r="C3548" t="str">
            <v>陳奕宏</v>
          </cell>
          <cell r="F3548" t="str">
            <v>K201002R2</v>
          </cell>
          <cell r="J3548">
            <v>45723</v>
          </cell>
          <cell r="K3548">
            <v>8</v>
          </cell>
        </row>
        <row r="3549">
          <cell r="C3549" t="str">
            <v>陳奕宏</v>
          </cell>
          <cell r="F3549" t="str">
            <v>K201002R2</v>
          </cell>
          <cell r="J3549">
            <v>45726</v>
          </cell>
          <cell r="K3549">
            <v>8</v>
          </cell>
        </row>
        <row r="3550">
          <cell r="C3550" t="str">
            <v>陳奕宏</v>
          </cell>
          <cell r="F3550" t="str">
            <v>K201002R2</v>
          </cell>
          <cell r="J3550">
            <v>45727</v>
          </cell>
          <cell r="K3550">
            <v>8</v>
          </cell>
        </row>
        <row r="3551">
          <cell r="C3551" t="str">
            <v>陳奕宏</v>
          </cell>
          <cell r="F3551" t="str">
            <v>K201002R2</v>
          </cell>
          <cell r="J3551">
            <v>45728</v>
          </cell>
          <cell r="K3551">
            <v>8</v>
          </cell>
        </row>
        <row r="3552">
          <cell r="C3552" t="str">
            <v>陳奕宏</v>
          </cell>
          <cell r="F3552" t="str">
            <v>K201002R2</v>
          </cell>
          <cell r="J3552">
            <v>45729</v>
          </cell>
          <cell r="K3552">
            <v>8</v>
          </cell>
        </row>
        <row r="3553">
          <cell r="C3553" t="str">
            <v>陳奕宏</v>
          </cell>
          <cell r="F3553" t="str">
            <v>K201002R2</v>
          </cell>
          <cell r="J3553">
            <v>45730</v>
          </cell>
          <cell r="K3553">
            <v>8</v>
          </cell>
        </row>
        <row r="3554">
          <cell r="C3554" t="str">
            <v>陳奕宏</v>
          </cell>
          <cell r="F3554" t="str">
            <v>K201002R2</v>
          </cell>
          <cell r="J3554">
            <v>45733</v>
          </cell>
          <cell r="K3554">
            <v>8</v>
          </cell>
        </row>
        <row r="3555">
          <cell r="C3555" t="str">
            <v>陳奕宏</v>
          </cell>
          <cell r="F3555" t="str">
            <v>K201002R2</v>
          </cell>
          <cell r="J3555">
            <v>45734</v>
          </cell>
          <cell r="K3555">
            <v>8</v>
          </cell>
        </row>
        <row r="3556">
          <cell r="C3556" t="str">
            <v>陳奕宏</v>
          </cell>
          <cell r="F3556" t="str">
            <v>K201002R2</v>
          </cell>
          <cell r="J3556">
            <v>45735</v>
          </cell>
          <cell r="K3556">
            <v>8</v>
          </cell>
        </row>
        <row r="3557">
          <cell r="C3557" t="str">
            <v>陳奕宏</v>
          </cell>
          <cell r="F3557" t="str">
            <v>K201002R2</v>
          </cell>
          <cell r="J3557">
            <v>45736</v>
          </cell>
          <cell r="K3557">
            <v>8</v>
          </cell>
        </row>
        <row r="3558">
          <cell r="C3558" t="str">
            <v>陳奕宏</v>
          </cell>
          <cell r="F3558" t="str">
            <v>K201002R2</v>
          </cell>
          <cell r="J3558">
            <v>45737</v>
          </cell>
          <cell r="K3558">
            <v>8</v>
          </cell>
        </row>
        <row r="3559">
          <cell r="C3559" t="str">
            <v>陳奕宏</v>
          </cell>
          <cell r="F3559" t="str">
            <v>K201002R2</v>
          </cell>
          <cell r="J3559">
            <v>45740</v>
          </cell>
          <cell r="K3559">
            <v>8</v>
          </cell>
        </row>
        <row r="3560">
          <cell r="C3560" t="str">
            <v>陳奕宏</v>
          </cell>
          <cell r="F3560" t="str">
            <v>K201002R2</v>
          </cell>
          <cell r="J3560">
            <v>45741</v>
          </cell>
          <cell r="K3560">
            <v>8</v>
          </cell>
        </row>
        <row r="3561">
          <cell r="C3561" t="str">
            <v>陳奕宏</v>
          </cell>
          <cell r="F3561" t="str">
            <v>K201002R2</v>
          </cell>
          <cell r="J3561">
            <v>45742</v>
          </cell>
          <cell r="K3561">
            <v>8</v>
          </cell>
        </row>
        <row r="3562">
          <cell r="C3562" t="str">
            <v>陳奕宏</v>
          </cell>
          <cell r="F3562" t="str">
            <v>K201002R2</v>
          </cell>
          <cell r="J3562">
            <v>45743</v>
          </cell>
          <cell r="K3562">
            <v>8</v>
          </cell>
        </row>
        <row r="3563">
          <cell r="C3563" t="str">
            <v>陳奕宏</v>
          </cell>
          <cell r="F3563" t="str">
            <v>K201002R2</v>
          </cell>
          <cell r="J3563">
            <v>45744</v>
          </cell>
          <cell r="K3563">
            <v>8</v>
          </cell>
        </row>
        <row r="3564">
          <cell r="C3564" t="str">
            <v>陳奕宏</v>
          </cell>
          <cell r="F3564" t="str">
            <v>K201002R2</v>
          </cell>
          <cell r="J3564">
            <v>45747</v>
          </cell>
          <cell r="K3564">
            <v>8</v>
          </cell>
        </row>
        <row r="3565">
          <cell r="C3565" t="str">
            <v>陳奕宏</v>
          </cell>
          <cell r="F3565" t="str">
            <v>K201002R2</v>
          </cell>
          <cell r="J3565">
            <v>45748</v>
          </cell>
          <cell r="K3565">
            <v>8</v>
          </cell>
        </row>
        <row r="3566">
          <cell r="C3566" t="str">
            <v>陳奕宏</v>
          </cell>
          <cell r="F3566" t="str">
            <v>K201002R2</v>
          </cell>
          <cell r="J3566">
            <v>45749</v>
          </cell>
          <cell r="K3566">
            <v>8</v>
          </cell>
        </row>
        <row r="3567">
          <cell r="C3567" t="str">
            <v>陳奕宏</v>
          </cell>
          <cell r="F3567" t="str">
            <v>K201002R2</v>
          </cell>
          <cell r="J3567">
            <v>45754</v>
          </cell>
          <cell r="K3567">
            <v>8</v>
          </cell>
        </row>
        <row r="3568">
          <cell r="C3568" t="str">
            <v>陳奕宏</v>
          </cell>
          <cell r="F3568" t="str">
            <v>K201002R2</v>
          </cell>
          <cell r="J3568">
            <v>45755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45756</v>
          </cell>
          <cell r="K3569">
            <v>8</v>
          </cell>
        </row>
        <row r="3570">
          <cell r="C3570" t="str">
            <v>陳奕宏</v>
          </cell>
          <cell r="F3570" t="str">
            <v>K231101R1</v>
          </cell>
          <cell r="J3570">
            <v>45757</v>
          </cell>
          <cell r="K3570">
            <v>8</v>
          </cell>
        </row>
        <row r="3571">
          <cell r="C3571" t="str">
            <v>陳奕宏</v>
          </cell>
          <cell r="J3571">
            <v>45758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45761</v>
          </cell>
          <cell r="K3572">
            <v>8</v>
          </cell>
        </row>
        <row r="3573">
          <cell r="C3573" t="str">
            <v>陳奕宏</v>
          </cell>
          <cell r="F3573" t="str">
            <v>K201002R2</v>
          </cell>
          <cell r="J3573">
            <v>45762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45763</v>
          </cell>
          <cell r="K3574">
            <v>8</v>
          </cell>
        </row>
        <row r="3575">
          <cell r="C3575" t="str">
            <v>陳奕宏</v>
          </cell>
          <cell r="F3575" t="str">
            <v>K201002R2</v>
          </cell>
          <cell r="J3575">
            <v>45764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45765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45768</v>
          </cell>
          <cell r="K3577">
            <v>8</v>
          </cell>
        </row>
        <row r="3578">
          <cell r="C3578" t="str">
            <v>陳奕宏</v>
          </cell>
          <cell r="F3578" t="str">
            <v>K231101R1</v>
          </cell>
          <cell r="J3578">
            <v>45769</v>
          </cell>
          <cell r="K3578">
            <v>8</v>
          </cell>
        </row>
        <row r="3579">
          <cell r="C3579" t="str">
            <v>陳奕宏</v>
          </cell>
          <cell r="J3579">
            <v>45770</v>
          </cell>
          <cell r="K3579">
            <v>2</v>
          </cell>
        </row>
        <row r="3580">
          <cell r="C3580" t="str">
            <v>陳奕宏</v>
          </cell>
          <cell r="F3580" t="str">
            <v>K231101R1</v>
          </cell>
          <cell r="J3580">
            <v>45770</v>
          </cell>
          <cell r="K3580">
            <v>6</v>
          </cell>
        </row>
        <row r="3581">
          <cell r="C3581" t="str">
            <v>陳奕宏</v>
          </cell>
          <cell r="F3581" t="str">
            <v>K231101R1</v>
          </cell>
          <cell r="J3581">
            <v>45771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45772</v>
          </cell>
          <cell r="K3582">
            <v>8</v>
          </cell>
        </row>
        <row r="3583">
          <cell r="C3583" t="str">
            <v>陳奕宏</v>
          </cell>
          <cell r="F3583" t="str">
            <v>K201002R2</v>
          </cell>
          <cell r="J3583">
            <v>45775</v>
          </cell>
          <cell r="K3583">
            <v>8</v>
          </cell>
        </row>
        <row r="3584">
          <cell r="C3584" t="str">
            <v>陳奕宏</v>
          </cell>
          <cell r="F3584" t="str">
            <v>K201002R2</v>
          </cell>
          <cell r="J3584">
            <v>45776</v>
          </cell>
          <cell r="K3584">
            <v>8</v>
          </cell>
        </row>
        <row r="3585">
          <cell r="C3585" t="str">
            <v>陳奕宏</v>
          </cell>
          <cell r="F3585" t="str">
            <v>K201002R2</v>
          </cell>
          <cell r="J3585">
            <v>45777</v>
          </cell>
          <cell r="K3585">
            <v>8</v>
          </cell>
        </row>
        <row r="3586">
          <cell r="C3586" t="str">
            <v>陳奕宏</v>
          </cell>
          <cell r="J3586">
            <v>45778</v>
          </cell>
          <cell r="K3586">
            <v>8</v>
          </cell>
        </row>
        <row r="3587">
          <cell r="C3587" t="str">
            <v>陳奕宏</v>
          </cell>
          <cell r="F3587" t="str">
            <v>K201002R2</v>
          </cell>
          <cell r="J3587">
            <v>45779</v>
          </cell>
          <cell r="K3587">
            <v>8</v>
          </cell>
        </row>
        <row r="3588">
          <cell r="C3588" t="str">
            <v>陳奕宏</v>
          </cell>
          <cell r="F3588" t="str">
            <v>K201002R2</v>
          </cell>
          <cell r="J3588">
            <v>45782</v>
          </cell>
          <cell r="K3588">
            <v>8</v>
          </cell>
        </row>
        <row r="3589">
          <cell r="C3589" t="str">
            <v>陳奕宏</v>
          </cell>
          <cell r="F3589" t="str">
            <v>K201002R2</v>
          </cell>
          <cell r="J3589">
            <v>45783</v>
          </cell>
          <cell r="K3589">
            <v>8</v>
          </cell>
        </row>
        <row r="3590">
          <cell r="C3590" t="str">
            <v>陳奕宏</v>
          </cell>
          <cell r="J3590">
            <v>45784</v>
          </cell>
          <cell r="K3590">
            <v>4</v>
          </cell>
        </row>
        <row r="3591">
          <cell r="C3591" t="str">
            <v>陳奕宏</v>
          </cell>
          <cell r="F3591" t="str">
            <v>K201002R2</v>
          </cell>
          <cell r="J3591">
            <v>45784</v>
          </cell>
          <cell r="K3591">
            <v>4</v>
          </cell>
        </row>
        <row r="3592">
          <cell r="C3592" t="str">
            <v>陳奕宏</v>
          </cell>
          <cell r="F3592" t="str">
            <v>K201002R2</v>
          </cell>
          <cell r="J3592">
            <v>45785</v>
          </cell>
          <cell r="K3592">
            <v>4</v>
          </cell>
        </row>
        <row r="3593">
          <cell r="C3593" t="str">
            <v>陳奕宏</v>
          </cell>
          <cell r="F3593" t="str">
            <v>K231101R1</v>
          </cell>
          <cell r="J3593">
            <v>45785</v>
          </cell>
          <cell r="K3593">
            <v>4</v>
          </cell>
        </row>
        <row r="3594">
          <cell r="C3594" t="str">
            <v>陳奕宏</v>
          </cell>
          <cell r="F3594" t="str">
            <v>K201002R2</v>
          </cell>
          <cell r="J3594">
            <v>45786</v>
          </cell>
          <cell r="K3594">
            <v>8</v>
          </cell>
        </row>
        <row r="3595">
          <cell r="C3595" t="str">
            <v>陳奕宏</v>
          </cell>
          <cell r="J3595">
            <v>45789</v>
          </cell>
          <cell r="K3595">
            <v>4</v>
          </cell>
        </row>
        <row r="3596">
          <cell r="C3596" t="str">
            <v>陳奕宏</v>
          </cell>
          <cell r="F3596" t="str">
            <v>K201002R2</v>
          </cell>
          <cell r="J3596">
            <v>45789</v>
          </cell>
          <cell r="K3596">
            <v>4</v>
          </cell>
        </row>
        <row r="3597">
          <cell r="C3597" t="str">
            <v>陳奕宏</v>
          </cell>
          <cell r="J3597">
            <v>45790</v>
          </cell>
          <cell r="K3597">
            <v>4</v>
          </cell>
        </row>
        <row r="3598">
          <cell r="C3598" t="str">
            <v>陳奕宏</v>
          </cell>
          <cell r="F3598" t="str">
            <v>K201002R2</v>
          </cell>
          <cell r="J3598">
            <v>45790</v>
          </cell>
          <cell r="K3598">
            <v>4</v>
          </cell>
        </row>
        <row r="3599">
          <cell r="C3599" t="str">
            <v>陳奕宏</v>
          </cell>
          <cell r="J3599">
            <v>45791</v>
          </cell>
          <cell r="K3599">
            <v>4</v>
          </cell>
        </row>
        <row r="3600">
          <cell r="C3600" t="str">
            <v>陳奕宏</v>
          </cell>
          <cell r="F3600" t="str">
            <v>K201002R2</v>
          </cell>
          <cell r="J3600">
            <v>45791</v>
          </cell>
          <cell r="K3600">
            <v>4</v>
          </cell>
        </row>
        <row r="3601">
          <cell r="C3601" t="str">
            <v>陳奕宏</v>
          </cell>
          <cell r="F3601" t="str">
            <v>K201002R2</v>
          </cell>
          <cell r="J3601">
            <v>45792</v>
          </cell>
          <cell r="K3601">
            <v>8</v>
          </cell>
        </row>
        <row r="3602">
          <cell r="C3602" t="str">
            <v>陳奕宏</v>
          </cell>
          <cell r="J3602">
            <v>45793</v>
          </cell>
          <cell r="K3602">
            <v>4</v>
          </cell>
        </row>
        <row r="3603">
          <cell r="C3603" t="str">
            <v>陳奕宏</v>
          </cell>
          <cell r="F3603" t="str">
            <v>K201002R2</v>
          </cell>
          <cell r="J3603">
            <v>45793</v>
          </cell>
          <cell r="K3603">
            <v>4</v>
          </cell>
        </row>
        <row r="3604">
          <cell r="C3604" t="str">
            <v>陳奕宏</v>
          </cell>
          <cell r="J3604">
            <v>45796</v>
          </cell>
          <cell r="K3604">
            <v>2</v>
          </cell>
        </row>
        <row r="3605">
          <cell r="C3605" t="str">
            <v>陳奕宏</v>
          </cell>
          <cell r="F3605" t="str">
            <v>K201002R2</v>
          </cell>
          <cell r="J3605">
            <v>45796</v>
          </cell>
          <cell r="K3605">
            <v>6</v>
          </cell>
        </row>
        <row r="3606">
          <cell r="C3606" t="str">
            <v>陳奕宏</v>
          </cell>
          <cell r="J3606">
            <v>45797</v>
          </cell>
          <cell r="K3606">
            <v>3</v>
          </cell>
        </row>
        <row r="3607">
          <cell r="C3607" t="str">
            <v>陳奕宏</v>
          </cell>
          <cell r="F3607" t="str">
            <v>K201002R2</v>
          </cell>
          <cell r="J3607">
            <v>45797</v>
          </cell>
          <cell r="K3607">
            <v>3</v>
          </cell>
        </row>
        <row r="3608">
          <cell r="C3608" t="str">
            <v>陳奕宏</v>
          </cell>
          <cell r="F3608" t="str">
            <v>K240801R2</v>
          </cell>
          <cell r="J3608">
            <v>45797</v>
          </cell>
          <cell r="K3608">
            <v>2</v>
          </cell>
        </row>
        <row r="3609">
          <cell r="C3609" t="str">
            <v>陳奕宏</v>
          </cell>
          <cell r="F3609" t="str">
            <v>K231101R1</v>
          </cell>
          <cell r="J3609">
            <v>45798</v>
          </cell>
          <cell r="K3609">
            <v>4</v>
          </cell>
        </row>
        <row r="3610">
          <cell r="C3610" t="str">
            <v>陳奕宏</v>
          </cell>
          <cell r="F3610" t="str">
            <v>K240801R2</v>
          </cell>
          <cell r="J3610">
            <v>45798</v>
          </cell>
          <cell r="K3610">
            <v>4</v>
          </cell>
        </row>
        <row r="3611">
          <cell r="C3611" t="str">
            <v>陳奕宏</v>
          </cell>
          <cell r="J3611">
            <v>45799</v>
          </cell>
          <cell r="K3611">
            <v>3</v>
          </cell>
        </row>
        <row r="3612">
          <cell r="C3612" t="str">
            <v>陳奕宏</v>
          </cell>
          <cell r="J3612">
            <v>45799</v>
          </cell>
          <cell r="K3612">
            <v>3</v>
          </cell>
        </row>
        <row r="3613">
          <cell r="C3613" t="str">
            <v>陳奕宏</v>
          </cell>
          <cell r="F3613" t="str">
            <v>K231101R1</v>
          </cell>
          <cell r="J3613">
            <v>45799</v>
          </cell>
          <cell r="K3613">
            <v>2</v>
          </cell>
        </row>
        <row r="3614">
          <cell r="C3614" t="str">
            <v>陳奕宏</v>
          </cell>
          <cell r="J3614">
            <v>45800</v>
          </cell>
          <cell r="K3614">
            <v>3</v>
          </cell>
        </row>
        <row r="3615">
          <cell r="C3615" t="str">
            <v>陳奕宏</v>
          </cell>
          <cell r="F3615" t="str">
            <v>K231101R1</v>
          </cell>
          <cell r="J3615">
            <v>45800</v>
          </cell>
          <cell r="K3615">
            <v>5</v>
          </cell>
        </row>
        <row r="3616">
          <cell r="C3616" t="str">
            <v>陳奕宏</v>
          </cell>
          <cell r="J3616">
            <v>45803</v>
          </cell>
          <cell r="K3616">
            <v>3</v>
          </cell>
        </row>
        <row r="3617">
          <cell r="C3617" t="str">
            <v>陳奕宏</v>
          </cell>
          <cell r="F3617" t="str">
            <v>K240801R2</v>
          </cell>
          <cell r="J3617">
            <v>45803</v>
          </cell>
          <cell r="K3617">
            <v>5</v>
          </cell>
        </row>
        <row r="3618">
          <cell r="C3618" t="str">
            <v>陳奕宏</v>
          </cell>
          <cell r="F3618" t="str">
            <v>K231101R1</v>
          </cell>
          <cell r="J3618">
            <v>45804</v>
          </cell>
          <cell r="K3618">
            <v>5</v>
          </cell>
        </row>
        <row r="3619">
          <cell r="C3619" t="str">
            <v>陳奕宏</v>
          </cell>
          <cell r="F3619" t="str">
            <v>K240801R2</v>
          </cell>
          <cell r="J3619">
            <v>45804</v>
          </cell>
          <cell r="K3619">
            <v>3</v>
          </cell>
        </row>
        <row r="3620">
          <cell r="C3620" t="str">
            <v>陳奕宏</v>
          </cell>
          <cell r="F3620" t="str">
            <v>K231101R1</v>
          </cell>
          <cell r="J3620">
            <v>45805</v>
          </cell>
          <cell r="K3620">
            <v>8</v>
          </cell>
        </row>
        <row r="3621">
          <cell r="C3621" t="str">
            <v>陳奕宏</v>
          </cell>
          <cell r="F3621" t="str">
            <v>K231101R1</v>
          </cell>
          <cell r="J3621">
            <v>45806</v>
          </cell>
          <cell r="K3621">
            <v>8</v>
          </cell>
        </row>
        <row r="3622">
          <cell r="C3622" t="str">
            <v>陳奕宏</v>
          </cell>
          <cell r="F3622" t="str">
            <v>K231101R1</v>
          </cell>
          <cell r="J3622">
            <v>45810</v>
          </cell>
          <cell r="K3622">
            <v>8</v>
          </cell>
        </row>
        <row r="3623">
          <cell r="C3623" t="str">
            <v>陳奕宏</v>
          </cell>
          <cell r="F3623" t="str">
            <v>K231101R1</v>
          </cell>
          <cell r="J3623">
            <v>45811</v>
          </cell>
          <cell r="K3623">
            <v>8</v>
          </cell>
        </row>
        <row r="3624">
          <cell r="C3624" t="str">
            <v>陳奕宏</v>
          </cell>
          <cell r="F3624" t="str">
            <v>K231101R1</v>
          </cell>
          <cell r="J3624">
            <v>45812</v>
          </cell>
          <cell r="K3624">
            <v>6</v>
          </cell>
        </row>
        <row r="3625">
          <cell r="C3625" t="str">
            <v>陳奕宏</v>
          </cell>
          <cell r="F3625" t="str">
            <v>K240801R1</v>
          </cell>
          <cell r="J3625">
            <v>45812</v>
          </cell>
          <cell r="K3625">
            <v>2</v>
          </cell>
        </row>
        <row r="3626">
          <cell r="C3626" t="str">
            <v>陳奕宏</v>
          </cell>
          <cell r="F3626" t="str">
            <v>K231101R1</v>
          </cell>
          <cell r="J3626">
            <v>45813</v>
          </cell>
          <cell r="K3626">
            <v>8</v>
          </cell>
        </row>
        <row r="3627">
          <cell r="C3627" t="str">
            <v>陳奕宏</v>
          </cell>
          <cell r="F3627" t="str">
            <v>K231101R1</v>
          </cell>
          <cell r="J3627">
            <v>45814</v>
          </cell>
          <cell r="K3627">
            <v>8</v>
          </cell>
        </row>
        <row r="3628">
          <cell r="C3628" t="str">
            <v>陳奕宏</v>
          </cell>
          <cell r="F3628" t="str">
            <v>K231101R1</v>
          </cell>
          <cell r="J3628">
            <v>45817</v>
          </cell>
          <cell r="K3628">
            <v>8</v>
          </cell>
        </row>
        <row r="3629">
          <cell r="C3629" t="str">
            <v>陳奕宏</v>
          </cell>
          <cell r="F3629" t="str">
            <v>K231101R1</v>
          </cell>
          <cell r="J3629">
            <v>45818</v>
          </cell>
          <cell r="K3629">
            <v>4</v>
          </cell>
        </row>
        <row r="3630">
          <cell r="C3630" t="str">
            <v>陳奕宏</v>
          </cell>
          <cell r="F3630" t="str">
            <v>K240801R2</v>
          </cell>
          <cell r="J3630">
            <v>45818</v>
          </cell>
          <cell r="K3630">
            <v>4</v>
          </cell>
        </row>
        <row r="3631">
          <cell r="C3631" t="str">
            <v>陳奕宏</v>
          </cell>
          <cell r="F3631" t="str">
            <v>K231101R1</v>
          </cell>
          <cell r="J3631">
            <v>45819</v>
          </cell>
          <cell r="K3631">
            <v>4</v>
          </cell>
        </row>
        <row r="3632">
          <cell r="C3632" t="str">
            <v>陳奕宏</v>
          </cell>
          <cell r="F3632" t="str">
            <v>K240801R2</v>
          </cell>
          <cell r="J3632">
            <v>45819</v>
          </cell>
          <cell r="K3632">
            <v>4</v>
          </cell>
        </row>
        <row r="3633">
          <cell r="C3633" t="str">
            <v>陳奕宏</v>
          </cell>
          <cell r="F3633" t="str">
            <v>K231101R1</v>
          </cell>
          <cell r="J3633">
            <v>45820</v>
          </cell>
          <cell r="K3633">
            <v>8</v>
          </cell>
        </row>
        <row r="3634">
          <cell r="C3634" t="str">
            <v>陳奕宏</v>
          </cell>
          <cell r="F3634" t="str">
            <v>K231101R1</v>
          </cell>
          <cell r="J3634">
            <v>45821</v>
          </cell>
          <cell r="K3634">
            <v>8</v>
          </cell>
        </row>
        <row r="3635">
          <cell r="C3635" t="str">
            <v>陳奕宏</v>
          </cell>
          <cell r="F3635" t="str">
            <v>K231101R1</v>
          </cell>
          <cell r="J3635">
            <v>45824</v>
          </cell>
          <cell r="K3635">
            <v>8</v>
          </cell>
        </row>
        <row r="3636">
          <cell r="C3636" t="str">
            <v>陳奕宏</v>
          </cell>
          <cell r="J3636">
            <v>45825</v>
          </cell>
          <cell r="K3636">
            <v>2</v>
          </cell>
        </row>
        <row r="3637">
          <cell r="C3637" t="str">
            <v>陳奕宏</v>
          </cell>
          <cell r="F3637" t="str">
            <v>K201002R2</v>
          </cell>
          <cell r="J3637">
            <v>45826</v>
          </cell>
          <cell r="K3637">
            <v>6</v>
          </cell>
        </row>
        <row r="3638">
          <cell r="C3638" t="str">
            <v>陳奕宏</v>
          </cell>
          <cell r="F3638" t="str">
            <v>K201002R2</v>
          </cell>
          <cell r="J3638">
            <v>45827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45828</v>
          </cell>
          <cell r="K3639">
            <v>8</v>
          </cell>
        </row>
        <row r="3640">
          <cell r="C3640" t="str">
            <v>陳奕宏</v>
          </cell>
          <cell r="F3640" t="str">
            <v>K231101R1</v>
          </cell>
          <cell r="J3640">
            <v>45831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45832</v>
          </cell>
          <cell r="K3641">
            <v>8</v>
          </cell>
        </row>
        <row r="3642">
          <cell r="C3642" t="str">
            <v>陳奕宏</v>
          </cell>
          <cell r="F3642" t="str">
            <v>K231101R1</v>
          </cell>
          <cell r="J3642">
            <v>45833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45834</v>
          </cell>
          <cell r="K3643">
            <v>6</v>
          </cell>
        </row>
        <row r="3644">
          <cell r="C3644" t="str">
            <v>陳奕宏</v>
          </cell>
          <cell r="J3644">
            <v>45834</v>
          </cell>
          <cell r="K3644">
            <v>2</v>
          </cell>
        </row>
        <row r="3645">
          <cell r="C3645" t="str">
            <v>陳奕宏</v>
          </cell>
          <cell r="F3645" t="str">
            <v>K231101R1</v>
          </cell>
          <cell r="J3645">
            <v>45835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45838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45839</v>
          </cell>
          <cell r="K3647">
            <v>8</v>
          </cell>
        </row>
        <row r="3648">
          <cell r="C3648" t="str">
            <v>陳奕宏</v>
          </cell>
          <cell r="F3648" t="str">
            <v>K231101R1</v>
          </cell>
          <cell r="J3648">
            <v>45840</v>
          </cell>
          <cell r="K3648">
            <v>4</v>
          </cell>
        </row>
        <row r="3649">
          <cell r="C3649" t="str">
            <v>陳奕宏</v>
          </cell>
          <cell r="J3649">
            <v>45840</v>
          </cell>
          <cell r="K3649">
            <v>4</v>
          </cell>
        </row>
        <row r="3650">
          <cell r="C3650" t="str">
            <v>陳奕宏</v>
          </cell>
          <cell r="F3650" t="str">
            <v>K231101R1</v>
          </cell>
          <cell r="J3650">
            <v>45841</v>
          </cell>
          <cell r="K3650">
            <v>6</v>
          </cell>
        </row>
        <row r="3651">
          <cell r="C3651" t="str">
            <v>陳奕宏</v>
          </cell>
          <cell r="J3651">
            <v>45841</v>
          </cell>
          <cell r="K3651">
            <v>2</v>
          </cell>
        </row>
        <row r="3652">
          <cell r="C3652" t="str">
            <v>陳奕宏</v>
          </cell>
          <cell r="F3652" t="str">
            <v>K231101R1</v>
          </cell>
          <cell r="J3652">
            <v>45842</v>
          </cell>
          <cell r="K3652">
            <v>8</v>
          </cell>
        </row>
        <row r="3653">
          <cell r="C3653" t="str">
            <v>陳奕宏</v>
          </cell>
          <cell r="F3653" t="str">
            <v>K201002R2</v>
          </cell>
          <cell r="J3653">
            <v>45845</v>
          </cell>
          <cell r="K3653">
            <v>8</v>
          </cell>
        </row>
        <row r="3654">
          <cell r="C3654" t="str">
            <v>陳奕宏</v>
          </cell>
          <cell r="F3654" t="str">
            <v>K201002R2</v>
          </cell>
          <cell r="J3654">
            <v>45846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45847</v>
          </cell>
          <cell r="K3655">
            <v>8</v>
          </cell>
        </row>
        <row r="3656">
          <cell r="C3656" t="str">
            <v>陳奕宏</v>
          </cell>
          <cell r="F3656" t="str">
            <v>K231101R1</v>
          </cell>
          <cell r="J3656">
            <v>45848</v>
          </cell>
          <cell r="K3656">
            <v>8</v>
          </cell>
        </row>
        <row r="3657">
          <cell r="C3657" t="str">
            <v>陳奕宏</v>
          </cell>
          <cell r="F3657" t="str">
            <v>K231101R1</v>
          </cell>
          <cell r="J3657">
            <v>45849</v>
          </cell>
          <cell r="K3657">
            <v>8</v>
          </cell>
        </row>
        <row r="3658">
          <cell r="C3658" t="str">
            <v>陳奕宏</v>
          </cell>
          <cell r="F3658" t="str">
            <v>K231101R1</v>
          </cell>
          <cell r="J3658">
            <v>45852</v>
          </cell>
          <cell r="K3658">
            <v>8</v>
          </cell>
        </row>
        <row r="3659">
          <cell r="C3659" t="str">
            <v>陳奕宏</v>
          </cell>
          <cell r="F3659" t="str">
            <v>K240801R2</v>
          </cell>
          <cell r="J3659">
            <v>45853</v>
          </cell>
          <cell r="K3659">
            <v>8</v>
          </cell>
        </row>
        <row r="3660">
          <cell r="C3660" t="str">
            <v>陳奕宏</v>
          </cell>
          <cell r="F3660" t="str">
            <v>K231101R1</v>
          </cell>
          <cell r="J3660">
            <v>45854</v>
          </cell>
          <cell r="K3660">
            <v>8</v>
          </cell>
        </row>
        <row r="3661">
          <cell r="C3661" t="str">
            <v>陳奕宏</v>
          </cell>
          <cell r="F3661" t="str">
            <v>K231101R1</v>
          </cell>
          <cell r="J3661">
            <v>45855</v>
          </cell>
          <cell r="K3661">
            <v>8</v>
          </cell>
        </row>
        <row r="3662">
          <cell r="C3662" t="str">
            <v>陳奕宏</v>
          </cell>
          <cell r="F3662" t="str">
            <v>K231101R1</v>
          </cell>
          <cell r="J3662">
            <v>45856</v>
          </cell>
          <cell r="K3662">
            <v>8</v>
          </cell>
        </row>
        <row r="3663">
          <cell r="C3663" t="str">
            <v>陳奕宏</v>
          </cell>
          <cell r="F3663" t="str">
            <v>K231101R1</v>
          </cell>
          <cell r="J3663">
            <v>45859</v>
          </cell>
          <cell r="K3663">
            <v>8</v>
          </cell>
        </row>
        <row r="3664">
          <cell r="C3664" t="str">
            <v>陳奕宏</v>
          </cell>
          <cell r="F3664" t="str">
            <v>K231101R1</v>
          </cell>
          <cell r="J3664">
            <v>45860</v>
          </cell>
          <cell r="K3664">
            <v>8</v>
          </cell>
        </row>
        <row r="3665">
          <cell r="C3665" t="str">
            <v>陳奕宏</v>
          </cell>
          <cell r="F3665" t="str">
            <v>K240801R1</v>
          </cell>
          <cell r="J3665">
            <v>45861</v>
          </cell>
          <cell r="K3665">
            <v>8</v>
          </cell>
        </row>
        <row r="3666">
          <cell r="C3666" t="str">
            <v>陳奕宏</v>
          </cell>
          <cell r="F3666" t="str">
            <v>K231101R1</v>
          </cell>
          <cell r="J3666">
            <v>45862</v>
          </cell>
          <cell r="K3666">
            <v>8</v>
          </cell>
        </row>
        <row r="3667">
          <cell r="C3667" t="str">
            <v>陳奕宏</v>
          </cell>
          <cell r="F3667" t="str">
            <v>K231101R1</v>
          </cell>
          <cell r="J3667">
            <v>45863</v>
          </cell>
          <cell r="K3667">
            <v>8</v>
          </cell>
        </row>
        <row r="3668">
          <cell r="C3668" t="str">
            <v>陳奕宏</v>
          </cell>
          <cell r="F3668" t="str">
            <v>K231101R1</v>
          </cell>
          <cell r="J3668">
            <v>45866</v>
          </cell>
          <cell r="K3668">
            <v>8</v>
          </cell>
        </row>
        <row r="3669">
          <cell r="C3669" t="str">
            <v>陳奕宏</v>
          </cell>
          <cell r="F3669" t="str">
            <v>K240801R1</v>
          </cell>
          <cell r="J3669">
            <v>45867</v>
          </cell>
          <cell r="K3669">
            <v>8</v>
          </cell>
        </row>
        <row r="3670">
          <cell r="C3670" t="str">
            <v>陳奕宏</v>
          </cell>
          <cell r="F3670" t="str">
            <v>K201002R2</v>
          </cell>
          <cell r="J3670">
            <v>45868</v>
          </cell>
          <cell r="K3670">
            <v>6</v>
          </cell>
        </row>
        <row r="3671">
          <cell r="C3671" t="str">
            <v>陳奕宏</v>
          </cell>
          <cell r="J3671">
            <v>45868</v>
          </cell>
          <cell r="K3671">
            <v>2</v>
          </cell>
        </row>
        <row r="3672">
          <cell r="C3672" t="str">
            <v>陳奕宏</v>
          </cell>
          <cell r="F3672" t="str">
            <v>K201002R2</v>
          </cell>
          <cell r="J3672">
            <v>45869</v>
          </cell>
          <cell r="K3672">
            <v>8</v>
          </cell>
        </row>
        <row r="3673">
          <cell r="C3673" t="str">
            <v>陳奕宏</v>
          </cell>
          <cell r="F3673" t="str">
            <v>K201002R2</v>
          </cell>
          <cell r="J3673">
            <v>45870</v>
          </cell>
          <cell r="K3673">
            <v>8</v>
          </cell>
        </row>
        <row r="3674">
          <cell r="C3674" t="str">
            <v>陳奕宏</v>
          </cell>
          <cell r="F3674" t="str">
            <v>K201002R2</v>
          </cell>
          <cell r="J3674">
            <v>45873</v>
          </cell>
          <cell r="K3674">
            <v>8</v>
          </cell>
        </row>
        <row r="3675">
          <cell r="C3675" t="str">
            <v>陳奕宏</v>
          </cell>
          <cell r="F3675" t="str">
            <v>K201002R2</v>
          </cell>
          <cell r="J3675">
            <v>45874</v>
          </cell>
          <cell r="K3675">
            <v>8</v>
          </cell>
        </row>
        <row r="3676">
          <cell r="C3676" t="str">
            <v>陳奕宏</v>
          </cell>
          <cell r="F3676" t="str">
            <v>K231101R1</v>
          </cell>
          <cell r="J3676">
            <v>45875</v>
          </cell>
          <cell r="K3676">
            <v>8</v>
          </cell>
        </row>
        <row r="3677">
          <cell r="C3677" t="str">
            <v>陳奕宏</v>
          </cell>
          <cell r="F3677" t="str">
            <v>K231101R1</v>
          </cell>
          <cell r="J3677">
            <v>45876</v>
          </cell>
          <cell r="K3677">
            <v>8</v>
          </cell>
        </row>
        <row r="3678">
          <cell r="C3678" t="str">
            <v>陳奕宏</v>
          </cell>
          <cell r="F3678" t="str">
            <v>K231101R1</v>
          </cell>
          <cell r="J3678">
            <v>45877</v>
          </cell>
          <cell r="K3678">
            <v>8</v>
          </cell>
        </row>
        <row r="3679">
          <cell r="C3679" t="str">
            <v>陳奕宏</v>
          </cell>
          <cell r="F3679" t="str">
            <v>K231101R1</v>
          </cell>
          <cell r="J3679">
            <v>45880</v>
          </cell>
          <cell r="K3679">
            <v>8</v>
          </cell>
        </row>
        <row r="3680">
          <cell r="C3680" t="str">
            <v>陳奕宏</v>
          </cell>
          <cell r="F3680" t="str">
            <v>K231101R1</v>
          </cell>
          <cell r="J3680">
            <v>45881</v>
          </cell>
          <cell r="K3680">
            <v>8</v>
          </cell>
        </row>
        <row r="3681">
          <cell r="C3681" t="str">
            <v>陳奕宏</v>
          </cell>
          <cell r="F3681" t="str">
            <v>K231101R1</v>
          </cell>
          <cell r="J3681">
            <v>45882</v>
          </cell>
          <cell r="K3681">
            <v>8</v>
          </cell>
        </row>
        <row r="3682">
          <cell r="C3682" t="str">
            <v>陳奕宏</v>
          </cell>
          <cell r="J3682">
            <v>45883</v>
          </cell>
          <cell r="K3682">
            <v>2</v>
          </cell>
        </row>
        <row r="3683">
          <cell r="C3683" t="str">
            <v>陳奕宏</v>
          </cell>
          <cell r="F3683" t="str">
            <v>K231101R1</v>
          </cell>
          <cell r="J3683">
            <v>45883</v>
          </cell>
          <cell r="K3683">
            <v>6</v>
          </cell>
        </row>
        <row r="3684">
          <cell r="C3684" t="str">
            <v>陳奕宏</v>
          </cell>
          <cell r="F3684" t="str">
            <v>K231101R1</v>
          </cell>
          <cell r="J3684">
            <v>45884</v>
          </cell>
          <cell r="K3684">
            <v>8</v>
          </cell>
        </row>
        <row r="3685">
          <cell r="C3685" t="str">
            <v>陳奕宏</v>
          </cell>
          <cell r="F3685" t="str">
            <v>K231101R1</v>
          </cell>
          <cell r="J3685">
            <v>45887</v>
          </cell>
          <cell r="K3685">
            <v>8</v>
          </cell>
        </row>
        <row r="3686">
          <cell r="C3686" t="str">
            <v>陳奕宏</v>
          </cell>
          <cell r="J3686">
            <v>45888</v>
          </cell>
          <cell r="K3686">
            <v>4</v>
          </cell>
        </row>
        <row r="3687">
          <cell r="C3687" t="str">
            <v>陳奕宏</v>
          </cell>
          <cell r="F3687" t="str">
            <v>K231101R1</v>
          </cell>
          <cell r="J3687">
            <v>45888</v>
          </cell>
          <cell r="K3687">
            <v>4</v>
          </cell>
        </row>
        <row r="3688">
          <cell r="C3688" t="str">
            <v>陳奕宏</v>
          </cell>
          <cell r="F3688" t="str">
            <v>K231101R1</v>
          </cell>
          <cell r="J3688">
            <v>45889</v>
          </cell>
          <cell r="K3688">
            <v>8</v>
          </cell>
        </row>
        <row r="3689">
          <cell r="C3689" t="str">
            <v>陳奕宏</v>
          </cell>
          <cell r="F3689" t="str">
            <v>K231101R1</v>
          </cell>
          <cell r="J3689">
            <v>45890</v>
          </cell>
          <cell r="K3689">
            <v>5</v>
          </cell>
        </row>
        <row r="3690">
          <cell r="C3690" t="str">
            <v>陳奕宏</v>
          </cell>
          <cell r="J3690">
            <v>45890</v>
          </cell>
          <cell r="K3690">
            <v>3</v>
          </cell>
        </row>
        <row r="3691">
          <cell r="C3691" t="str">
            <v>陳奕宏</v>
          </cell>
          <cell r="J3691">
            <v>45891</v>
          </cell>
          <cell r="K3691">
            <v>4</v>
          </cell>
        </row>
        <row r="3692">
          <cell r="C3692" t="str">
            <v>陳奕宏</v>
          </cell>
          <cell r="F3692" t="str">
            <v>D250702R1</v>
          </cell>
          <cell r="J3692">
            <v>45891</v>
          </cell>
          <cell r="K3692">
            <v>4</v>
          </cell>
        </row>
        <row r="3693">
          <cell r="C3693" t="str">
            <v>陳奕宏</v>
          </cell>
          <cell r="F3693" t="str">
            <v>D250702R1</v>
          </cell>
          <cell r="J3693">
            <v>45894</v>
          </cell>
          <cell r="K3693">
            <v>8</v>
          </cell>
        </row>
        <row r="3694">
          <cell r="C3694" t="str">
            <v>陳奕宏</v>
          </cell>
          <cell r="F3694" t="str">
            <v>K231101R1</v>
          </cell>
          <cell r="J3694">
            <v>45895</v>
          </cell>
          <cell r="K3694">
            <v>4</v>
          </cell>
        </row>
        <row r="3695">
          <cell r="C3695" t="str">
            <v>陳奕宏</v>
          </cell>
          <cell r="F3695" t="str">
            <v>D250702R1</v>
          </cell>
          <cell r="J3695">
            <v>45895</v>
          </cell>
          <cell r="K3695">
            <v>4</v>
          </cell>
        </row>
        <row r="3696">
          <cell r="C3696" t="str">
            <v>陳奕宏</v>
          </cell>
          <cell r="F3696" t="str">
            <v>K201002R2</v>
          </cell>
          <cell r="J3696">
            <v>45896</v>
          </cell>
          <cell r="K3696">
            <v>3</v>
          </cell>
        </row>
        <row r="3697">
          <cell r="C3697" t="str">
            <v>陳奕宏</v>
          </cell>
          <cell r="J3697">
            <v>45896</v>
          </cell>
          <cell r="K3697">
            <v>1</v>
          </cell>
        </row>
        <row r="3698">
          <cell r="C3698" t="str">
            <v>陳奕宏</v>
          </cell>
          <cell r="F3698" t="str">
            <v>D250702R1</v>
          </cell>
          <cell r="J3698">
            <v>45897</v>
          </cell>
          <cell r="K3698">
            <v>4</v>
          </cell>
        </row>
        <row r="3699">
          <cell r="C3699" t="str">
            <v>陳奕宏</v>
          </cell>
          <cell r="F3699" t="str">
            <v>K231101R1</v>
          </cell>
          <cell r="J3699">
            <v>45897</v>
          </cell>
          <cell r="K3699">
            <v>4</v>
          </cell>
        </row>
        <row r="3700">
          <cell r="C3700" t="str">
            <v>陳奕宏</v>
          </cell>
          <cell r="F3700" t="str">
            <v>K201002R2</v>
          </cell>
          <cell r="J3700">
            <v>45898</v>
          </cell>
          <cell r="K3700">
            <v>1</v>
          </cell>
        </row>
        <row r="3701">
          <cell r="C3701" t="str">
            <v>陳奕宏</v>
          </cell>
          <cell r="F3701" t="str">
            <v>K231101R1</v>
          </cell>
          <cell r="J3701">
            <v>45898</v>
          </cell>
          <cell r="K3701">
            <v>7</v>
          </cell>
        </row>
        <row r="3702">
          <cell r="C3702" t="str">
            <v>陳奕宏</v>
          </cell>
          <cell r="F3702" t="str">
            <v>K231101R1</v>
          </cell>
          <cell r="J3702">
            <v>45901</v>
          </cell>
          <cell r="K3702">
            <v>8</v>
          </cell>
        </row>
        <row r="3703">
          <cell r="C3703" t="str">
            <v>陳奕宏</v>
          </cell>
          <cell r="F3703" t="str">
            <v>K201002R2</v>
          </cell>
          <cell r="J3703">
            <v>45902</v>
          </cell>
          <cell r="K3703">
            <v>8</v>
          </cell>
        </row>
        <row r="3704">
          <cell r="C3704" t="str">
            <v>陳奕宏</v>
          </cell>
          <cell r="F3704" t="str">
            <v>K201002R2</v>
          </cell>
          <cell r="J3704">
            <v>45903</v>
          </cell>
          <cell r="K3704">
            <v>3</v>
          </cell>
        </row>
        <row r="3705">
          <cell r="C3705" t="str">
            <v>陳奕宏</v>
          </cell>
          <cell r="F3705" t="str">
            <v>K231101R1</v>
          </cell>
          <cell r="J3705">
            <v>45903</v>
          </cell>
          <cell r="K3705">
            <v>1</v>
          </cell>
        </row>
        <row r="3706">
          <cell r="C3706" t="str">
            <v>陳奕宏</v>
          </cell>
          <cell r="J3706">
            <v>45903</v>
          </cell>
          <cell r="K3706">
            <v>4</v>
          </cell>
        </row>
        <row r="3707">
          <cell r="C3707" t="str">
            <v>陳奕宏</v>
          </cell>
          <cell r="F3707" t="str">
            <v>D250702R1</v>
          </cell>
          <cell r="J3707">
            <v>45904</v>
          </cell>
          <cell r="K3707">
            <v>8</v>
          </cell>
        </row>
        <row r="3708">
          <cell r="C3708" t="str">
            <v>陳奕宏</v>
          </cell>
          <cell r="F3708" t="str">
            <v>K201002R2</v>
          </cell>
          <cell r="J3708">
            <v>45905</v>
          </cell>
          <cell r="K3708">
            <v>8</v>
          </cell>
        </row>
        <row r="3709">
          <cell r="C3709" t="str">
            <v>陳奕宏</v>
          </cell>
          <cell r="F3709" t="str">
            <v>K201002R2</v>
          </cell>
          <cell r="J3709">
            <v>45908</v>
          </cell>
          <cell r="K3709">
            <v>8</v>
          </cell>
        </row>
        <row r="3710">
          <cell r="C3710" t="str">
            <v>陳奕宏</v>
          </cell>
          <cell r="F3710" t="str">
            <v>K201002R2</v>
          </cell>
          <cell r="J3710">
            <v>45909</v>
          </cell>
          <cell r="K3710">
            <v>6</v>
          </cell>
        </row>
        <row r="3711">
          <cell r="C3711" t="str">
            <v>陳奕宏</v>
          </cell>
          <cell r="F3711" t="str">
            <v>K231101R1</v>
          </cell>
          <cell r="J3711">
            <v>45909</v>
          </cell>
          <cell r="K3711">
            <v>2</v>
          </cell>
        </row>
        <row r="3712">
          <cell r="C3712" t="str">
            <v>陳奕宏</v>
          </cell>
          <cell r="F3712" t="str">
            <v>K201002R2</v>
          </cell>
          <cell r="J3712">
            <v>45910</v>
          </cell>
          <cell r="K3712">
            <v>4</v>
          </cell>
        </row>
        <row r="3713">
          <cell r="C3713" t="str">
            <v>陳奕宏</v>
          </cell>
          <cell r="F3713" t="str">
            <v>K231101R1</v>
          </cell>
          <cell r="J3713">
            <v>45910</v>
          </cell>
          <cell r="K3713">
            <v>2</v>
          </cell>
        </row>
        <row r="3714">
          <cell r="C3714" t="str">
            <v>陳奕宏</v>
          </cell>
          <cell r="J3714">
            <v>45910</v>
          </cell>
          <cell r="K3714">
            <v>1</v>
          </cell>
        </row>
        <row r="3715">
          <cell r="C3715" t="str">
            <v>陳奕宏</v>
          </cell>
          <cell r="J3715">
            <v>45910</v>
          </cell>
          <cell r="K3715">
            <v>1</v>
          </cell>
        </row>
        <row r="3716">
          <cell r="C3716" t="str">
            <v>陳奕宏</v>
          </cell>
          <cell r="F3716" t="str">
            <v>K231101R1</v>
          </cell>
          <cell r="J3716">
            <v>45911</v>
          </cell>
          <cell r="K3716">
            <v>8</v>
          </cell>
        </row>
        <row r="3717">
          <cell r="C3717" t="str">
            <v>陳奕宏</v>
          </cell>
          <cell r="F3717" t="str">
            <v>K231101R1</v>
          </cell>
          <cell r="J3717">
            <v>45912</v>
          </cell>
          <cell r="K3717">
            <v>8</v>
          </cell>
        </row>
        <row r="3718">
          <cell r="C3718" t="str">
            <v>陳奕宏</v>
          </cell>
          <cell r="F3718" t="str">
            <v>K231101R1</v>
          </cell>
          <cell r="J3718">
            <v>45915</v>
          </cell>
          <cell r="K3718">
            <v>8</v>
          </cell>
        </row>
        <row r="3719">
          <cell r="C3719" t="str">
            <v>陳奕宏</v>
          </cell>
          <cell r="F3719" t="str">
            <v>K231101R1</v>
          </cell>
          <cell r="J3719">
            <v>45916</v>
          </cell>
          <cell r="K3719">
            <v>8</v>
          </cell>
        </row>
        <row r="3720">
          <cell r="C3720" t="str">
            <v>陳奕宏</v>
          </cell>
          <cell r="F3720" t="str">
            <v>K231101R1</v>
          </cell>
          <cell r="J3720">
            <v>45917</v>
          </cell>
          <cell r="K3720">
            <v>7</v>
          </cell>
        </row>
        <row r="3721">
          <cell r="C3721" t="str">
            <v>陳奕宏</v>
          </cell>
          <cell r="J3721">
            <v>45917</v>
          </cell>
          <cell r="K3721">
            <v>1</v>
          </cell>
        </row>
        <row r="3722">
          <cell r="C3722" t="str">
            <v>陳奕宏</v>
          </cell>
          <cell r="F3722" t="str">
            <v>K231101R1</v>
          </cell>
          <cell r="J3722">
            <v>45918</v>
          </cell>
          <cell r="K3722">
            <v>8</v>
          </cell>
        </row>
        <row r="3723">
          <cell r="C3723" t="str">
            <v>陳奕宏</v>
          </cell>
          <cell r="F3723" t="str">
            <v>K231101R1</v>
          </cell>
          <cell r="J3723">
            <v>45919</v>
          </cell>
          <cell r="K3723">
            <v>8</v>
          </cell>
        </row>
        <row r="3724">
          <cell r="C3724" t="str">
            <v>陳奕宏</v>
          </cell>
          <cell r="F3724" t="str">
            <v>K231101R1</v>
          </cell>
          <cell r="J3724">
            <v>45922</v>
          </cell>
          <cell r="K3724">
            <v>8</v>
          </cell>
        </row>
        <row r="3725">
          <cell r="C3725" t="str">
            <v>陳奕宏</v>
          </cell>
          <cell r="J3725">
            <v>45923</v>
          </cell>
          <cell r="K3725">
            <v>1</v>
          </cell>
        </row>
        <row r="3726">
          <cell r="C3726" t="str">
            <v>陳奕宏</v>
          </cell>
          <cell r="F3726" t="str">
            <v>K231101R1</v>
          </cell>
          <cell r="J3726">
            <v>45923</v>
          </cell>
          <cell r="K3726">
            <v>7</v>
          </cell>
        </row>
        <row r="3727">
          <cell r="C3727" t="str">
            <v>陳奕宏</v>
          </cell>
          <cell r="F3727" t="str">
            <v>K201002R2</v>
          </cell>
          <cell r="J3727">
            <v>45924</v>
          </cell>
          <cell r="K3727">
            <v>8</v>
          </cell>
        </row>
        <row r="3728">
          <cell r="C3728" t="str">
            <v>陳奕宏</v>
          </cell>
          <cell r="F3728" t="str">
            <v>K231101R1</v>
          </cell>
          <cell r="J3728">
            <v>45925</v>
          </cell>
          <cell r="K3728">
            <v>8</v>
          </cell>
        </row>
        <row r="3729">
          <cell r="C3729" t="str">
            <v>陳奕宏</v>
          </cell>
          <cell r="F3729" t="str">
            <v>K231101R1</v>
          </cell>
          <cell r="J3729">
            <v>45926</v>
          </cell>
          <cell r="K3729">
            <v>8</v>
          </cell>
        </row>
        <row r="3730">
          <cell r="C3730" t="str">
            <v>陳奕宏</v>
          </cell>
          <cell r="J3730">
            <v>45929</v>
          </cell>
          <cell r="K3730">
            <v>8</v>
          </cell>
        </row>
        <row r="3731">
          <cell r="C3731" t="str">
            <v>陳奕宏</v>
          </cell>
          <cell r="F3731" t="str">
            <v>K231101R1</v>
          </cell>
          <cell r="J3731">
            <v>45930</v>
          </cell>
          <cell r="K3731">
            <v>8</v>
          </cell>
        </row>
        <row r="3732">
          <cell r="C3732" t="str">
            <v>陳奕宏</v>
          </cell>
          <cell r="F3732" t="str">
            <v>K231101R1</v>
          </cell>
          <cell r="J3732">
            <v>45931</v>
          </cell>
          <cell r="K3732">
            <v>8</v>
          </cell>
        </row>
        <row r="3733">
          <cell r="C3733" t="str">
            <v>陳奕宏</v>
          </cell>
          <cell r="F3733" t="str">
            <v>K231101R1</v>
          </cell>
          <cell r="J3733">
            <v>45932</v>
          </cell>
          <cell r="K3733">
            <v>8</v>
          </cell>
        </row>
        <row r="3734">
          <cell r="C3734" t="str">
            <v>陳奕宏</v>
          </cell>
          <cell r="J3734">
            <v>45933</v>
          </cell>
          <cell r="K3734">
            <v>4</v>
          </cell>
        </row>
        <row r="3735">
          <cell r="C3735" t="str">
            <v>陳奕宏</v>
          </cell>
          <cell r="F3735" t="str">
            <v>K231101R1</v>
          </cell>
          <cell r="J3735">
            <v>45933</v>
          </cell>
          <cell r="K3735">
            <v>4</v>
          </cell>
        </row>
        <row r="3736">
          <cell r="C3736" t="str">
            <v>陳奕宏</v>
          </cell>
          <cell r="J3736">
            <v>45936</v>
          </cell>
          <cell r="K3736">
            <v>8</v>
          </cell>
        </row>
        <row r="3737">
          <cell r="C3737" t="str">
            <v>陳奕宏</v>
          </cell>
          <cell r="F3737" t="str">
            <v>K231101R1</v>
          </cell>
          <cell r="J3737">
            <v>45937</v>
          </cell>
          <cell r="K3737">
            <v>8</v>
          </cell>
        </row>
        <row r="3738">
          <cell r="C3738" t="str">
            <v>陳奕宏</v>
          </cell>
          <cell r="F3738" t="str">
            <v>D250702R1</v>
          </cell>
          <cell r="J3738">
            <v>45938</v>
          </cell>
          <cell r="K3738">
            <v>5</v>
          </cell>
        </row>
        <row r="3739">
          <cell r="C3739" t="str">
            <v>陳奕宏</v>
          </cell>
          <cell r="F3739" t="str">
            <v>K231101R1</v>
          </cell>
          <cell r="J3739">
            <v>45938</v>
          </cell>
          <cell r="K3739">
            <v>3</v>
          </cell>
        </row>
        <row r="3740">
          <cell r="C3740" t="str">
            <v>陳奕宏</v>
          </cell>
          <cell r="F3740" t="str">
            <v>K231101R1</v>
          </cell>
          <cell r="J3740">
            <v>45939</v>
          </cell>
          <cell r="K3740">
            <v>8</v>
          </cell>
        </row>
        <row r="3741">
          <cell r="C3741" t="str">
            <v>陳奕宏</v>
          </cell>
          <cell r="J3741">
            <v>45940</v>
          </cell>
          <cell r="K3741">
            <v>8</v>
          </cell>
        </row>
        <row r="3742">
          <cell r="C3742" t="str">
            <v>陳奕宏</v>
          </cell>
          <cell r="F3742" t="str">
            <v>K231101R1</v>
          </cell>
          <cell r="J3742">
            <v>45943</v>
          </cell>
          <cell r="K3742">
            <v>8</v>
          </cell>
        </row>
        <row r="3743">
          <cell r="C3743" t="str">
            <v>陳奕宏</v>
          </cell>
          <cell r="F3743" t="str">
            <v>K201002R2</v>
          </cell>
          <cell r="J3743">
            <v>45944</v>
          </cell>
          <cell r="K3743">
            <v>4</v>
          </cell>
        </row>
        <row r="3744">
          <cell r="C3744" t="str">
            <v>陳奕宏</v>
          </cell>
          <cell r="F3744" t="str">
            <v>K231101R1</v>
          </cell>
          <cell r="J3744">
            <v>45944</v>
          </cell>
          <cell r="K3744">
            <v>4</v>
          </cell>
        </row>
        <row r="3745">
          <cell r="C3745" t="str">
            <v>陳奕宏</v>
          </cell>
          <cell r="F3745" t="str">
            <v>K231101R1</v>
          </cell>
          <cell r="J3745">
            <v>45945</v>
          </cell>
          <cell r="K3745">
            <v>8</v>
          </cell>
        </row>
        <row r="3746">
          <cell r="C3746" t="str">
            <v>陳奕宏</v>
          </cell>
          <cell r="F3746" t="str">
            <v>K231101R1</v>
          </cell>
          <cell r="J3746">
            <v>45946</v>
          </cell>
          <cell r="K3746">
            <v>8</v>
          </cell>
        </row>
        <row r="3747">
          <cell r="C3747" t="str">
            <v>陳奕宏</v>
          </cell>
          <cell r="F3747" t="str">
            <v>K231101R1</v>
          </cell>
          <cell r="J3747">
            <v>45947</v>
          </cell>
          <cell r="K3747">
            <v>8</v>
          </cell>
        </row>
        <row r="3748">
          <cell r="C3748" t="str">
            <v>陳奕宏</v>
          </cell>
          <cell r="F3748" t="str">
            <v>K231101R1</v>
          </cell>
          <cell r="J3748">
            <v>45950</v>
          </cell>
          <cell r="K3748">
            <v>8</v>
          </cell>
        </row>
        <row r="3749">
          <cell r="C3749" t="str">
            <v>陳奕宏</v>
          </cell>
          <cell r="F3749" t="str">
            <v>K231101R1</v>
          </cell>
          <cell r="J3749">
            <v>45951</v>
          </cell>
          <cell r="K3749">
            <v>8</v>
          </cell>
        </row>
        <row r="3750">
          <cell r="C3750" t="str">
            <v>陳奕宏</v>
          </cell>
          <cell r="F3750" t="str">
            <v>K231101R1</v>
          </cell>
          <cell r="J3750">
            <v>45952</v>
          </cell>
          <cell r="K3750">
            <v>8</v>
          </cell>
        </row>
        <row r="3751">
          <cell r="C3751" t="str">
            <v>陳奕宏</v>
          </cell>
          <cell r="F3751" t="str">
            <v>K231101R1</v>
          </cell>
          <cell r="J3751">
            <v>45953</v>
          </cell>
          <cell r="K3751">
            <v>8</v>
          </cell>
        </row>
        <row r="3752">
          <cell r="C3752" t="str">
            <v>陳奕宏</v>
          </cell>
          <cell r="J3752">
            <v>45954</v>
          </cell>
          <cell r="K3752">
            <v>8</v>
          </cell>
        </row>
        <row r="3753">
          <cell r="C3753" t="str">
            <v>陳奕宏</v>
          </cell>
          <cell r="F3753" t="str">
            <v>K231101R1</v>
          </cell>
          <cell r="J3753">
            <v>45957</v>
          </cell>
          <cell r="K3753">
            <v>8</v>
          </cell>
        </row>
        <row r="3754">
          <cell r="C3754" t="str">
            <v>陳奕宏</v>
          </cell>
          <cell r="F3754" t="str">
            <v>K231101R1</v>
          </cell>
          <cell r="J3754">
            <v>45958</v>
          </cell>
          <cell r="K3754">
            <v>8</v>
          </cell>
        </row>
        <row r="3755">
          <cell r="C3755" t="str">
            <v>陳奕宏</v>
          </cell>
          <cell r="F3755" t="str">
            <v>K231101R1</v>
          </cell>
          <cell r="J3755">
            <v>45959</v>
          </cell>
          <cell r="K3755">
            <v>8</v>
          </cell>
        </row>
        <row r="3756">
          <cell r="C3756" t="str">
            <v>陳奕宏</v>
          </cell>
          <cell r="F3756" t="str">
            <v>K231101R1</v>
          </cell>
          <cell r="J3756">
            <v>45960</v>
          </cell>
          <cell r="K3756">
            <v>8</v>
          </cell>
        </row>
        <row r="3757">
          <cell r="C3757" t="str">
            <v>陳奕宏</v>
          </cell>
          <cell r="F3757" t="str">
            <v>K231101R1</v>
          </cell>
          <cell r="J3757">
            <v>45961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45964</v>
          </cell>
          <cell r="K3758">
            <v>8</v>
          </cell>
        </row>
        <row r="3759">
          <cell r="C3759" t="str">
            <v>陳奕宏</v>
          </cell>
          <cell r="F3759" t="str">
            <v>K231101R1</v>
          </cell>
          <cell r="J3759">
            <v>45965</v>
          </cell>
          <cell r="K3759">
            <v>8</v>
          </cell>
        </row>
        <row r="3760">
          <cell r="C3760" t="str">
            <v>陳奕宏</v>
          </cell>
          <cell r="F3760" t="str">
            <v>K231101R1</v>
          </cell>
          <cell r="J3760">
            <v>45966</v>
          </cell>
          <cell r="K3760">
            <v>8</v>
          </cell>
        </row>
        <row r="3761">
          <cell r="C3761" t="str">
            <v>陳奕宏</v>
          </cell>
          <cell r="F3761" t="str">
            <v>K231101R1</v>
          </cell>
          <cell r="J3761">
            <v>45967</v>
          </cell>
          <cell r="K3761">
            <v>8</v>
          </cell>
        </row>
        <row r="3762">
          <cell r="C3762" t="str">
            <v>陳奕宏</v>
          </cell>
          <cell r="F3762" t="str">
            <v>K231101R1</v>
          </cell>
          <cell r="J3762">
            <v>45968</v>
          </cell>
          <cell r="K3762">
            <v>8</v>
          </cell>
        </row>
        <row r="3763">
          <cell r="C3763" t="str">
            <v>陳奕宏</v>
          </cell>
          <cell r="F3763" t="str">
            <v>K231101R1</v>
          </cell>
          <cell r="J3763">
            <v>45971</v>
          </cell>
          <cell r="K3763">
            <v>8</v>
          </cell>
        </row>
        <row r="3764">
          <cell r="C3764" t="str">
            <v>陳奕宏</v>
          </cell>
          <cell r="F3764" t="str">
            <v>K231101R1</v>
          </cell>
          <cell r="J3764">
            <v>45972</v>
          </cell>
          <cell r="K3764">
            <v>8</v>
          </cell>
        </row>
        <row r="3765">
          <cell r="C3765" t="str">
            <v>陳奕宏</v>
          </cell>
          <cell r="F3765" t="str">
            <v>K231101R1</v>
          </cell>
          <cell r="J3765">
            <v>45973</v>
          </cell>
          <cell r="K3765">
            <v>8</v>
          </cell>
        </row>
        <row r="3766">
          <cell r="C3766" t="str">
            <v>陳奕宏</v>
          </cell>
          <cell r="F3766" t="str">
            <v>K231101R1</v>
          </cell>
          <cell r="J3766">
            <v>45974</v>
          </cell>
          <cell r="K3766">
            <v>8</v>
          </cell>
        </row>
        <row r="3767">
          <cell r="C3767" t="str">
            <v>陳奕宏</v>
          </cell>
          <cell r="F3767" t="str">
            <v>K231101R1</v>
          </cell>
          <cell r="J3767">
            <v>45975</v>
          </cell>
          <cell r="K3767">
            <v>8</v>
          </cell>
        </row>
        <row r="3768">
          <cell r="C3768" t="str">
            <v>陳奕宏</v>
          </cell>
          <cell r="F3768" t="str">
            <v>K231101R1</v>
          </cell>
          <cell r="J3768">
            <v>45978</v>
          </cell>
          <cell r="K3768">
            <v>8</v>
          </cell>
        </row>
        <row r="3769">
          <cell r="C3769" t="str">
            <v>陳奕宏</v>
          </cell>
          <cell r="F3769" t="str">
            <v>K231101R1</v>
          </cell>
          <cell r="J3769">
            <v>45979</v>
          </cell>
          <cell r="K3769">
            <v>8</v>
          </cell>
        </row>
        <row r="3770">
          <cell r="C3770" t="str">
            <v>陳奕宏</v>
          </cell>
          <cell r="F3770" t="str">
            <v>K231101R1</v>
          </cell>
          <cell r="J3770">
            <v>45980</v>
          </cell>
          <cell r="K3770">
            <v>8</v>
          </cell>
        </row>
        <row r="3771">
          <cell r="C3771" t="str">
            <v>陳奕宏</v>
          </cell>
          <cell r="F3771" t="str">
            <v>K231101R1</v>
          </cell>
          <cell r="J3771">
            <v>45981</v>
          </cell>
          <cell r="K3771">
            <v>8</v>
          </cell>
        </row>
        <row r="3772">
          <cell r="C3772" t="str">
            <v>陳奕宏</v>
          </cell>
          <cell r="F3772" t="str">
            <v>K231101R1</v>
          </cell>
          <cell r="J3772">
            <v>45982</v>
          </cell>
          <cell r="K3772">
            <v>8</v>
          </cell>
        </row>
        <row r="3773">
          <cell r="C3773" t="str">
            <v>陳奕宏</v>
          </cell>
          <cell r="F3773" t="str">
            <v>K231101R1</v>
          </cell>
          <cell r="J3773">
            <v>45985</v>
          </cell>
          <cell r="K3773">
            <v>8</v>
          </cell>
        </row>
        <row r="3774">
          <cell r="C3774" t="str">
            <v>陳奕宏</v>
          </cell>
          <cell r="F3774" t="str">
            <v>K231101R1</v>
          </cell>
          <cell r="J3774">
            <v>45986</v>
          </cell>
          <cell r="K3774">
            <v>8</v>
          </cell>
        </row>
        <row r="3775">
          <cell r="C3775" t="str">
            <v>陳奕宏</v>
          </cell>
          <cell r="F3775" t="str">
            <v>K231101R1</v>
          </cell>
          <cell r="J3775">
            <v>45987</v>
          </cell>
          <cell r="K3775">
            <v>8</v>
          </cell>
        </row>
        <row r="3776">
          <cell r="C3776" t="str">
            <v>陳奕宏</v>
          </cell>
          <cell r="F3776" t="str">
            <v>K231101R1</v>
          </cell>
          <cell r="J3776">
            <v>45988</v>
          </cell>
          <cell r="K3776">
            <v>8</v>
          </cell>
        </row>
        <row r="3777">
          <cell r="C3777" t="str">
            <v>陳奕宏</v>
          </cell>
          <cell r="F3777" t="str">
            <v>K231101R1</v>
          </cell>
          <cell r="J3777">
            <v>45989</v>
          </cell>
          <cell r="K3777">
            <v>8</v>
          </cell>
        </row>
        <row r="3778">
          <cell r="C3778" t="str">
            <v>陳奕宏</v>
          </cell>
          <cell r="F3778" t="str">
            <v>K231101R1</v>
          </cell>
          <cell r="J3778">
            <v>45992</v>
          </cell>
          <cell r="K3778">
            <v>8</v>
          </cell>
        </row>
        <row r="3779">
          <cell r="C3779" t="str">
            <v>陳奕宏</v>
          </cell>
          <cell r="F3779" t="str">
            <v>K231101R1</v>
          </cell>
          <cell r="J3779">
            <v>45993</v>
          </cell>
          <cell r="K3779">
            <v>8</v>
          </cell>
        </row>
        <row r="3780">
          <cell r="C3780" t="str">
            <v>陳奕宏</v>
          </cell>
          <cell r="F3780" t="str">
            <v>K231101R1</v>
          </cell>
          <cell r="J3780">
            <v>45994</v>
          </cell>
          <cell r="K3780">
            <v>8</v>
          </cell>
        </row>
        <row r="3781">
          <cell r="C3781" t="str">
            <v>陳奕宏</v>
          </cell>
          <cell r="F3781" t="str">
            <v>K231101R1</v>
          </cell>
          <cell r="J3781">
            <v>45995</v>
          </cell>
          <cell r="K3781">
            <v>8</v>
          </cell>
        </row>
        <row r="3782">
          <cell r="C3782" t="str">
            <v>陳奕宏</v>
          </cell>
          <cell r="F3782" t="str">
            <v>K231101R1</v>
          </cell>
          <cell r="J3782">
            <v>45996</v>
          </cell>
          <cell r="K3782">
            <v>8</v>
          </cell>
        </row>
        <row r="3783">
          <cell r="C3783" t="str">
            <v>陳奕宏</v>
          </cell>
          <cell r="F3783" t="str">
            <v>K231101R1</v>
          </cell>
          <cell r="J3783">
            <v>45999</v>
          </cell>
          <cell r="K3783">
            <v>8</v>
          </cell>
        </row>
        <row r="3784">
          <cell r="C3784" t="str">
            <v>陳奕宏</v>
          </cell>
          <cell r="F3784" t="str">
            <v>K231101R1</v>
          </cell>
          <cell r="J3784">
            <v>46000</v>
          </cell>
          <cell r="K3784">
            <v>8</v>
          </cell>
        </row>
        <row r="3785">
          <cell r="C3785" t="str">
            <v>陳奕宏</v>
          </cell>
          <cell r="F3785" t="str">
            <v>K231101R1</v>
          </cell>
          <cell r="J3785">
            <v>46001</v>
          </cell>
          <cell r="K3785">
            <v>8</v>
          </cell>
        </row>
        <row r="3786">
          <cell r="C3786" t="str">
            <v>陳奕宏</v>
          </cell>
          <cell r="F3786" t="str">
            <v>K231101R1</v>
          </cell>
          <cell r="J3786">
            <v>46002</v>
          </cell>
          <cell r="K3786">
            <v>8</v>
          </cell>
        </row>
        <row r="3787">
          <cell r="C3787" t="str">
            <v>陳奕宏</v>
          </cell>
          <cell r="F3787" t="str">
            <v>K231101R1</v>
          </cell>
          <cell r="J3787">
            <v>46003</v>
          </cell>
          <cell r="K3787">
            <v>8</v>
          </cell>
        </row>
        <row r="3788">
          <cell r="C3788" t="str">
            <v>陳奕宏</v>
          </cell>
          <cell r="F3788" t="str">
            <v>K231101R1</v>
          </cell>
          <cell r="J3788">
            <v>46006</v>
          </cell>
          <cell r="K3788">
            <v>8</v>
          </cell>
        </row>
        <row r="3789">
          <cell r="C3789" t="str">
            <v>陳奕宏</v>
          </cell>
          <cell r="F3789" t="str">
            <v>K231101R1</v>
          </cell>
          <cell r="J3789">
            <v>46007</v>
          </cell>
          <cell r="K3789">
            <v>8</v>
          </cell>
        </row>
        <row r="3790">
          <cell r="C3790" t="str">
            <v>陳奕宏</v>
          </cell>
          <cell r="F3790" t="str">
            <v>K231101R1</v>
          </cell>
          <cell r="J3790">
            <v>46008</v>
          </cell>
          <cell r="K3790">
            <v>8</v>
          </cell>
        </row>
        <row r="3791">
          <cell r="C3791" t="str">
            <v>陳奕宏</v>
          </cell>
          <cell r="F3791" t="str">
            <v>K231101R1</v>
          </cell>
          <cell r="J3791">
            <v>46009</v>
          </cell>
          <cell r="K3791">
            <v>8</v>
          </cell>
        </row>
        <row r="3792">
          <cell r="C3792" t="str">
            <v>陳奕宏</v>
          </cell>
          <cell r="F3792" t="str">
            <v>K231101R1</v>
          </cell>
          <cell r="J3792">
            <v>46010</v>
          </cell>
          <cell r="K3792">
            <v>8</v>
          </cell>
        </row>
        <row r="3793">
          <cell r="C3793" t="str">
            <v>陳奕宏</v>
          </cell>
          <cell r="F3793" t="str">
            <v>K231101R1</v>
          </cell>
          <cell r="J3793">
            <v>46013</v>
          </cell>
          <cell r="K3793">
            <v>8</v>
          </cell>
        </row>
        <row r="3794">
          <cell r="C3794" t="str">
            <v>陳奕宏</v>
          </cell>
          <cell r="F3794" t="str">
            <v>K231101R1</v>
          </cell>
          <cell r="J3794">
            <v>46014</v>
          </cell>
          <cell r="K3794">
            <v>8</v>
          </cell>
        </row>
        <row r="3795">
          <cell r="C3795" t="str">
            <v>陳奕宏</v>
          </cell>
          <cell r="F3795" t="str">
            <v>K231101R1</v>
          </cell>
          <cell r="J3795">
            <v>46015</v>
          </cell>
          <cell r="K3795">
            <v>8</v>
          </cell>
        </row>
        <row r="3796">
          <cell r="C3796" t="str">
            <v>陳奕宏</v>
          </cell>
          <cell r="F3796" t="str">
            <v>K231101R1</v>
          </cell>
          <cell r="J3796">
            <v>46020</v>
          </cell>
          <cell r="K3796">
            <v>8</v>
          </cell>
        </row>
        <row r="3797">
          <cell r="C3797" t="str">
            <v>陳奕宏</v>
          </cell>
          <cell r="F3797" t="str">
            <v>K231101R1</v>
          </cell>
          <cell r="J3797">
            <v>46021</v>
          </cell>
          <cell r="K3797">
            <v>8</v>
          </cell>
        </row>
        <row r="3798">
          <cell r="C3798" t="str">
            <v>陳奕宏</v>
          </cell>
          <cell r="F3798" t="str">
            <v>K231101R1</v>
          </cell>
          <cell r="J3798">
            <v>46022</v>
          </cell>
          <cell r="K3798">
            <v>8</v>
          </cell>
        </row>
        <row r="3799">
          <cell r="C3799" t="str">
            <v>陳奕宏</v>
          </cell>
          <cell r="F3799" t="str">
            <v>K231101R1</v>
          </cell>
          <cell r="J3799">
            <v>46024</v>
          </cell>
          <cell r="K3799">
            <v>8</v>
          </cell>
        </row>
        <row r="3800">
          <cell r="C3800" t="str">
            <v>陳奕宏</v>
          </cell>
          <cell r="F3800" t="str">
            <v>K231101R1</v>
          </cell>
          <cell r="J3800">
            <v>46027</v>
          </cell>
          <cell r="K3800">
            <v>8</v>
          </cell>
        </row>
        <row r="3801">
          <cell r="C3801" t="str">
            <v>陳奕宏</v>
          </cell>
          <cell r="F3801" t="str">
            <v>K231101R1</v>
          </cell>
          <cell r="J3801">
            <v>46028</v>
          </cell>
          <cell r="K3801">
            <v>8</v>
          </cell>
        </row>
        <row r="3802">
          <cell r="C3802" t="str">
            <v>陳奕宏</v>
          </cell>
          <cell r="F3802" t="str">
            <v>K231101R1</v>
          </cell>
          <cell r="J3802">
            <v>46029</v>
          </cell>
          <cell r="K3802">
            <v>8</v>
          </cell>
        </row>
        <row r="3803">
          <cell r="C3803" t="str">
            <v>陳奕宏</v>
          </cell>
          <cell r="F3803" t="str">
            <v>K231101R1</v>
          </cell>
          <cell r="J3803">
            <v>46030</v>
          </cell>
          <cell r="K3803">
            <v>8</v>
          </cell>
        </row>
        <row r="3804">
          <cell r="C3804" t="str">
            <v>陳奕宏</v>
          </cell>
          <cell r="F3804" t="str">
            <v>K231101R1</v>
          </cell>
          <cell r="J3804">
            <v>46031</v>
          </cell>
          <cell r="K3804">
            <v>8</v>
          </cell>
        </row>
        <row r="3805">
          <cell r="C3805" t="str">
            <v>陳奕宏</v>
          </cell>
          <cell r="F3805" t="str">
            <v>K231101R1</v>
          </cell>
          <cell r="J3805">
            <v>46034</v>
          </cell>
          <cell r="K3805">
            <v>8</v>
          </cell>
        </row>
        <row r="3806">
          <cell r="C3806" t="str">
            <v>陳奕宏</v>
          </cell>
          <cell r="F3806" t="str">
            <v>K231101R1</v>
          </cell>
          <cell r="J3806">
            <v>46035</v>
          </cell>
          <cell r="K3806">
            <v>8</v>
          </cell>
        </row>
        <row r="3807">
          <cell r="C3807" t="str">
            <v>陳奕宏</v>
          </cell>
          <cell r="F3807" t="str">
            <v>K231101R1</v>
          </cell>
          <cell r="J3807">
            <v>46036</v>
          </cell>
          <cell r="K3807">
            <v>8</v>
          </cell>
        </row>
        <row r="3808">
          <cell r="C3808" t="str">
            <v>陳奕宏</v>
          </cell>
          <cell r="F3808" t="str">
            <v>K231101R1</v>
          </cell>
          <cell r="J3808">
            <v>46037</v>
          </cell>
          <cell r="K3808">
            <v>8</v>
          </cell>
        </row>
        <row r="3809">
          <cell r="C3809" t="str">
            <v>陳奕宏</v>
          </cell>
          <cell r="F3809" t="str">
            <v>K231101R1</v>
          </cell>
          <cell r="J3809">
            <v>46038</v>
          </cell>
          <cell r="K3809">
            <v>8</v>
          </cell>
        </row>
        <row r="3810">
          <cell r="C3810" t="str">
            <v>陳奕宏</v>
          </cell>
          <cell r="F3810" t="str">
            <v>K231101R1</v>
          </cell>
          <cell r="J3810">
            <v>46041</v>
          </cell>
          <cell r="K3810">
            <v>8</v>
          </cell>
        </row>
        <row r="3811">
          <cell r="C3811" t="str">
            <v>陳奕宏</v>
          </cell>
          <cell r="F3811" t="str">
            <v>K231101R1</v>
          </cell>
          <cell r="J3811">
            <v>46042</v>
          </cell>
          <cell r="K3811">
            <v>8</v>
          </cell>
        </row>
        <row r="3812">
          <cell r="C3812" t="str">
            <v>陳奕宏</v>
          </cell>
          <cell r="F3812" t="str">
            <v>K231101R1</v>
          </cell>
          <cell r="J3812">
            <v>46043</v>
          </cell>
          <cell r="K3812">
            <v>8</v>
          </cell>
        </row>
        <row r="3813">
          <cell r="C3813" t="str">
            <v>陳奕宏</v>
          </cell>
          <cell r="F3813" t="str">
            <v>K231101R1</v>
          </cell>
          <cell r="J3813">
            <v>46044</v>
          </cell>
          <cell r="K3813">
            <v>8</v>
          </cell>
        </row>
        <row r="3814">
          <cell r="C3814" t="str">
            <v>陳奕宏</v>
          </cell>
          <cell r="F3814" t="str">
            <v>K231101R1</v>
          </cell>
          <cell r="J3814">
            <v>46045</v>
          </cell>
          <cell r="K3814">
            <v>8</v>
          </cell>
        </row>
        <row r="3815">
          <cell r="C3815" t="str">
            <v>陳奕宏</v>
          </cell>
          <cell r="F3815" t="str">
            <v>K231101R1</v>
          </cell>
          <cell r="J3815">
            <v>46048</v>
          </cell>
          <cell r="K3815">
            <v>8</v>
          </cell>
        </row>
        <row r="3816">
          <cell r="C3816" t="str">
            <v>陳奕宏</v>
          </cell>
          <cell r="F3816" t="str">
            <v>K231101R1</v>
          </cell>
          <cell r="J3816">
            <v>46049</v>
          </cell>
          <cell r="K3816">
            <v>8</v>
          </cell>
        </row>
        <row r="3817">
          <cell r="C3817" t="str">
            <v>陳奕宏</v>
          </cell>
          <cell r="F3817" t="str">
            <v>K231101R1</v>
          </cell>
          <cell r="J3817">
            <v>46050</v>
          </cell>
          <cell r="K3817">
            <v>8</v>
          </cell>
        </row>
        <row r="3818">
          <cell r="C3818" t="str">
            <v>陳奕宏</v>
          </cell>
          <cell r="F3818" t="str">
            <v>K231101R1</v>
          </cell>
          <cell r="J3818">
            <v>46051</v>
          </cell>
          <cell r="K3818">
            <v>8</v>
          </cell>
        </row>
        <row r="3819">
          <cell r="C3819" t="str">
            <v>陳奕宏</v>
          </cell>
          <cell r="F3819" t="str">
            <v>K231101R1</v>
          </cell>
          <cell r="J3819">
            <v>46052</v>
          </cell>
          <cell r="K3819">
            <v>8</v>
          </cell>
        </row>
        <row r="3820">
          <cell r="C3820" t="str">
            <v>陳奕宏</v>
          </cell>
          <cell r="F3820" t="str">
            <v>K231101R1</v>
          </cell>
          <cell r="J3820">
            <v>46055</v>
          </cell>
          <cell r="K3820">
            <v>8</v>
          </cell>
        </row>
        <row r="3821">
          <cell r="C3821" t="str">
            <v>陳奕宏</v>
          </cell>
          <cell r="F3821" t="str">
            <v>K231101R1</v>
          </cell>
          <cell r="J3821">
            <v>46056</v>
          </cell>
          <cell r="K3821">
            <v>8</v>
          </cell>
        </row>
        <row r="3822">
          <cell r="C3822" t="str">
            <v>陳奕宏</v>
          </cell>
          <cell r="F3822" t="str">
            <v>K231101R1</v>
          </cell>
          <cell r="J3822">
            <v>46057</v>
          </cell>
          <cell r="K3822">
            <v>8</v>
          </cell>
        </row>
        <row r="3823">
          <cell r="C3823" t="str">
            <v>陳奕宏</v>
          </cell>
          <cell r="F3823" t="str">
            <v>K231101R1</v>
          </cell>
          <cell r="J3823">
            <v>46058</v>
          </cell>
          <cell r="K3823">
            <v>8</v>
          </cell>
        </row>
        <row r="3824">
          <cell r="C3824" t="str">
            <v>陳奕宏</v>
          </cell>
          <cell r="F3824" t="str">
            <v>K231101R1</v>
          </cell>
          <cell r="J3824">
            <v>46059</v>
          </cell>
          <cell r="K3824">
            <v>8</v>
          </cell>
        </row>
        <row r="3825">
          <cell r="C3825" t="str">
            <v>陳奕宏</v>
          </cell>
          <cell r="F3825" t="str">
            <v>K231101R1</v>
          </cell>
          <cell r="J3825">
            <v>46062</v>
          </cell>
          <cell r="K3825">
            <v>8</v>
          </cell>
        </row>
        <row r="3826">
          <cell r="C3826" t="str">
            <v>陳奕宏</v>
          </cell>
          <cell r="F3826" t="str">
            <v>K231101R1</v>
          </cell>
          <cell r="J3826">
            <v>46063</v>
          </cell>
          <cell r="K3826">
            <v>8</v>
          </cell>
        </row>
        <row r="3827">
          <cell r="C3827" t="str">
            <v>陳奕宏</v>
          </cell>
          <cell r="F3827" t="str">
            <v>K231101R1</v>
          </cell>
          <cell r="J3827">
            <v>46064</v>
          </cell>
          <cell r="K3827">
            <v>8</v>
          </cell>
        </row>
        <row r="3828">
          <cell r="C3828" t="str">
            <v>陳奕宏</v>
          </cell>
          <cell r="F3828" t="str">
            <v>K231101R1</v>
          </cell>
          <cell r="J3828">
            <v>46076</v>
          </cell>
          <cell r="K3828">
            <v>8</v>
          </cell>
        </row>
        <row r="3829">
          <cell r="C3829" t="str">
            <v>陳奕宏</v>
          </cell>
          <cell r="F3829" t="str">
            <v>K231101R1</v>
          </cell>
          <cell r="J3829">
            <v>46077</v>
          </cell>
          <cell r="K3829">
            <v>8</v>
          </cell>
        </row>
        <row r="3830">
          <cell r="C3830" t="str">
            <v>陳奕宏</v>
          </cell>
          <cell r="F3830" t="str">
            <v>K231101R1</v>
          </cell>
          <cell r="J3830">
            <v>46078</v>
          </cell>
          <cell r="K3830">
            <v>8</v>
          </cell>
        </row>
        <row r="3831">
          <cell r="C3831" t="str">
            <v>陳奕宏</v>
          </cell>
          <cell r="F3831" t="str">
            <v>K231101R1</v>
          </cell>
          <cell r="J3831">
            <v>46079</v>
          </cell>
          <cell r="K3831">
            <v>8</v>
          </cell>
        </row>
        <row r="3832">
          <cell r="C3832" t="str">
            <v>陳奕宏</v>
          </cell>
          <cell r="F3832" t="str">
            <v>K231101R1</v>
          </cell>
          <cell r="J3832">
            <v>46083</v>
          </cell>
          <cell r="K3832">
            <v>8</v>
          </cell>
        </row>
        <row r="3833">
          <cell r="C3833" t="str">
            <v>陳奕宏</v>
          </cell>
          <cell r="F3833" t="str">
            <v>K231101R1</v>
          </cell>
          <cell r="J3833">
            <v>46084</v>
          </cell>
          <cell r="K3833">
            <v>8</v>
          </cell>
        </row>
        <row r="3834">
          <cell r="C3834" t="str">
            <v>陳奕宏</v>
          </cell>
          <cell r="F3834" t="str">
            <v>K231101R1</v>
          </cell>
          <cell r="J3834">
            <v>46085</v>
          </cell>
          <cell r="K3834">
            <v>8</v>
          </cell>
        </row>
        <row r="3835">
          <cell r="C3835" t="str">
            <v>陳奕宏</v>
          </cell>
          <cell r="F3835" t="str">
            <v>K231101R1</v>
          </cell>
          <cell r="J3835">
            <v>46086</v>
          </cell>
          <cell r="K3835">
            <v>8</v>
          </cell>
        </row>
        <row r="3836">
          <cell r="C3836" t="str">
            <v>陳奕宏</v>
          </cell>
          <cell r="F3836" t="str">
            <v>K231101R1</v>
          </cell>
          <cell r="J3836">
            <v>46087</v>
          </cell>
          <cell r="K3836">
            <v>8</v>
          </cell>
        </row>
        <row r="3837">
          <cell r="C3837" t="str">
            <v>陳奕宏</v>
          </cell>
          <cell r="F3837" t="str">
            <v>K231101R1</v>
          </cell>
          <cell r="J3837">
            <v>46090</v>
          </cell>
          <cell r="K3837">
            <v>8</v>
          </cell>
        </row>
        <row r="3838">
          <cell r="C3838" t="str">
            <v>陳奕宏</v>
          </cell>
          <cell r="F3838" t="str">
            <v>K231101R1</v>
          </cell>
          <cell r="J3838">
            <v>46091</v>
          </cell>
          <cell r="K3838">
            <v>8</v>
          </cell>
        </row>
        <row r="3839">
          <cell r="C3839" t="str">
            <v>陳奕宏</v>
          </cell>
          <cell r="F3839" t="str">
            <v>K231101R1</v>
          </cell>
          <cell r="J3839">
            <v>46092</v>
          </cell>
          <cell r="K3839">
            <v>8</v>
          </cell>
        </row>
        <row r="3840">
          <cell r="C3840" t="str">
            <v>陳奕宏</v>
          </cell>
          <cell r="F3840" t="str">
            <v>K231101R1</v>
          </cell>
          <cell r="J3840">
            <v>46093</v>
          </cell>
          <cell r="K3840">
            <v>8</v>
          </cell>
        </row>
        <row r="3841">
          <cell r="C3841" t="str">
            <v>陳奕宏</v>
          </cell>
          <cell r="F3841" t="str">
            <v>K231101R1</v>
          </cell>
          <cell r="J3841">
            <v>46099</v>
          </cell>
          <cell r="K3841">
            <v>8</v>
          </cell>
        </row>
        <row r="3842">
          <cell r="C3842" t="str">
            <v>陳奕宏</v>
          </cell>
          <cell r="F3842" t="str">
            <v>K231101R1</v>
          </cell>
          <cell r="J3842">
            <v>46100</v>
          </cell>
          <cell r="K3842">
            <v>8</v>
          </cell>
        </row>
        <row r="3843">
          <cell r="C3843" t="str">
            <v>陳奕宏</v>
          </cell>
          <cell r="F3843" t="str">
            <v>K231101R1</v>
          </cell>
          <cell r="J3843">
            <v>46101</v>
          </cell>
          <cell r="K3843">
            <v>8</v>
          </cell>
        </row>
        <row r="3844">
          <cell r="C3844" t="str">
            <v>陳奕宏</v>
          </cell>
          <cell r="F3844" t="str">
            <v>K231101R1</v>
          </cell>
          <cell r="J3844">
            <v>46104</v>
          </cell>
          <cell r="K3844">
            <v>8</v>
          </cell>
        </row>
        <row r="3845">
          <cell r="C3845" t="str">
            <v>陳奕宏</v>
          </cell>
          <cell r="F3845" t="str">
            <v>K231101R1</v>
          </cell>
          <cell r="J3845">
            <v>46105</v>
          </cell>
          <cell r="K3845">
            <v>8</v>
          </cell>
        </row>
        <row r="3846">
          <cell r="C3846" t="str">
            <v>陳奕宏</v>
          </cell>
          <cell r="F3846" t="str">
            <v>K231101R1</v>
          </cell>
          <cell r="J3846">
            <v>46106</v>
          </cell>
          <cell r="K3846">
            <v>8</v>
          </cell>
        </row>
        <row r="3847">
          <cell r="C3847" t="str">
            <v>陳奕宏</v>
          </cell>
          <cell r="F3847" t="str">
            <v>K231101R1</v>
          </cell>
          <cell r="J3847">
            <v>46107</v>
          </cell>
          <cell r="K3847">
            <v>8</v>
          </cell>
        </row>
        <row r="3848">
          <cell r="C3848" t="str">
            <v>陳奕宏</v>
          </cell>
          <cell r="F3848" t="str">
            <v>K231101R1</v>
          </cell>
          <cell r="J3848">
            <v>46108</v>
          </cell>
          <cell r="K3848">
            <v>8</v>
          </cell>
        </row>
        <row r="3849">
          <cell r="C3849" t="str">
            <v>陳奕宏</v>
          </cell>
          <cell r="F3849" t="str">
            <v>K231101R1</v>
          </cell>
          <cell r="J3849">
            <v>46111</v>
          </cell>
          <cell r="K3849">
            <v>8</v>
          </cell>
        </row>
        <row r="3850">
          <cell r="C3850" t="str">
            <v>陳奕宏</v>
          </cell>
          <cell r="F3850" t="str">
            <v>K231101R1</v>
          </cell>
          <cell r="J3850">
            <v>46112</v>
          </cell>
          <cell r="K3850">
            <v>8</v>
          </cell>
        </row>
        <row r="3851">
          <cell r="C3851" t="str">
            <v>陳奕宏</v>
          </cell>
          <cell r="F3851" t="str">
            <v>K231101R1</v>
          </cell>
          <cell r="J3851">
            <v>46113</v>
          </cell>
          <cell r="K3851">
            <v>8</v>
          </cell>
        </row>
        <row r="3852">
          <cell r="C3852" t="str">
            <v>陳奕宏</v>
          </cell>
          <cell r="F3852" t="str">
            <v>K231101R1</v>
          </cell>
          <cell r="J3852">
            <v>46114</v>
          </cell>
          <cell r="K3852">
            <v>4</v>
          </cell>
        </row>
        <row r="3853">
          <cell r="C3853" t="str">
            <v>陳奕宏</v>
          </cell>
          <cell r="F3853" t="str">
            <v>K231101R1</v>
          </cell>
          <cell r="J3853">
            <v>46119</v>
          </cell>
          <cell r="K3853">
            <v>8</v>
          </cell>
        </row>
        <row r="3854">
          <cell r="C3854" t="str">
            <v>陳奕宏</v>
          </cell>
          <cell r="F3854" t="str">
            <v>K231101R1</v>
          </cell>
          <cell r="J3854">
            <v>46120</v>
          </cell>
          <cell r="K3854">
            <v>8</v>
          </cell>
        </row>
        <row r="3855">
          <cell r="C3855" t="str">
            <v>陳奕宏</v>
          </cell>
          <cell r="F3855" t="str">
            <v>K231101R1</v>
          </cell>
          <cell r="J3855">
            <v>46121</v>
          </cell>
          <cell r="K3855">
            <v>8</v>
          </cell>
        </row>
        <row r="3856">
          <cell r="C3856" t="str">
            <v>陳奕宏</v>
          </cell>
          <cell r="F3856" t="str">
            <v>K231101R1</v>
          </cell>
          <cell r="J3856">
            <v>46122</v>
          </cell>
          <cell r="K3856">
            <v>8</v>
          </cell>
        </row>
        <row r="3857">
          <cell r="C3857" t="str">
            <v>陳奕宏</v>
          </cell>
          <cell r="F3857" t="str">
            <v>K231101R1</v>
          </cell>
          <cell r="J3857">
            <v>46125</v>
          </cell>
          <cell r="K3857">
            <v>8</v>
          </cell>
        </row>
        <row r="3858">
          <cell r="C3858" t="str">
            <v>陳奕宏</v>
          </cell>
          <cell r="F3858" t="str">
            <v>K231101R1</v>
          </cell>
          <cell r="J3858">
            <v>46126</v>
          </cell>
          <cell r="K3858">
            <v>8</v>
          </cell>
        </row>
        <row r="3859">
          <cell r="C3859" t="str">
            <v>陳奕宏</v>
          </cell>
          <cell r="F3859" t="str">
            <v>K231101R1</v>
          </cell>
          <cell r="J3859">
            <v>46127</v>
          </cell>
          <cell r="K3859">
            <v>8</v>
          </cell>
        </row>
        <row r="3860">
          <cell r="C3860" t="str">
            <v>陳奕宏</v>
          </cell>
          <cell r="F3860" t="str">
            <v>K201002R2</v>
          </cell>
          <cell r="J3860">
            <v>46128</v>
          </cell>
          <cell r="K3860">
            <v>8</v>
          </cell>
        </row>
        <row r="3861">
          <cell r="C3861" t="str">
            <v>陳奕宏</v>
          </cell>
          <cell r="F3861" t="str">
            <v>K201002R2</v>
          </cell>
          <cell r="J3861">
            <v>46129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46132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46133</v>
          </cell>
          <cell r="K3863">
            <v>8</v>
          </cell>
        </row>
        <row r="3864">
          <cell r="C3864" t="str">
            <v>陳奕宏</v>
          </cell>
          <cell r="F3864" t="str">
            <v>K240801R2</v>
          </cell>
          <cell r="J3864">
            <v>46134</v>
          </cell>
          <cell r="K3864">
            <v>8</v>
          </cell>
        </row>
        <row r="3865">
          <cell r="C3865" t="str">
            <v>陳奕宏</v>
          </cell>
          <cell r="F3865" t="str">
            <v>K231101R1</v>
          </cell>
          <cell r="J3865">
            <v>46135</v>
          </cell>
          <cell r="K3865">
            <v>8</v>
          </cell>
        </row>
        <row r="3866">
          <cell r="C3866" t="str">
            <v>陳奕宏</v>
          </cell>
          <cell r="F3866" t="str">
            <v>K231101R1</v>
          </cell>
          <cell r="J3866">
            <v>46136</v>
          </cell>
          <cell r="K3866">
            <v>4</v>
          </cell>
        </row>
        <row r="3867">
          <cell r="C3867" t="str">
            <v>劉益瑋</v>
          </cell>
          <cell r="F3867" t="str">
            <v>K231101R1</v>
          </cell>
          <cell r="J3867">
            <v>45992</v>
          </cell>
          <cell r="K3867">
            <v>8</v>
          </cell>
        </row>
        <row r="3868">
          <cell r="C3868" t="str">
            <v>劉益瑋</v>
          </cell>
          <cell r="F3868" t="str">
            <v>M230605R1</v>
          </cell>
          <cell r="J3868">
            <v>45993</v>
          </cell>
          <cell r="K3868">
            <v>8</v>
          </cell>
        </row>
        <row r="3869">
          <cell r="C3869" t="str">
            <v>劉益瑋</v>
          </cell>
          <cell r="F3869" t="str">
            <v>K231101R1</v>
          </cell>
          <cell r="J3869">
            <v>45994</v>
          </cell>
          <cell r="K3869">
            <v>8</v>
          </cell>
        </row>
        <row r="3870">
          <cell r="C3870" t="str">
            <v>劉益瑋</v>
          </cell>
          <cell r="F3870" t="str">
            <v>M230605R1</v>
          </cell>
          <cell r="J3870">
            <v>45995</v>
          </cell>
          <cell r="K3870">
            <v>8</v>
          </cell>
        </row>
        <row r="3871">
          <cell r="C3871" t="str">
            <v>劉益瑋</v>
          </cell>
          <cell r="F3871" t="str">
            <v>M230605R1</v>
          </cell>
          <cell r="J3871">
            <v>45996</v>
          </cell>
          <cell r="K3871">
            <v>8</v>
          </cell>
        </row>
        <row r="3872">
          <cell r="C3872" t="str">
            <v>劉益瑋</v>
          </cell>
          <cell r="F3872" t="str">
            <v>M230605R1</v>
          </cell>
          <cell r="J3872">
            <v>45999</v>
          </cell>
          <cell r="K3872">
            <v>8</v>
          </cell>
        </row>
        <row r="3873">
          <cell r="C3873" t="str">
            <v>劉益瑋</v>
          </cell>
          <cell r="F3873" t="str">
            <v>M230605R1</v>
          </cell>
          <cell r="J3873">
            <v>46000</v>
          </cell>
          <cell r="K3873">
            <v>8</v>
          </cell>
        </row>
        <row r="3874">
          <cell r="C3874" t="str">
            <v>劉益瑋</v>
          </cell>
          <cell r="F3874" t="str">
            <v>M230605R1</v>
          </cell>
          <cell r="J3874">
            <v>46001</v>
          </cell>
          <cell r="K3874">
            <v>8</v>
          </cell>
        </row>
        <row r="3875">
          <cell r="C3875" t="str">
            <v>劉益瑋</v>
          </cell>
          <cell r="F3875" t="str">
            <v>K231101R1</v>
          </cell>
          <cell r="J3875">
            <v>46002</v>
          </cell>
          <cell r="K3875">
            <v>8</v>
          </cell>
        </row>
        <row r="3876">
          <cell r="C3876" t="str">
            <v>劉益瑋</v>
          </cell>
          <cell r="F3876" t="str">
            <v>M230605R1</v>
          </cell>
          <cell r="J3876">
            <v>46003</v>
          </cell>
          <cell r="K3876">
            <v>8</v>
          </cell>
        </row>
        <row r="3877">
          <cell r="C3877" t="str">
            <v>劉益瑋</v>
          </cell>
          <cell r="F3877" t="str">
            <v>K231101R1</v>
          </cell>
          <cell r="J3877">
            <v>46006</v>
          </cell>
          <cell r="K3877">
            <v>8</v>
          </cell>
        </row>
        <row r="3878">
          <cell r="C3878" t="str">
            <v>劉益瑋</v>
          </cell>
          <cell r="F3878" t="str">
            <v>M230605R1</v>
          </cell>
          <cell r="J3878">
            <v>46007</v>
          </cell>
          <cell r="K3878">
            <v>8</v>
          </cell>
        </row>
        <row r="3879">
          <cell r="C3879" t="str">
            <v>劉益瑋</v>
          </cell>
          <cell r="F3879" t="str">
            <v>K231101R1</v>
          </cell>
          <cell r="J3879">
            <v>46008</v>
          </cell>
          <cell r="K3879">
            <v>8</v>
          </cell>
        </row>
        <row r="3880">
          <cell r="C3880" t="str">
            <v>劉益瑋</v>
          </cell>
          <cell r="F3880" t="str">
            <v>M230605R1</v>
          </cell>
          <cell r="J3880">
            <v>46009</v>
          </cell>
          <cell r="K3880">
            <v>8</v>
          </cell>
        </row>
        <row r="3881">
          <cell r="C3881" t="str">
            <v>劉益瑋</v>
          </cell>
          <cell r="F3881" t="str">
            <v>K231101R1</v>
          </cell>
          <cell r="J3881">
            <v>46010</v>
          </cell>
          <cell r="K3881">
            <v>8</v>
          </cell>
        </row>
        <row r="3882">
          <cell r="C3882" t="str">
            <v>劉益瑋</v>
          </cell>
          <cell r="F3882" t="str">
            <v>K231101R1</v>
          </cell>
          <cell r="J3882">
            <v>46013</v>
          </cell>
          <cell r="K3882">
            <v>8</v>
          </cell>
        </row>
        <row r="3883">
          <cell r="C3883" t="str">
            <v>劉益瑋</v>
          </cell>
          <cell r="F3883" t="str">
            <v>K231101R1</v>
          </cell>
          <cell r="J3883">
            <v>46014</v>
          </cell>
          <cell r="K3883">
            <v>8</v>
          </cell>
        </row>
        <row r="3884">
          <cell r="C3884" t="str">
            <v>劉益瑋</v>
          </cell>
          <cell r="F3884" t="str">
            <v>K231101R1</v>
          </cell>
          <cell r="J3884">
            <v>46015</v>
          </cell>
          <cell r="K3884">
            <v>8</v>
          </cell>
        </row>
        <row r="3885">
          <cell r="C3885" t="str">
            <v>劉益瑋</v>
          </cell>
          <cell r="F3885" t="str">
            <v>K231101R1</v>
          </cell>
          <cell r="J3885">
            <v>46017</v>
          </cell>
          <cell r="K3885">
            <v>8</v>
          </cell>
        </row>
        <row r="3886">
          <cell r="C3886" t="str">
            <v>劉益瑋</v>
          </cell>
          <cell r="F3886" t="str">
            <v>K240801R2</v>
          </cell>
          <cell r="J3886">
            <v>46020</v>
          </cell>
          <cell r="K3886">
            <v>8</v>
          </cell>
        </row>
        <row r="3887">
          <cell r="C3887" t="str">
            <v>劉益瑋</v>
          </cell>
          <cell r="F3887" t="str">
            <v>K240801R2</v>
          </cell>
          <cell r="J3887">
            <v>46021</v>
          </cell>
          <cell r="K3887">
            <v>8</v>
          </cell>
        </row>
        <row r="3888">
          <cell r="C3888" t="str">
            <v>劉益瑋</v>
          </cell>
          <cell r="F3888" t="str">
            <v>K231101R1</v>
          </cell>
          <cell r="J3888">
            <v>46022</v>
          </cell>
          <cell r="K3888">
            <v>8</v>
          </cell>
        </row>
        <row r="3889">
          <cell r="C3889" t="str">
            <v>劉益瑋</v>
          </cell>
          <cell r="F3889" t="str">
            <v>K240801R2</v>
          </cell>
          <cell r="J3889">
            <v>46024</v>
          </cell>
          <cell r="K3889">
            <v>8</v>
          </cell>
        </row>
        <row r="3890">
          <cell r="C3890" t="str">
            <v>劉益瑋</v>
          </cell>
          <cell r="F3890" t="str">
            <v>K240801R2</v>
          </cell>
          <cell r="J3890">
            <v>46027</v>
          </cell>
          <cell r="K3890">
            <v>8</v>
          </cell>
        </row>
        <row r="3891">
          <cell r="C3891" t="str">
            <v>劉益瑋</v>
          </cell>
          <cell r="F3891" t="str">
            <v>K240801R2</v>
          </cell>
          <cell r="J3891">
            <v>46028</v>
          </cell>
          <cell r="K3891">
            <v>8</v>
          </cell>
        </row>
        <row r="3892">
          <cell r="C3892" t="str">
            <v>劉益瑋</v>
          </cell>
          <cell r="F3892" t="str">
            <v>K231101R1</v>
          </cell>
          <cell r="J3892">
            <v>46029</v>
          </cell>
          <cell r="K3892">
            <v>8</v>
          </cell>
        </row>
        <row r="3893">
          <cell r="C3893" t="str">
            <v>劉益瑋</v>
          </cell>
          <cell r="F3893" t="str">
            <v>K240801R2</v>
          </cell>
          <cell r="J3893">
            <v>46030</v>
          </cell>
          <cell r="K3893">
            <v>8</v>
          </cell>
        </row>
        <row r="3894">
          <cell r="C3894" t="str">
            <v>劉益瑋</v>
          </cell>
          <cell r="F3894" t="str">
            <v>K231101R1</v>
          </cell>
          <cell r="J3894">
            <v>46031</v>
          </cell>
          <cell r="K3894">
            <v>8</v>
          </cell>
        </row>
        <row r="3895">
          <cell r="C3895" t="str">
            <v>劉益瑋</v>
          </cell>
          <cell r="F3895" t="str">
            <v>K240801R2</v>
          </cell>
          <cell r="J3895">
            <v>46034</v>
          </cell>
          <cell r="K3895">
            <v>8</v>
          </cell>
        </row>
        <row r="3896">
          <cell r="C3896" t="str">
            <v>劉益瑋</v>
          </cell>
          <cell r="F3896" t="str">
            <v>K231101R1</v>
          </cell>
          <cell r="J3896">
            <v>46035</v>
          </cell>
          <cell r="K3896">
            <v>8</v>
          </cell>
        </row>
        <row r="3897">
          <cell r="C3897" t="str">
            <v>劉益瑋</v>
          </cell>
          <cell r="F3897" t="str">
            <v>K231101R1</v>
          </cell>
          <cell r="J3897">
            <v>46036</v>
          </cell>
          <cell r="K3897">
            <v>8</v>
          </cell>
        </row>
        <row r="3898">
          <cell r="C3898" t="str">
            <v>劉益瑋</v>
          </cell>
          <cell r="F3898" t="str">
            <v>K231101R1</v>
          </cell>
          <cell r="J3898">
            <v>46037</v>
          </cell>
          <cell r="K3898">
            <v>8</v>
          </cell>
        </row>
        <row r="3899">
          <cell r="C3899" t="str">
            <v>劉益瑋</v>
          </cell>
          <cell r="F3899" t="str">
            <v>K231101R1</v>
          </cell>
          <cell r="J3899">
            <v>46038</v>
          </cell>
          <cell r="K3899">
            <v>8</v>
          </cell>
        </row>
        <row r="3900">
          <cell r="C3900" t="str">
            <v>劉益瑋</v>
          </cell>
          <cell r="F3900" t="str">
            <v>K240801R2</v>
          </cell>
          <cell r="J3900">
            <v>46041</v>
          </cell>
          <cell r="K3900">
            <v>8</v>
          </cell>
        </row>
        <row r="3901">
          <cell r="C3901" t="str">
            <v>劉益瑋</v>
          </cell>
          <cell r="F3901" t="str">
            <v>K231101R1</v>
          </cell>
          <cell r="J3901">
            <v>46042</v>
          </cell>
          <cell r="K3901">
            <v>8</v>
          </cell>
        </row>
        <row r="3902">
          <cell r="C3902" t="str">
            <v>劉益瑋</v>
          </cell>
          <cell r="F3902" t="str">
            <v>K231101R1</v>
          </cell>
          <cell r="J3902">
            <v>46043</v>
          </cell>
          <cell r="K3902">
            <v>8</v>
          </cell>
        </row>
        <row r="3903">
          <cell r="C3903" t="str">
            <v>劉益瑋</v>
          </cell>
          <cell r="F3903" t="str">
            <v>K231101R1</v>
          </cell>
          <cell r="J3903">
            <v>46044</v>
          </cell>
          <cell r="K3903">
            <v>8</v>
          </cell>
        </row>
        <row r="3904">
          <cell r="C3904" t="str">
            <v>劉益瑋</v>
          </cell>
          <cell r="F3904" t="str">
            <v>K231101R1</v>
          </cell>
          <cell r="J3904">
            <v>46045</v>
          </cell>
          <cell r="K3904">
            <v>8</v>
          </cell>
        </row>
        <row r="3905">
          <cell r="C3905" t="str">
            <v>劉益瑋</v>
          </cell>
          <cell r="F3905" t="str">
            <v>K231101R1</v>
          </cell>
          <cell r="J3905">
            <v>46048</v>
          </cell>
          <cell r="K3905">
            <v>8</v>
          </cell>
        </row>
        <row r="3906">
          <cell r="C3906" t="str">
            <v>劉益瑋</v>
          </cell>
          <cell r="F3906" t="str">
            <v>K231101R1</v>
          </cell>
          <cell r="J3906">
            <v>46049</v>
          </cell>
          <cell r="K3906">
            <v>8</v>
          </cell>
        </row>
        <row r="3907">
          <cell r="C3907" t="str">
            <v>劉益瑋</v>
          </cell>
          <cell r="F3907" t="str">
            <v>K231101R1</v>
          </cell>
          <cell r="J3907">
            <v>46050</v>
          </cell>
          <cell r="K3907">
            <v>8</v>
          </cell>
        </row>
        <row r="3908">
          <cell r="C3908" t="str">
            <v>劉益瑋</v>
          </cell>
          <cell r="F3908" t="str">
            <v>K231101R1</v>
          </cell>
          <cell r="J3908">
            <v>46051</v>
          </cell>
          <cell r="K3908">
            <v>8</v>
          </cell>
        </row>
        <row r="3909">
          <cell r="C3909" t="str">
            <v>劉益瑋</v>
          </cell>
          <cell r="F3909" t="str">
            <v>K231101R1</v>
          </cell>
          <cell r="J3909">
            <v>46052</v>
          </cell>
          <cell r="K3909">
            <v>8</v>
          </cell>
        </row>
        <row r="3910">
          <cell r="C3910" t="str">
            <v>劉益瑋</v>
          </cell>
          <cell r="F3910" t="str">
            <v>M230605R1</v>
          </cell>
          <cell r="J3910">
            <v>46055</v>
          </cell>
          <cell r="K3910">
            <v>8</v>
          </cell>
        </row>
        <row r="3911">
          <cell r="C3911" t="str">
            <v>劉益瑋</v>
          </cell>
          <cell r="F3911" t="str">
            <v>K231101R1</v>
          </cell>
          <cell r="J3911">
            <v>46056</v>
          </cell>
          <cell r="K3911">
            <v>8</v>
          </cell>
        </row>
        <row r="3912">
          <cell r="C3912" t="str">
            <v>劉益瑋</v>
          </cell>
          <cell r="F3912" t="str">
            <v>K231101R1</v>
          </cell>
          <cell r="J3912">
            <v>46057</v>
          </cell>
          <cell r="K3912">
            <v>8</v>
          </cell>
        </row>
        <row r="3913">
          <cell r="C3913" t="str">
            <v>劉益瑋</v>
          </cell>
          <cell r="F3913" t="str">
            <v>K231101R1</v>
          </cell>
          <cell r="J3913">
            <v>46058</v>
          </cell>
          <cell r="K3913">
            <v>8</v>
          </cell>
        </row>
        <row r="3914">
          <cell r="C3914" t="str">
            <v>劉益瑋</v>
          </cell>
          <cell r="F3914" t="str">
            <v>K231101R1</v>
          </cell>
          <cell r="J3914">
            <v>46059</v>
          </cell>
          <cell r="K3914">
            <v>8</v>
          </cell>
        </row>
        <row r="3915">
          <cell r="C3915" t="str">
            <v>劉益瑋</v>
          </cell>
          <cell r="F3915" t="str">
            <v>K231101R1</v>
          </cell>
          <cell r="J3915">
            <v>46062</v>
          </cell>
          <cell r="K3915">
            <v>8</v>
          </cell>
        </row>
        <row r="3916">
          <cell r="C3916" t="str">
            <v>劉益瑋</v>
          </cell>
          <cell r="F3916" t="str">
            <v>K231101R1</v>
          </cell>
          <cell r="J3916">
            <v>46063</v>
          </cell>
          <cell r="K3916">
            <v>8</v>
          </cell>
        </row>
        <row r="3917">
          <cell r="C3917" t="str">
            <v>劉益瑋</v>
          </cell>
          <cell r="F3917" t="str">
            <v>K231101R1</v>
          </cell>
          <cell r="J3917">
            <v>46064</v>
          </cell>
          <cell r="K3917">
            <v>8</v>
          </cell>
        </row>
        <row r="3918">
          <cell r="C3918" t="str">
            <v>劉益瑋</v>
          </cell>
          <cell r="F3918" t="str">
            <v>K231101R1</v>
          </cell>
          <cell r="J3918">
            <v>46065</v>
          </cell>
          <cell r="K3918">
            <v>8</v>
          </cell>
        </row>
        <row r="3919">
          <cell r="C3919" t="str">
            <v>劉益瑋</v>
          </cell>
          <cell r="F3919" t="str">
            <v>K231101R1</v>
          </cell>
          <cell r="J3919">
            <v>46066</v>
          </cell>
          <cell r="K3919">
            <v>8</v>
          </cell>
        </row>
        <row r="3920">
          <cell r="C3920" t="str">
            <v>劉益瑋</v>
          </cell>
          <cell r="F3920" t="str">
            <v>K231101R1</v>
          </cell>
          <cell r="J3920">
            <v>46076</v>
          </cell>
          <cell r="K3920">
            <v>8</v>
          </cell>
        </row>
        <row r="3921">
          <cell r="C3921" t="str">
            <v>劉益瑋</v>
          </cell>
          <cell r="F3921" t="str">
            <v>K240801R2</v>
          </cell>
          <cell r="J3921">
            <v>46077</v>
          </cell>
          <cell r="K3921">
            <v>8</v>
          </cell>
        </row>
        <row r="3922">
          <cell r="C3922" t="str">
            <v>劉益瑋</v>
          </cell>
          <cell r="F3922" t="str">
            <v>K231101R1</v>
          </cell>
          <cell r="J3922">
            <v>46078</v>
          </cell>
          <cell r="K3922">
            <v>8</v>
          </cell>
        </row>
        <row r="3923">
          <cell r="C3923" t="str">
            <v>劉益瑋</v>
          </cell>
          <cell r="F3923" t="str">
            <v>K231101R1</v>
          </cell>
          <cell r="J3923">
            <v>46079</v>
          </cell>
          <cell r="K3923">
            <v>8</v>
          </cell>
        </row>
        <row r="3924">
          <cell r="C3924" t="str">
            <v>劉益瑋</v>
          </cell>
          <cell r="F3924" t="str">
            <v>K231101R1</v>
          </cell>
          <cell r="J3924">
            <v>46083</v>
          </cell>
          <cell r="K3924">
            <v>8</v>
          </cell>
        </row>
        <row r="3925">
          <cell r="C3925" t="str">
            <v>劉益瑋</v>
          </cell>
          <cell r="F3925" t="str">
            <v>K231101R1</v>
          </cell>
          <cell r="J3925">
            <v>46084</v>
          </cell>
          <cell r="K3925">
            <v>8</v>
          </cell>
        </row>
        <row r="3926">
          <cell r="C3926" t="str">
            <v>劉益瑋</v>
          </cell>
          <cell r="F3926" t="str">
            <v>K240801R2</v>
          </cell>
          <cell r="J3926">
            <v>46085</v>
          </cell>
          <cell r="K3926">
            <v>8</v>
          </cell>
        </row>
        <row r="3927">
          <cell r="C3927" t="str">
            <v>劉益瑋</v>
          </cell>
          <cell r="F3927" t="str">
            <v>K231101R1</v>
          </cell>
          <cell r="J3927">
            <v>46086</v>
          </cell>
          <cell r="K3927">
            <v>8</v>
          </cell>
        </row>
        <row r="3928">
          <cell r="C3928" t="str">
            <v>劉益瑋</v>
          </cell>
          <cell r="F3928" t="str">
            <v>K231101R1</v>
          </cell>
          <cell r="J3928">
            <v>46087</v>
          </cell>
          <cell r="K3928">
            <v>8</v>
          </cell>
        </row>
        <row r="3929">
          <cell r="C3929" t="str">
            <v>劉益瑋</v>
          </cell>
          <cell r="F3929" t="str">
            <v>K231101R1</v>
          </cell>
          <cell r="J3929">
            <v>46090</v>
          </cell>
          <cell r="K3929">
            <v>8</v>
          </cell>
        </row>
        <row r="3930">
          <cell r="C3930" t="str">
            <v>劉益瑋</v>
          </cell>
          <cell r="F3930" t="str">
            <v>K231101R1</v>
          </cell>
          <cell r="J3930">
            <v>46091</v>
          </cell>
          <cell r="K3930">
            <v>8</v>
          </cell>
        </row>
        <row r="3931">
          <cell r="C3931" t="str">
            <v>劉益瑋</v>
          </cell>
          <cell r="F3931" t="str">
            <v>K231101R1</v>
          </cell>
          <cell r="J3931">
            <v>46092</v>
          </cell>
          <cell r="K3931">
            <v>8</v>
          </cell>
        </row>
        <row r="3932">
          <cell r="C3932" t="str">
            <v>劉益瑋</v>
          </cell>
          <cell r="F3932" t="str">
            <v>K231101R1</v>
          </cell>
          <cell r="J3932">
            <v>46093</v>
          </cell>
          <cell r="K3932">
            <v>8</v>
          </cell>
        </row>
        <row r="3933">
          <cell r="C3933" t="str">
            <v>劉益瑋</v>
          </cell>
          <cell r="F3933" t="str">
            <v>K231101R1</v>
          </cell>
          <cell r="J3933">
            <v>46094</v>
          </cell>
          <cell r="K3933">
            <v>8</v>
          </cell>
        </row>
        <row r="3934">
          <cell r="C3934" t="str">
            <v>劉益瑋</v>
          </cell>
          <cell r="F3934" t="str">
            <v>K231101R1</v>
          </cell>
          <cell r="J3934">
            <v>46097</v>
          </cell>
          <cell r="K3934">
            <v>8</v>
          </cell>
        </row>
        <row r="3935">
          <cell r="C3935" t="str">
            <v>劉益瑋</v>
          </cell>
          <cell r="F3935" t="str">
            <v>K231101R1</v>
          </cell>
          <cell r="J3935">
            <v>46098</v>
          </cell>
          <cell r="K3935">
            <v>8</v>
          </cell>
        </row>
        <row r="3936">
          <cell r="C3936" t="str">
            <v>劉益瑋</v>
          </cell>
          <cell r="F3936" t="str">
            <v>K231101R1</v>
          </cell>
          <cell r="J3936">
            <v>46099</v>
          </cell>
          <cell r="K3936">
            <v>8</v>
          </cell>
        </row>
        <row r="3937">
          <cell r="C3937" t="str">
            <v>劉益瑋</v>
          </cell>
          <cell r="F3937" t="str">
            <v>K231101R1</v>
          </cell>
          <cell r="J3937">
            <v>46100</v>
          </cell>
          <cell r="K3937">
            <v>8</v>
          </cell>
        </row>
        <row r="3938">
          <cell r="C3938" t="str">
            <v>劉益瑋</v>
          </cell>
          <cell r="F3938" t="str">
            <v>K231101R1</v>
          </cell>
          <cell r="J3938">
            <v>46101</v>
          </cell>
          <cell r="K3938">
            <v>8</v>
          </cell>
        </row>
        <row r="3939">
          <cell r="C3939" t="str">
            <v>劉益瑋</v>
          </cell>
          <cell r="F3939" t="str">
            <v>K231101R1</v>
          </cell>
          <cell r="J3939">
            <v>46104</v>
          </cell>
          <cell r="K3939">
            <v>8</v>
          </cell>
        </row>
        <row r="3940">
          <cell r="C3940" t="str">
            <v>劉益瑋</v>
          </cell>
          <cell r="F3940" t="str">
            <v>K231101R1</v>
          </cell>
          <cell r="J3940">
            <v>46105</v>
          </cell>
          <cell r="K3940">
            <v>8</v>
          </cell>
        </row>
        <row r="3941">
          <cell r="C3941" t="str">
            <v>劉益瑋</v>
          </cell>
          <cell r="F3941" t="str">
            <v>K231101R1</v>
          </cell>
          <cell r="J3941">
            <v>46106</v>
          </cell>
          <cell r="K3941">
            <v>8</v>
          </cell>
        </row>
        <row r="3942">
          <cell r="C3942" t="str">
            <v>劉益瑋</v>
          </cell>
          <cell r="F3942" t="str">
            <v>K231101R1</v>
          </cell>
          <cell r="J3942">
            <v>46107</v>
          </cell>
          <cell r="K3942">
            <v>8</v>
          </cell>
        </row>
        <row r="3943">
          <cell r="C3943" t="str">
            <v>劉益瑋</v>
          </cell>
          <cell r="F3943" t="str">
            <v>K231101R1</v>
          </cell>
          <cell r="J3943">
            <v>46108</v>
          </cell>
          <cell r="K3943">
            <v>8</v>
          </cell>
        </row>
        <row r="3944">
          <cell r="C3944" t="str">
            <v>劉益瑋</v>
          </cell>
          <cell r="F3944" t="str">
            <v>K231101R1</v>
          </cell>
          <cell r="J3944">
            <v>46111</v>
          </cell>
          <cell r="K3944">
            <v>8</v>
          </cell>
        </row>
        <row r="3945">
          <cell r="C3945" t="str">
            <v>劉益瑋</v>
          </cell>
          <cell r="F3945" t="str">
            <v>K231101R1</v>
          </cell>
          <cell r="J3945">
            <v>46112</v>
          </cell>
          <cell r="K3945">
            <v>8</v>
          </cell>
        </row>
        <row r="3946">
          <cell r="C3946" t="str">
            <v>劉益瑋</v>
          </cell>
          <cell r="F3946" t="str">
            <v>K231101R1</v>
          </cell>
          <cell r="J3946">
            <v>46113</v>
          </cell>
          <cell r="K3946">
            <v>8</v>
          </cell>
        </row>
        <row r="3947">
          <cell r="C3947" t="str">
            <v>劉益瑋</v>
          </cell>
          <cell r="F3947" t="str">
            <v>K231101R1</v>
          </cell>
          <cell r="J3947">
            <v>46114</v>
          </cell>
          <cell r="K3947">
            <v>8</v>
          </cell>
        </row>
        <row r="3948">
          <cell r="C3948" t="str">
            <v>劉益瑋</v>
          </cell>
          <cell r="F3948" t="str">
            <v>K231101R1</v>
          </cell>
          <cell r="J3948">
            <v>46119</v>
          </cell>
          <cell r="K3948">
            <v>8</v>
          </cell>
        </row>
        <row r="3949">
          <cell r="C3949" t="str">
            <v>劉益瑋</v>
          </cell>
          <cell r="F3949" t="str">
            <v>K231101R1</v>
          </cell>
          <cell r="J3949">
            <v>46120</v>
          </cell>
          <cell r="K3949">
            <v>8</v>
          </cell>
        </row>
        <row r="3950">
          <cell r="C3950" t="str">
            <v>劉益瑋</v>
          </cell>
          <cell r="F3950" t="str">
            <v>K231101R1</v>
          </cell>
          <cell r="J3950">
            <v>46121</v>
          </cell>
          <cell r="K3950">
            <v>8</v>
          </cell>
        </row>
        <row r="3951">
          <cell r="C3951" t="str">
            <v>劉益瑋</v>
          </cell>
          <cell r="F3951" t="str">
            <v>K231101R1</v>
          </cell>
          <cell r="J3951">
            <v>46122</v>
          </cell>
          <cell r="K3951">
            <v>8</v>
          </cell>
        </row>
        <row r="3952">
          <cell r="C3952" t="str">
            <v>劉益瑋</v>
          </cell>
          <cell r="F3952" t="str">
            <v>K231101R1</v>
          </cell>
          <cell r="J3952">
            <v>46125</v>
          </cell>
          <cell r="K3952">
            <v>8</v>
          </cell>
        </row>
        <row r="3953">
          <cell r="C3953" t="str">
            <v>劉益瑋</v>
          </cell>
          <cell r="F3953" t="str">
            <v>K231101R1</v>
          </cell>
          <cell r="J3953">
            <v>46126</v>
          </cell>
          <cell r="K3953">
            <v>8</v>
          </cell>
        </row>
        <row r="3954">
          <cell r="C3954" t="str">
            <v>劉益瑋</v>
          </cell>
          <cell r="F3954" t="str">
            <v>K231101R1</v>
          </cell>
          <cell r="J3954">
            <v>46127</v>
          </cell>
          <cell r="K3954">
            <v>8</v>
          </cell>
        </row>
        <row r="3955">
          <cell r="C3955" t="str">
            <v>劉益瑋</v>
          </cell>
          <cell r="F3955" t="str">
            <v>K231101R1</v>
          </cell>
          <cell r="J3955">
            <v>46128</v>
          </cell>
          <cell r="K3955">
            <v>8</v>
          </cell>
        </row>
        <row r="3956">
          <cell r="C3956" t="str">
            <v>劉益瑋</v>
          </cell>
          <cell r="F3956" t="str">
            <v>K231101R1</v>
          </cell>
          <cell r="J3956">
            <v>46129</v>
          </cell>
          <cell r="K3956">
            <v>8</v>
          </cell>
        </row>
        <row r="3957">
          <cell r="C3957" t="str">
            <v>劉益瑋</v>
          </cell>
          <cell r="F3957" t="str">
            <v>K240801R2</v>
          </cell>
          <cell r="J3957">
            <v>46132</v>
          </cell>
          <cell r="K3957">
            <v>8</v>
          </cell>
        </row>
        <row r="3958">
          <cell r="C3958" t="str">
            <v>劉益瑋</v>
          </cell>
          <cell r="F3958" t="str">
            <v>K231101R1</v>
          </cell>
          <cell r="J3958">
            <v>46133</v>
          </cell>
          <cell r="K3958">
            <v>8</v>
          </cell>
        </row>
        <row r="3959">
          <cell r="C3959" t="str">
            <v>劉益瑋</v>
          </cell>
          <cell r="F3959" t="str">
            <v>K231101R1</v>
          </cell>
          <cell r="J3959">
            <v>46134</v>
          </cell>
          <cell r="K3959">
            <v>8</v>
          </cell>
        </row>
        <row r="3960">
          <cell r="C3960" t="str">
            <v>劉益瑋</v>
          </cell>
          <cell r="F3960" t="str">
            <v>K231101R1</v>
          </cell>
          <cell r="J3960">
            <v>46135</v>
          </cell>
          <cell r="K3960">
            <v>8</v>
          </cell>
        </row>
        <row r="3961">
          <cell r="C3961" t="str">
            <v>劉益瑋</v>
          </cell>
          <cell r="F3961" t="str">
            <v>K231101R1</v>
          </cell>
          <cell r="J3961">
            <v>46136</v>
          </cell>
          <cell r="K3961">
            <v>8</v>
          </cell>
        </row>
        <row r="3962">
          <cell r="C3962" t="str">
            <v>劉益瑋</v>
          </cell>
          <cell r="F3962" t="str">
            <v>K231101R1</v>
          </cell>
          <cell r="J3962">
            <v>46139</v>
          </cell>
          <cell r="K3962">
            <v>8</v>
          </cell>
        </row>
        <row r="3963">
          <cell r="C3963" t="str">
            <v>劉益瑋</v>
          </cell>
          <cell r="F3963" t="str">
            <v>K231101R1</v>
          </cell>
          <cell r="J3963">
            <v>46140</v>
          </cell>
          <cell r="K3963">
            <v>8</v>
          </cell>
        </row>
        <row r="3964">
          <cell r="C3964" t="str">
            <v>劉益瑋</v>
          </cell>
          <cell r="F3964" t="str">
            <v>K231101R1</v>
          </cell>
          <cell r="J3964">
            <v>46141</v>
          </cell>
          <cell r="K3964">
            <v>8</v>
          </cell>
        </row>
        <row r="3965">
          <cell r="C3965" t="str">
            <v>劉益瑋</v>
          </cell>
          <cell r="F3965" t="str">
            <v>K231101R1</v>
          </cell>
          <cell r="J3965">
            <v>46142</v>
          </cell>
          <cell r="K3965">
            <v>8</v>
          </cell>
        </row>
        <row r="3966">
          <cell r="C3966" t="str">
            <v>劉益瑋</v>
          </cell>
          <cell r="F3966" t="str">
            <v>K231101R1</v>
          </cell>
          <cell r="J3966">
            <v>46146</v>
          </cell>
          <cell r="K3966">
            <v>8</v>
          </cell>
        </row>
        <row r="3967">
          <cell r="C3967" t="str">
            <v>劉益瑋</v>
          </cell>
          <cell r="F3967" t="str">
            <v>K231101R1</v>
          </cell>
          <cell r="J3967">
            <v>46147</v>
          </cell>
          <cell r="K3967">
            <v>8</v>
          </cell>
        </row>
        <row r="3968">
          <cell r="C3968" t="str">
            <v>劉益瑋</v>
          </cell>
          <cell r="F3968" t="str">
            <v>K240801R2</v>
          </cell>
          <cell r="J3968">
            <v>46148</v>
          </cell>
          <cell r="K3968">
            <v>8</v>
          </cell>
        </row>
        <row r="3969">
          <cell r="C3969" t="str">
            <v>劉益瑋</v>
          </cell>
          <cell r="F3969" t="str">
            <v>K240801R2</v>
          </cell>
          <cell r="J3969">
            <v>46149</v>
          </cell>
          <cell r="K3969">
            <v>8</v>
          </cell>
        </row>
        <row r="3970">
          <cell r="C3970" t="str">
            <v>劉益瑋</v>
          </cell>
          <cell r="F3970" t="str">
            <v>K231101R1</v>
          </cell>
          <cell r="J3970">
            <v>46150</v>
          </cell>
          <cell r="K3970">
            <v>8</v>
          </cell>
        </row>
        <row r="3971">
          <cell r="C3971" t="str">
            <v>劉益瑋</v>
          </cell>
          <cell r="F3971" t="str">
            <v>K231101R1</v>
          </cell>
          <cell r="J3971">
            <v>46153</v>
          </cell>
          <cell r="K3971">
            <v>8</v>
          </cell>
        </row>
        <row r="3972">
          <cell r="C3972" t="str">
            <v>劉益瑋</v>
          </cell>
          <cell r="F3972" t="str">
            <v>K231101R1</v>
          </cell>
          <cell r="J3972">
            <v>46154</v>
          </cell>
          <cell r="K3972">
            <v>8</v>
          </cell>
        </row>
        <row r="3973">
          <cell r="C3973" t="str">
            <v>劉益瑋</v>
          </cell>
          <cell r="F3973" t="str">
            <v>K231101R1</v>
          </cell>
          <cell r="J3973">
            <v>46155</v>
          </cell>
          <cell r="K3973">
            <v>8</v>
          </cell>
        </row>
        <row r="3974">
          <cell r="C3974" t="str">
            <v>劉益瑋</v>
          </cell>
          <cell r="F3974" t="str">
            <v>K231101R1</v>
          </cell>
          <cell r="J3974">
            <v>46156</v>
          </cell>
          <cell r="K3974">
            <v>8</v>
          </cell>
        </row>
        <row r="3975">
          <cell r="C3975" t="str">
            <v>劉益瑋</v>
          </cell>
          <cell r="F3975" t="str">
            <v>K231101R1</v>
          </cell>
          <cell r="J3975">
            <v>46157</v>
          </cell>
          <cell r="K3975">
            <v>8</v>
          </cell>
        </row>
        <row r="3976">
          <cell r="C3976" t="str">
            <v>劉益瑋</v>
          </cell>
          <cell r="F3976" t="str">
            <v>K231101R1</v>
          </cell>
          <cell r="J3976">
            <v>46160</v>
          </cell>
          <cell r="K3976">
            <v>8</v>
          </cell>
        </row>
        <row r="3977">
          <cell r="C3977" t="str">
            <v>劉益瑋</v>
          </cell>
          <cell r="F3977" t="str">
            <v>K231101R1</v>
          </cell>
          <cell r="J3977">
            <v>46161</v>
          </cell>
          <cell r="K3977">
            <v>8</v>
          </cell>
        </row>
        <row r="3978">
          <cell r="C3978" t="str">
            <v>劉益瑋</v>
          </cell>
          <cell r="F3978" t="str">
            <v>K231101R1</v>
          </cell>
          <cell r="J3978">
            <v>46162</v>
          </cell>
          <cell r="K3978">
            <v>8</v>
          </cell>
        </row>
        <row r="3979">
          <cell r="C3979" t="str">
            <v>黃胤綸</v>
          </cell>
          <cell r="J3979">
            <v>45470</v>
          </cell>
          <cell r="K3979">
            <v>1</v>
          </cell>
        </row>
        <row r="3980">
          <cell r="C3980" t="str">
            <v>黃胤綸</v>
          </cell>
          <cell r="J3980">
            <v>45470</v>
          </cell>
          <cell r="K3980">
            <v>4</v>
          </cell>
        </row>
        <row r="3981">
          <cell r="C3981" t="str">
            <v>黃胤綸</v>
          </cell>
          <cell r="F3981" t="str">
            <v>M240101R1</v>
          </cell>
          <cell r="J3981">
            <v>45470</v>
          </cell>
          <cell r="K3981">
            <v>3</v>
          </cell>
        </row>
        <row r="3982">
          <cell r="C3982" t="str">
            <v>黃胤綸</v>
          </cell>
          <cell r="J3982">
            <v>45471</v>
          </cell>
          <cell r="K3982">
            <v>5</v>
          </cell>
        </row>
        <row r="3983">
          <cell r="C3983" t="str">
            <v>黃胤綸</v>
          </cell>
          <cell r="F3983" t="str">
            <v>M240101R1</v>
          </cell>
          <cell r="J3983">
            <v>45471</v>
          </cell>
          <cell r="K3983">
            <v>3</v>
          </cell>
        </row>
        <row r="3984">
          <cell r="C3984" t="str">
            <v>黃胤綸</v>
          </cell>
          <cell r="J3984">
            <v>45474</v>
          </cell>
          <cell r="K3984">
            <v>3</v>
          </cell>
        </row>
        <row r="3985">
          <cell r="C3985" t="str">
            <v>黃胤綸</v>
          </cell>
          <cell r="F3985" t="str">
            <v>M240101R1</v>
          </cell>
          <cell r="J3985">
            <v>45474</v>
          </cell>
          <cell r="K3985">
            <v>5</v>
          </cell>
        </row>
        <row r="3986">
          <cell r="C3986" t="str">
            <v>黃胤綸</v>
          </cell>
          <cell r="J3986">
            <v>45475</v>
          </cell>
          <cell r="K3986">
            <v>8</v>
          </cell>
        </row>
        <row r="3987">
          <cell r="C3987" t="str">
            <v>黃胤綸</v>
          </cell>
          <cell r="J3987">
            <v>45476</v>
          </cell>
          <cell r="K3987">
            <v>2</v>
          </cell>
        </row>
        <row r="3988">
          <cell r="C3988" t="str">
            <v>黃胤綸</v>
          </cell>
          <cell r="F3988" t="str">
            <v>M240101R1</v>
          </cell>
          <cell r="J3988">
            <v>45476</v>
          </cell>
          <cell r="K3988">
            <v>6</v>
          </cell>
        </row>
        <row r="3989">
          <cell r="C3989" t="str">
            <v>黃胤綸</v>
          </cell>
          <cell r="J3989">
            <v>45477</v>
          </cell>
          <cell r="K3989">
            <v>4</v>
          </cell>
        </row>
        <row r="3990">
          <cell r="C3990" t="str">
            <v>黃胤綸</v>
          </cell>
          <cell r="J3990">
            <v>45477</v>
          </cell>
          <cell r="K3990">
            <v>4</v>
          </cell>
        </row>
        <row r="3991">
          <cell r="C3991" t="str">
            <v>黃胤綸</v>
          </cell>
          <cell r="J3991">
            <v>45478</v>
          </cell>
          <cell r="K3991">
            <v>2.5</v>
          </cell>
        </row>
        <row r="3992">
          <cell r="C3992" t="str">
            <v>黃胤綸</v>
          </cell>
          <cell r="J3992">
            <v>45478</v>
          </cell>
          <cell r="K3992">
            <v>5.5</v>
          </cell>
        </row>
        <row r="3993">
          <cell r="C3993" t="str">
            <v>黃胤綸</v>
          </cell>
          <cell r="J3993">
            <v>45481</v>
          </cell>
          <cell r="K3993">
            <v>3</v>
          </cell>
        </row>
        <row r="3994">
          <cell r="C3994" t="str">
            <v>黃胤綸</v>
          </cell>
          <cell r="F3994" t="str">
            <v>M240101R1</v>
          </cell>
          <cell r="J3994">
            <v>45481</v>
          </cell>
          <cell r="K3994">
            <v>5</v>
          </cell>
        </row>
        <row r="3995">
          <cell r="C3995" t="str">
            <v>黃胤綸</v>
          </cell>
          <cell r="J3995">
            <v>45482</v>
          </cell>
          <cell r="K3995">
            <v>2</v>
          </cell>
        </row>
        <row r="3996">
          <cell r="C3996" t="str">
            <v>黃胤綸</v>
          </cell>
          <cell r="J3996">
            <v>45482</v>
          </cell>
          <cell r="K3996">
            <v>1</v>
          </cell>
        </row>
        <row r="3997">
          <cell r="C3997" t="str">
            <v>黃胤綸</v>
          </cell>
          <cell r="J3997">
            <v>45482</v>
          </cell>
          <cell r="K3997">
            <v>5</v>
          </cell>
        </row>
        <row r="3998">
          <cell r="C3998" t="str">
            <v>黃胤綸</v>
          </cell>
          <cell r="J3998">
            <v>45483</v>
          </cell>
          <cell r="K3998">
            <v>2</v>
          </cell>
        </row>
        <row r="3999">
          <cell r="C3999" t="str">
            <v>黃胤綸</v>
          </cell>
          <cell r="J3999">
            <v>45483</v>
          </cell>
          <cell r="K3999">
            <v>1</v>
          </cell>
        </row>
        <row r="4000">
          <cell r="C4000" t="str">
            <v>黃胤綸</v>
          </cell>
          <cell r="F4000" t="str">
            <v>M240101R1</v>
          </cell>
          <cell r="J4000">
            <v>45483</v>
          </cell>
          <cell r="K4000">
            <v>5</v>
          </cell>
        </row>
        <row r="4001">
          <cell r="C4001" t="str">
            <v>黃胤綸</v>
          </cell>
          <cell r="J4001">
            <v>45484</v>
          </cell>
          <cell r="K4001">
            <v>1</v>
          </cell>
        </row>
        <row r="4002">
          <cell r="C4002" t="str">
            <v>黃胤綸</v>
          </cell>
          <cell r="F4002" t="str">
            <v>M240101R1</v>
          </cell>
          <cell r="J4002">
            <v>45484</v>
          </cell>
          <cell r="K4002">
            <v>7</v>
          </cell>
        </row>
        <row r="4003">
          <cell r="C4003" t="str">
            <v>黃胤綸</v>
          </cell>
          <cell r="J4003">
            <v>45485</v>
          </cell>
          <cell r="K4003">
            <v>1</v>
          </cell>
        </row>
        <row r="4004">
          <cell r="C4004" t="str">
            <v>黃胤綸</v>
          </cell>
          <cell r="J4004">
            <v>45485</v>
          </cell>
          <cell r="K4004">
            <v>7</v>
          </cell>
        </row>
        <row r="4005">
          <cell r="C4005" t="str">
            <v>黃胤綸</v>
          </cell>
          <cell r="J4005">
            <v>45488</v>
          </cell>
          <cell r="K4005">
            <v>1</v>
          </cell>
        </row>
        <row r="4006">
          <cell r="C4006" t="str">
            <v>黃胤綸</v>
          </cell>
          <cell r="F4006" t="str">
            <v>M240101R1</v>
          </cell>
          <cell r="J4006">
            <v>45488</v>
          </cell>
          <cell r="K4006">
            <v>7</v>
          </cell>
        </row>
        <row r="4007">
          <cell r="C4007" t="str">
            <v>黃胤綸</v>
          </cell>
          <cell r="J4007">
            <v>45489</v>
          </cell>
          <cell r="K4007">
            <v>2</v>
          </cell>
        </row>
        <row r="4008">
          <cell r="C4008" t="str">
            <v>黃胤綸</v>
          </cell>
          <cell r="F4008" t="str">
            <v>K240701R1</v>
          </cell>
          <cell r="J4008">
            <v>45489</v>
          </cell>
          <cell r="K4008">
            <v>6</v>
          </cell>
        </row>
        <row r="4009">
          <cell r="C4009" t="str">
            <v>黃胤綸</v>
          </cell>
          <cell r="F4009" t="str">
            <v>K240701R1</v>
          </cell>
          <cell r="J4009">
            <v>45490</v>
          </cell>
          <cell r="K4009">
            <v>8</v>
          </cell>
        </row>
        <row r="4010">
          <cell r="C4010" t="str">
            <v>黃胤綸</v>
          </cell>
          <cell r="J4010">
            <v>45491</v>
          </cell>
          <cell r="K4010">
            <v>8</v>
          </cell>
        </row>
        <row r="4011">
          <cell r="C4011" t="str">
            <v>黃胤綸</v>
          </cell>
          <cell r="J4011">
            <v>45492</v>
          </cell>
          <cell r="K4011">
            <v>8</v>
          </cell>
        </row>
        <row r="4012">
          <cell r="C4012" t="str">
            <v>黃胤綸</v>
          </cell>
          <cell r="J4012">
            <v>45495</v>
          </cell>
          <cell r="K4012">
            <v>3</v>
          </cell>
        </row>
        <row r="4013">
          <cell r="C4013" t="str">
            <v>黃胤綸</v>
          </cell>
          <cell r="F4013" t="str">
            <v>K240701R1</v>
          </cell>
          <cell r="J4013">
            <v>45495</v>
          </cell>
          <cell r="K4013">
            <v>5</v>
          </cell>
        </row>
        <row r="4014">
          <cell r="C4014" t="str">
            <v>黃胤綸</v>
          </cell>
          <cell r="J4014">
            <v>45496</v>
          </cell>
          <cell r="K4014">
            <v>1</v>
          </cell>
        </row>
        <row r="4015">
          <cell r="C4015" t="str">
            <v>黃胤綸</v>
          </cell>
          <cell r="F4015" t="str">
            <v>M240101R1</v>
          </cell>
          <cell r="J4015">
            <v>45496</v>
          </cell>
          <cell r="K4015">
            <v>7</v>
          </cell>
        </row>
        <row r="4016">
          <cell r="C4016" t="str">
            <v>黃胤綸</v>
          </cell>
          <cell r="J4016">
            <v>45497</v>
          </cell>
          <cell r="K4016">
            <v>8</v>
          </cell>
        </row>
        <row r="4017">
          <cell r="C4017" t="str">
            <v>黃胤綸</v>
          </cell>
          <cell r="J4017">
            <v>45498</v>
          </cell>
          <cell r="K4017">
            <v>8</v>
          </cell>
        </row>
        <row r="4018">
          <cell r="C4018" t="str">
            <v>黃胤綸</v>
          </cell>
          <cell r="J4018">
            <v>45499</v>
          </cell>
          <cell r="K4018">
            <v>1</v>
          </cell>
        </row>
        <row r="4019">
          <cell r="C4019" t="str">
            <v>黃胤綸</v>
          </cell>
          <cell r="J4019">
            <v>45499</v>
          </cell>
          <cell r="K4019">
            <v>1</v>
          </cell>
        </row>
        <row r="4020">
          <cell r="C4020" t="str">
            <v>黃胤綸</v>
          </cell>
          <cell r="F4020" t="str">
            <v>M240101R1</v>
          </cell>
          <cell r="J4020">
            <v>45499</v>
          </cell>
          <cell r="K4020">
            <v>1</v>
          </cell>
        </row>
        <row r="4021">
          <cell r="C4021" t="str">
            <v>黃胤綸</v>
          </cell>
          <cell r="F4021" t="str">
            <v>K240701R1</v>
          </cell>
          <cell r="J4021">
            <v>45499</v>
          </cell>
          <cell r="K4021">
            <v>5</v>
          </cell>
        </row>
        <row r="4022">
          <cell r="C4022" t="str">
            <v>黃胤綸</v>
          </cell>
          <cell r="J4022">
            <v>45502</v>
          </cell>
          <cell r="K4022">
            <v>2</v>
          </cell>
        </row>
        <row r="4023">
          <cell r="C4023" t="str">
            <v>黃胤綸</v>
          </cell>
          <cell r="F4023" t="str">
            <v>M240101R1</v>
          </cell>
          <cell r="J4023">
            <v>45502</v>
          </cell>
          <cell r="K4023">
            <v>6</v>
          </cell>
        </row>
        <row r="4024">
          <cell r="C4024" t="str">
            <v>黃胤綸</v>
          </cell>
          <cell r="J4024">
            <v>45503</v>
          </cell>
          <cell r="K4024">
            <v>1</v>
          </cell>
        </row>
        <row r="4025">
          <cell r="C4025" t="str">
            <v>黃胤綸</v>
          </cell>
          <cell r="F4025" t="str">
            <v>K240701R1</v>
          </cell>
          <cell r="J4025">
            <v>45503</v>
          </cell>
          <cell r="K4025">
            <v>1</v>
          </cell>
        </row>
        <row r="4026">
          <cell r="C4026" t="str">
            <v>黃胤綸</v>
          </cell>
          <cell r="F4026" t="str">
            <v>M240101R1</v>
          </cell>
          <cell r="J4026">
            <v>45503</v>
          </cell>
          <cell r="K4026">
            <v>6</v>
          </cell>
        </row>
        <row r="4027">
          <cell r="C4027" t="str">
            <v>黃胤綸</v>
          </cell>
          <cell r="F4027" t="str">
            <v>M240101R1</v>
          </cell>
          <cell r="J4027">
            <v>45504</v>
          </cell>
          <cell r="K4027">
            <v>1</v>
          </cell>
        </row>
        <row r="4028">
          <cell r="C4028" t="str">
            <v>黃胤綸</v>
          </cell>
          <cell r="J4028">
            <v>45504</v>
          </cell>
          <cell r="K4028">
            <v>3</v>
          </cell>
        </row>
        <row r="4029">
          <cell r="C4029" t="str">
            <v>黃胤綸</v>
          </cell>
          <cell r="J4029">
            <v>45504</v>
          </cell>
          <cell r="K4029">
            <v>2</v>
          </cell>
        </row>
        <row r="4030">
          <cell r="C4030" t="str">
            <v>黃胤綸</v>
          </cell>
          <cell r="F4030" t="str">
            <v>K240701R1</v>
          </cell>
          <cell r="J4030">
            <v>45504</v>
          </cell>
          <cell r="K4030">
            <v>2</v>
          </cell>
        </row>
        <row r="4031">
          <cell r="C4031" t="str">
            <v>黃胤綸</v>
          </cell>
          <cell r="J4031">
            <v>45505</v>
          </cell>
          <cell r="K4031">
            <v>3</v>
          </cell>
        </row>
        <row r="4032">
          <cell r="C4032" t="str">
            <v>黃胤綸</v>
          </cell>
          <cell r="J4032">
            <v>45505</v>
          </cell>
          <cell r="K4032">
            <v>3</v>
          </cell>
        </row>
        <row r="4033">
          <cell r="C4033" t="str">
            <v>黃胤綸</v>
          </cell>
          <cell r="F4033" t="str">
            <v>K240701R1</v>
          </cell>
          <cell r="J4033">
            <v>45505</v>
          </cell>
          <cell r="K4033">
            <v>2</v>
          </cell>
        </row>
        <row r="4034">
          <cell r="C4034" t="str">
            <v>黃胤綸</v>
          </cell>
          <cell r="J4034">
            <v>45506</v>
          </cell>
          <cell r="K4034">
            <v>3</v>
          </cell>
        </row>
        <row r="4035">
          <cell r="C4035" t="str">
            <v>黃胤綸</v>
          </cell>
          <cell r="F4035" t="str">
            <v>K240701R1</v>
          </cell>
          <cell r="J4035">
            <v>45506</v>
          </cell>
          <cell r="K4035">
            <v>5</v>
          </cell>
        </row>
        <row r="4036">
          <cell r="C4036" t="str">
            <v>黃胤綸</v>
          </cell>
          <cell r="J4036">
            <v>45509</v>
          </cell>
          <cell r="K4036">
            <v>2</v>
          </cell>
        </row>
        <row r="4037">
          <cell r="C4037" t="str">
            <v>黃胤綸</v>
          </cell>
          <cell r="J4037">
            <v>45509</v>
          </cell>
          <cell r="K4037">
            <v>4</v>
          </cell>
        </row>
        <row r="4038">
          <cell r="C4038" t="str">
            <v>黃胤綸</v>
          </cell>
          <cell r="F4038" t="str">
            <v>K240701R1</v>
          </cell>
          <cell r="J4038">
            <v>45509</v>
          </cell>
          <cell r="K4038">
            <v>2</v>
          </cell>
        </row>
        <row r="4039">
          <cell r="C4039" t="str">
            <v>黃胤綸</v>
          </cell>
          <cell r="F4039" t="str">
            <v>M240702R1</v>
          </cell>
          <cell r="J4039">
            <v>45510</v>
          </cell>
          <cell r="K4039">
            <v>2</v>
          </cell>
        </row>
        <row r="4040">
          <cell r="C4040" t="str">
            <v>黃胤綸</v>
          </cell>
          <cell r="F4040" t="str">
            <v>K240701R1</v>
          </cell>
          <cell r="J4040">
            <v>45510</v>
          </cell>
          <cell r="K4040">
            <v>6</v>
          </cell>
        </row>
        <row r="4041">
          <cell r="C4041" t="str">
            <v>黃胤綸</v>
          </cell>
          <cell r="J4041">
            <v>45511</v>
          </cell>
          <cell r="K4041">
            <v>1</v>
          </cell>
        </row>
        <row r="4042">
          <cell r="C4042" t="str">
            <v>黃胤綸</v>
          </cell>
          <cell r="J4042">
            <v>45511</v>
          </cell>
          <cell r="K4042">
            <v>3</v>
          </cell>
        </row>
        <row r="4043">
          <cell r="C4043" t="str">
            <v>黃胤綸</v>
          </cell>
          <cell r="F4043" t="str">
            <v>K240701R1</v>
          </cell>
          <cell r="J4043">
            <v>45511</v>
          </cell>
          <cell r="K4043">
            <v>4</v>
          </cell>
        </row>
        <row r="4044">
          <cell r="C4044" t="str">
            <v>黃胤綸</v>
          </cell>
          <cell r="J4044">
            <v>45512</v>
          </cell>
          <cell r="K4044">
            <v>8</v>
          </cell>
        </row>
        <row r="4045">
          <cell r="C4045" t="str">
            <v>黃胤綸</v>
          </cell>
          <cell r="J4045">
            <v>45513</v>
          </cell>
          <cell r="K4045">
            <v>8</v>
          </cell>
        </row>
        <row r="4046">
          <cell r="C4046" t="str">
            <v>黃胤綸</v>
          </cell>
          <cell r="J4046">
            <v>45516</v>
          </cell>
          <cell r="K4046">
            <v>8</v>
          </cell>
        </row>
        <row r="4047">
          <cell r="C4047" t="str">
            <v>黃胤綸</v>
          </cell>
          <cell r="J4047">
            <v>45517</v>
          </cell>
          <cell r="K4047">
            <v>8</v>
          </cell>
        </row>
        <row r="4048">
          <cell r="C4048" t="str">
            <v>黃胤綸</v>
          </cell>
          <cell r="J4048">
            <v>45518</v>
          </cell>
          <cell r="K4048">
            <v>1</v>
          </cell>
        </row>
        <row r="4049">
          <cell r="C4049" t="str">
            <v>黃胤綸</v>
          </cell>
          <cell r="J4049">
            <v>45518</v>
          </cell>
          <cell r="K4049">
            <v>1</v>
          </cell>
        </row>
        <row r="4050">
          <cell r="C4050" t="str">
            <v>黃胤綸</v>
          </cell>
          <cell r="F4050" t="str">
            <v>K240701R1</v>
          </cell>
          <cell r="J4050">
            <v>45518</v>
          </cell>
          <cell r="K4050">
            <v>6</v>
          </cell>
        </row>
        <row r="4051">
          <cell r="C4051" t="str">
            <v>黃胤綸</v>
          </cell>
          <cell r="F4051" t="str">
            <v>K240701R1</v>
          </cell>
          <cell r="J4051">
            <v>45519</v>
          </cell>
          <cell r="K4051">
            <v>7</v>
          </cell>
        </row>
        <row r="4052">
          <cell r="C4052" t="str">
            <v>黃胤綸</v>
          </cell>
          <cell r="F4052" t="str">
            <v>M240702R1</v>
          </cell>
          <cell r="J4052">
            <v>45519</v>
          </cell>
          <cell r="K4052">
            <v>1</v>
          </cell>
        </row>
        <row r="4053">
          <cell r="C4053" t="str">
            <v>黃胤綸</v>
          </cell>
          <cell r="J4053">
            <v>45520</v>
          </cell>
          <cell r="K4053">
            <v>2</v>
          </cell>
        </row>
        <row r="4054">
          <cell r="C4054" t="str">
            <v>黃胤綸</v>
          </cell>
          <cell r="F4054" t="str">
            <v>K240701R1</v>
          </cell>
          <cell r="J4054">
            <v>45520</v>
          </cell>
          <cell r="K4054">
            <v>6</v>
          </cell>
        </row>
        <row r="4055">
          <cell r="C4055" t="str">
            <v>黃胤綸</v>
          </cell>
          <cell r="F4055" t="str">
            <v>K240701R1</v>
          </cell>
          <cell r="J4055">
            <v>45523</v>
          </cell>
          <cell r="K4055">
            <v>8</v>
          </cell>
        </row>
        <row r="4056">
          <cell r="C4056" t="str">
            <v>黃胤綸</v>
          </cell>
          <cell r="J4056">
            <v>45524</v>
          </cell>
          <cell r="K4056">
            <v>2</v>
          </cell>
        </row>
        <row r="4057">
          <cell r="C4057" t="str">
            <v>黃胤綸</v>
          </cell>
          <cell r="J4057">
            <v>45524</v>
          </cell>
          <cell r="K4057">
            <v>2</v>
          </cell>
        </row>
        <row r="4058">
          <cell r="C4058" t="str">
            <v>黃胤綸</v>
          </cell>
          <cell r="F4058" t="str">
            <v>K240701R1</v>
          </cell>
          <cell r="J4058">
            <v>45524</v>
          </cell>
          <cell r="K4058">
            <v>4</v>
          </cell>
        </row>
        <row r="4059">
          <cell r="C4059" t="str">
            <v>黃胤綸</v>
          </cell>
          <cell r="J4059">
            <v>45525</v>
          </cell>
          <cell r="K4059">
            <v>8</v>
          </cell>
        </row>
        <row r="4060">
          <cell r="C4060" t="str">
            <v>黃胤綸</v>
          </cell>
          <cell r="J4060">
            <v>45526</v>
          </cell>
          <cell r="K4060">
            <v>2</v>
          </cell>
        </row>
        <row r="4061">
          <cell r="C4061" t="str">
            <v>黃胤綸</v>
          </cell>
          <cell r="F4061" t="str">
            <v>K240701R1</v>
          </cell>
          <cell r="J4061">
            <v>45526</v>
          </cell>
          <cell r="K4061">
            <v>6</v>
          </cell>
        </row>
        <row r="4062">
          <cell r="C4062" t="str">
            <v>黃胤綸</v>
          </cell>
          <cell r="J4062">
            <v>45527</v>
          </cell>
          <cell r="K4062">
            <v>1</v>
          </cell>
        </row>
        <row r="4063">
          <cell r="C4063" t="str">
            <v>黃胤綸</v>
          </cell>
          <cell r="J4063">
            <v>45527</v>
          </cell>
          <cell r="K4063">
            <v>1</v>
          </cell>
        </row>
        <row r="4064">
          <cell r="C4064" t="str">
            <v>黃胤綸</v>
          </cell>
          <cell r="F4064" t="str">
            <v>K240701R1</v>
          </cell>
          <cell r="J4064">
            <v>45527</v>
          </cell>
          <cell r="K4064">
            <v>6</v>
          </cell>
        </row>
        <row r="4065">
          <cell r="C4065" t="str">
            <v>黃胤綸</v>
          </cell>
          <cell r="J4065">
            <v>45530</v>
          </cell>
          <cell r="K4065">
            <v>6</v>
          </cell>
        </row>
        <row r="4066">
          <cell r="C4066" t="str">
            <v>黃胤綸</v>
          </cell>
          <cell r="F4066" t="str">
            <v>K240701R1</v>
          </cell>
          <cell r="J4066">
            <v>45530</v>
          </cell>
          <cell r="K4066">
            <v>2</v>
          </cell>
        </row>
        <row r="4067">
          <cell r="C4067" t="str">
            <v>黃胤綸</v>
          </cell>
          <cell r="J4067">
            <v>45531</v>
          </cell>
          <cell r="K4067">
            <v>8</v>
          </cell>
        </row>
        <row r="4068">
          <cell r="C4068" t="str">
            <v>黃胤綸</v>
          </cell>
          <cell r="J4068">
            <v>45532</v>
          </cell>
          <cell r="K4068">
            <v>3</v>
          </cell>
        </row>
        <row r="4069">
          <cell r="C4069" t="str">
            <v>黃胤綸</v>
          </cell>
          <cell r="J4069">
            <v>45532</v>
          </cell>
          <cell r="K4069">
            <v>5</v>
          </cell>
        </row>
        <row r="4070">
          <cell r="C4070" t="str">
            <v>黃胤綸</v>
          </cell>
          <cell r="J4070">
            <v>45533</v>
          </cell>
          <cell r="K4070">
            <v>4</v>
          </cell>
        </row>
        <row r="4071">
          <cell r="C4071" t="str">
            <v>黃胤綸</v>
          </cell>
          <cell r="F4071" t="str">
            <v>K240701R1</v>
          </cell>
          <cell r="J4071">
            <v>45533</v>
          </cell>
          <cell r="K4071">
            <v>4</v>
          </cell>
        </row>
        <row r="4072">
          <cell r="C4072" t="str">
            <v>黃胤綸</v>
          </cell>
          <cell r="J4072">
            <v>45534</v>
          </cell>
          <cell r="K4072">
            <v>8</v>
          </cell>
        </row>
        <row r="4073">
          <cell r="C4073" t="str">
            <v>黃胤綸</v>
          </cell>
          <cell r="F4073" t="str">
            <v>M240704R1</v>
          </cell>
          <cell r="J4073">
            <v>45537</v>
          </cell>
          <cell r="K4073">
            <v>1</v>
          </cell>
        </row>
        <row r="4074">
          <cell r="C4074" t="str">
            <v>黃胤綸</v>
          </cell>
          <cell r="F4074" t="str">
            <v>K240701R1</v>
          </cell>
          <cell r="J4074">
            <v>45537</v>
          </cell>
          <cell r="K4074">
            <v>7</v>
          </cell>
        </row>
        <row r="4075">
          <cell r="C4075" t="str">
            <v>黃胤綸</v>
          </cell>
          <cell r="J4075">
            <v>45538</v>
          </cell>
          <cell r="K4075">
            <v>2</v>
          </cell>
        </row>
        <row r="4076">
          <cell r="C4076" t="str">
            <v>黃胤綸</v>
          </cell>
          <cell r="F4076" t="str">
            <v>K240701R1</v>
          </cell>
          <cell r="J4076">
            <v>45538</v>
          </cell>
          <cell r="K4076">
            <v>6</v>
          </cell>
        </row>
        <row r="4077">
          <cell r="C4077" t="str">
            <v>黃胤綸</v>
          </cell>
          <cell r="J4077">
            <v>45539</v>
          </cell>
          <cell r="K4077">
            <v>1</v>
          </cell>
        </row>
        <row r="4078">
          <cell r="C4078" t="str">
            <v>黃胤綸</v>
          </cell>
          <cell r="J4078">
            <v>45539</v>
          </cell>
          <cell r="K4078">
            <v>7</v>
          </cell>
        </row>
        <row r="4079">
          <cell r="C4079" t="str">
            <v>黃胤綸</v>
          </cell>
          <cell r="F4079" t="str">
            <v>K240701R1</v>
          </cell>
          <cell r="J4079">
            <v>45540</v>
          </cell>
          <cell r="K4079">
            <v>5</v>
          </cell>
        </row>
        <row r="4080">
          <cell r="C4080" t="str">
            <v>黃胤綸</v>
          </cell>
          <cell r="F4080" t="str">
            <v>M240703R1</v>
          </cell>
          <cell r="J4080">
            <v>45540</v>
          </cell>
          <cell r="K4080">
            <v>2</v>
          </cell>
        </row>
        <row r="4081">
          <cell r="C4081" t="str">
            <v>黃胤綸</v>
          </cell>
          <cell r="F4081" t="str">
            <v>M240804R1</v>
          </cell>
          <cell r="J4081">
            <v>45540</v>
          </cell>
          <cell r="K4081">
            <v>1</v>
          </cell>
        </row>
        <row r="4082">
          <cell r="C4082" t="str">
            <v>黃胤綸</v>
          </cell>
          <cell r="J4082">
            <v>45541</v>
          </cell>
          <cell r="K4082">
            <v>8</v>
          </cell>
        </row>
        <row r="4083">
          <cell r="C4083" t="str">
            <v>黃胤綸</v>
          </cell>
          <cell r="F4083" t="str">
            <v>D240901R1</v>
          </cell>
          <cell r="J4083">
            <v>45544</v>
          </cell>
          <cell r="K4083">
            <v>8</v>
          </cell>
        </row>
        <row r="4084">
          <cell r="C4084" t="str">
            <v>黃胤綸</v>
          </cell>
          <cell r="J4084">
            <v>45545</v>
          </cell>
          <cell r="K4084">
            <v>4</v>
          </cell>
        </row>
        <row r="4085">
          <cell r="C4085" t="str">
            <v>黃胤綸</v>
          </cell>
          <cell r="F4085" t="str">
            <v>K240701R1</v>
          </cell>
          <cell r="J4085">
            <v>45545</v>
          </cell>
          <cell r="K4085">
            <v>4</v>
          </cell>
        </row>
        <row r="4086">
          <cell r="C4086" t="str">
            <v>黃胤綸</v>
          </cell>
          <cell r="J4086">
            <v>45546</v>
          </cell>
          <cell r="K4086">
            <v>2</v>
          </cell>
        </row>
        <row r="4087">
          <cell r="C4087" t="str">
            <v>黃胤綸</v>
          </cell>
          <cell r="F4087" t="str">
            <v>D240901R1</v>
          </cell>
          <cell r="J4087">
            <v>45546</v>
          </cell>
          <cell r="K4087">
            <v>6</v>
          </cell>
        </row>
        <row r="4088">
          <cell r="C4088" t="str">
            <v>黃胤綸</v>
          </cell>
          <cell r="J4088">
            <v>45547</v>
          </cell>
          <cell r="K4088">
            <v>4</v>
          </cell>
        </row>
        <row r="4089">
          <cell r="C4089" t="str">
            <v>黃胤綸</v>
          </cell>
          <cell r="F4089" t="str">
            <v>M240101R1</v>
          </cell>
          <cell r="J4089">
            <v>45547</v>
          </cell>
          <cell r="K4089">
            <v>4</v>
          </cell>
        </row>
        <row r="4090">
          <cell r="C4090" t="str">
            <v>黃胤綸</v>
          </cell>
          <cell r="J4090">
            <v>45548</v>
          </cell>
          <cell r="K4090">
            <v>6</v>
          </cell>
        </row>
        <row r="4091">
          <cell r="C4091" t="str">
            <v>黃胤綸</v>
          </cell>
          <cell r="F4091" t="str">
            <v>D240901R1</v>
          </cell>
          <cell r="J4091">
            <v>45548</v>
          </cell>
          <cell r="K4091">
            <v>2</v>
          </cell>
        </row>
        <row r="4092">
          <cell r="C4092" t="str">
            <v>黃胤綸</v>
          </cell>
          <cell r="J4092">
            <v>45551</v>
          </cell>
          <cell r="K4092">
            <v>5</v>
          </cell>
        </row>
        <row r="4093">
          <cell r="C4093" t="str">
            <v>黃胤綸</v>
          </cell>
          <cell r="F4093" t="str">
            <v>D240901R1</v>
          </cell>
          <cell r="J4093">
            <v>45551</v>
          </cell>
          <cell r="K4093">
            <v>3</v>
          </cell>
        </row>
        <row r="4094">
          <cell r="C4094" t="str">
            <v>黃胤綸</v>
          </cell>
          <cell r="J4094">
            <v>45553</v>
          </cell>
          <cell r="K4094">
            <v>8</v>
          </cell>
        </row>
        <row r="4095">
          <cell r="C4095" t="str">
            <v>黃胤綸</v>
          </cell>
          <cell r="J4095">
            <v>45554</v>
          </cell>
          <cell r="K4095">
            <v>1</v>
          </cell>
        </row>
        <row r="4096">
          <cell r="C4096" t="str">
            <v>黃胤綸</v>
          </cell>
          <cell r="J4096">
            <v>45554</v>
          </cell>
          <cell r="K4096">
            <v>3</v>
          </cell>
        </row>
        <row r="4097">
          <cell r="C4097" t="str">
            <v>黃胤綸</v>
          </cell>
          <cell r="F4097" t="str">
            <v>D240901R1</v>
          </cell>
          <cell r="J4097">
            <v>45554</v>
          </cell>
          <cell r="K4097">
            <v>4</v>
          </cell>
        </row>
        <row r="4098">
          <cell r="C4098" t="str">
            <v>黃胤綸</v>
          </cell>
          <cell r="F4098" t="str">
            <v>M240701C1</v>
          </cell>
          <cell r="J4098">
            <v>45555</v>
          </cell>
          <cell r="K4098">
            <v>8</v>
          </cell>
        </row>
        <row r="4099">
          <cell r="C4099" t="str">
            <v>黃胤綸</v>
          </cell>
          <cell r="J4099">
            <v>45558</v>
          </cell>
          <cell r="K4099">
            <v>1</v>
          </cell>
        </row>
        <row r="4100">
          <cell r="C4100" t="str">
            <v>黃胤綸</v>
          </cell>
          <cell r="F4100" t="str">
            <v>M240701C1</v>
          </cell>
          <cell r="J4100">
            <v>45558</v>
          </cell>
          <cell r="K4100">
            <v>3</v>
          </cell>
        </row>
        <row r="4101">
          <cell r="C4101" t="str">
            <v>黃胤綸</v>
          </cell>
          <cell r="F4101" t="str">
            <v>D240901R1</v>
          </cell>
          <cell r="J4101">
            <v>45558</v>
          </cell>
          <cell r="K4101">
            <v>4</v>
          </cell>
        </row>
        <row r="4102">
          <cell r="C4102" t="str">
            <v>黃胤綸</v>
          </cell>
          <cell r="J4102">
            <v>45559</v>
          </cell>
          <cell r="K4102">
            <v>8</v>
          </cell>
        </row>
        <row r="4103">
          <cell r="C4103" t="str">
            <v>黃胤綸</v>
          </cell>
          <cell r="J4103">
            <v>45560</v>
          </cell>
          <cell r="K4103">
            <v>1</v>
          </cell>
        </row>
        <row r="4104">
          <cell r="C4104" t="str">
            <v>黃胤綸</v>
          </cell>
          <cell r="J4104">
            <v>45560</v>
          </cell>
          <cell r="K4104">
            <v>3</v>
          </cell>
        </row>
        <row r="4105">
          <cell r="C4105" t="str">
            <v>黃胤綸</v>
          </cell>
          <cell r="J4105">
            <v>45560</v>
          </cell>
          <cell r="K4105">
            <v>4</v>
          </cell>
        </row>
        <row r="4106">
          <cell r="C4106" t="str">
            <v>黃胤綸</v>
          </cell>
          <cell r="J4106">
            <v>45561</v>
          </cell>
          <cell r="K4106">
            <v>4</v>
          </cell>
        </row>
        <row r="4107">
          <cell r="C4107" t="str">
            <v>黃胤綸</v>
          </cell>
          <cell r="J4107">
            <v>45561</v>
          </cell>
          <cell r="K4107">
            <v>3</v>
          </cell>
        </row>
        <row r="4108">
          <cell r="C4108" t="str">
            <v>黃胤綸</v>
          </cell>
          <cell r="F4108" t="str">
            <v>M240703R1</v>
          </cell>
          <cell r="J4108">
            <v>45561</v>
          </cell>
          <cell r="K4108">
            <v>1</v>
          </cell>
        </row>
        <row r="4109">
          <cell r="C4109" t="str">
            <v>黃胤綸</v>
          </cell>
          <cell r="J4109">
            <v>45562</v>
          </cell>
          <cell r="K4109">
            <v>4</v>
          </cell>
        </row>
        <row r="4110">
          <cell r="C4110" t="str">
            <v>黃胤綸</v>
          </cell>
          <cell r="F4110" t="str">
            <v>M220301C1</v>
          </cell>
          <cell r="J4110">
            <v>45562</v>
          </cell>
          <cell r="K4110">
            <v>4</v>
          </cell>
        </row>
        <row r="4111">
          <cell r="C4111" t="str">
            <v>黃胤綸</v>
          </cell>
          <cell r="J4111">
            <v>45565</v>
          </cell>
          <cell r="K4111">
            <v>6</v>
          </cell>
        </row>
        <row r="4112">
          <cell r="C4112" t="str">
            <v>黃胤綸</v>
          </cell>
          <cell r="J4112">
            <v>45565</v>
          </cell>
          <cell r="K4112">
            <v>2</v>
          </cell>
        </row>
        <row r="4113">
          <cell r="C4113" t="str">
            <v>黃胤綸</v>
          </cell>
          <cell r="F4113" t="str">
            <v>D240901R1</v>
          </cell>
          <cell r="J4113">
            <v>45566</v>
          </cell>
          <cell r="K4113">
            <v>8</v>
          </cell>
        </row>
        <row r="4114">
          <cell r="C4114" t="str">
            <v>黃胤綸</v>
          </cell>
          <cell r="J4114">
            <v>45567</v>
          </cell>
          <cell r="K4114">
            <v>8</v>
          </cell>
        </row>
        <row r="4115">
          <cell r="C4115" t="str">
            <v>黃胤綸</v>
          </cell>
          <cell r="J4115">
            <v>45568</v>
          </cell>
          <cell r="K4115">
            <v>8</v>
          </cell>
        </row>
        <row r="4116">
          <cell r="C4116" t="str">
            <v>黃胤綸</v>
          </cell>
          <cell r="F4116" t="str">
            <v>M240101R1</v>
          </cell>
          <cell r="J4116">
            <v>45569</v>
          </cell>
          <cell r="K4116">
            <v>3.5</v>
          </cell>
        </row>
        <row r="4117">
          <cell r="C4117" t="str">
            <v>黃胤綸</v>
          </cell>
          <cell r="J4117">
            <v>45569</v>
          </cell>
          <cell r="K4117">
            <v>2.5</v>
          </cell>
        </row>
        <row r="4118">
          <cell r="C4118" t="str">
            <v>黃胤綸</v>
          </cell>
          <cell r="F4118" t="str">
            <v>D240901R1</v>
          </cell>
          <cell r="J4118">
            <v>45569</v>
          </cell>
          <cell r="K4118">
            <v>2</v>
          </cell>
        </row>
        <row r="4119">
          <cell r="C4119" t="str">
            <v>黃胤綸</v>
          </cell>
          <cell r="J4119">
            <v>45572</v>
          </cell>
          <cell r="K4119">
            <v>0.5</v>
          </cell>
        </row>
        <row r="4120">
          <cell r="C4120" t="str">
            <v>黃胤綸</v>
          </cell>
          <cell r="J4120">
            <v>45572</v>
          </cell>
          <cell r="K4120">
            <v>4.5</v>
          </cell>
        </row>
        <row r="4121">
          <cell r="C4121" t="str">
            <v>黃胤綸</v>
          </cell>
          <cell r="F4121" t="str">
            <v>D240901R1</v>
          </cell>
          <cell r="J4121">
            <v>45572</v>
          </cell>
          <cell r="K4121">
            <v>3</v>
          </cell>
        </row>
        <row r="4122">
          <cell r="C4122" t="str">
            <v>黃胤綸</v>
          </cell>
          <cell r="F4122" t="str">
            <v>D240901R1</v>
          </cell>
          <cell r="J4122">
            <v>45573</v>
          </cell>
          <cell r="K4122">
            <v>6</v>
          </cell>
        </row>
        <row r="4123">
          <cell r="C4123" t="str">
            <v>黃胤綸</v>
          </cell>
          <cell r="F4123" t="str">
            <v>D241001R1</v>
          </cell>
          <cell r="J4123">
            <v>45573</v>
          </cell>
          <cell r="K4123">
            <v>2</v>
          </cell>
        </row>
        <row r="4124">
          <cell r="C4124" t="str">
            <v>黃胤綸</v>
          </cell>
          <cell r="J4124">
            <v>45574</v>
          </cell>
          <cell r="K4124">
            <v>1</v>
          </cell>
        </row>
        <row r="4125">
          <cell r="C4125" t="str">
            <v>黃胤綸</v>
          </cell>
          <cell r="F4125" t="str">
            <v>D241001R1</v>
          </cell>
          <cell r="J4125">
            <v>45574</v>
          </cell>
          <cell r="K4125">
            <v>7</v>
          </cell>
        </row>
        <row r="4126">
          <cell r="C4126" t="str">
            <v>黃胤綸</v>
          </cell>
          <cell r="F4126" t="str">
            <v>D241001R1</v>
          </cell>
          <cell r="J4126">
            <v>45576</v>
          </cell>
          <cell r="K4126">
            <v>8</v>
          </cell>
        </row>
        <row r="4127">
          <cell r="C4127" t="str">
            <v>黃胤綸</v>
          </cell>
          <cell r="J4127">
            <v>45579</v>
          </cell>
          <cell r="K4127">
            <v>5</v>
          </cell>
        </row>
        <row r="4128">
          <cell r="C4128" t="str">
            <v>黃胤綸</v>
          </cell>
          <cell r="F4128" t="str">
            <v>D241001R1</v>
          </cell>
          <cell r="J4128">
            <v>45579</v>
          </cell>
          <cell r="K4128">
            <v>3</v>
          </cell>
        </row>
        <row r="4129">
          <cell r="C4129" t="str">
            <v>黃胤綸</v>
          </cell>
          <cell r="J4129">
            <v>45580</v>
          </cell>
          <cell r="K4129">
            <v>1.5</v>
          </cell>
        </row>
        <row r="4130">
          <cell r="C4130" t="str">
            <v>黃胤綸</v>
          </cell>
          <cell r="F4130" t="str">
            <v>D241001R1</v>
          </cell>
          <cell r="J4130">
            <v>45580</v>
          </cell>
          <cell r="K4130">
            <v>6.5</v>
          </cell>
        </row>
        <row r="4131">
          <cell r="C4131" t="str">
            <v>黃胤綸</v>
          </cell>
          <cell r="J4131">
            <v>45581</v>
          </cell>
          <cell r="K4131">
            <v>0.5</v>
          </cell>
        </row>
        <row r="4132">
          <cell r="C4132" t="str">
            <v>黃胤綸</v>
          </cell>
          <cell r="F4132" t="str">
            <v>D241001R1</v>
          </cell>
          <cell r="J4132">
            <v>45581</v>
          </cell>
          <cell r="K4132">
            <v>7.5</v>
          </cell>
        </row>
        <row r="4133">
          <cell r="C4133" t="str">
            <v>黃胤綸</v>
          </cell>
          <cell r="F4133" t="str">
            <v>D241001R1</v>
          </cell>
          <cell r="J4133">
            <v>45582</v>
          </cell>
          <cell r="K4133">
            <v>6</v>
          </cell>
        </row>
        <row r="4134">
          <cell r="C4134" t="str">
            <v>黃胤綸</v>
          </cell>
          <cell r="F4134" t="str">
            <v>D240901R1</v>
          </cell>
          <cell r="J4134">
            <v>45582</v>
          </cell>
          <cell r="K4134">
            <v>2</v>
          </cell>
        </row>
        <row r="4135">
          <cell r="C4135" t="str">
            <v>黃胤綸</v>
          </cell>
          <cell r="J4135">
            <v>45583</v>
          </cell>
          <cell r="K4135">
            <v>1.5</v>
          </cell>
        </row>
        <row r="4136">
          <cell r="C4136" t="str">
            <v>黃胤綸</v>
          </cell>
          <cell r="F4136" t="str">
            <v>D241001R1</v>
          </cell>
          <cell r="J4136">
            <v>45583</v>
          </cell>
          <cell r="K4136">
            <v>2.5</v>
          </cell>
        </row>
        <row r="4137">
          <cell r="C4137" t="str">
            <v>黃胤綸</v>
          </cell>
          <cell r="F4137" t="str">
            <v>D240901R1</v>
          </cell>
          <cell r="J4137">
            <v>45583</v>
          </cell>
          <cell r="K4137">
            <v>4</v>
          </cell>
        </row>
        <row r="4138">
          <cell r="C4138" t="str">
            <v>黃胤綸</v>
          </cell>
          <cell r="J4138">
            <v>45586</v>
          </cell>
          <cell r="K4138">
            <v>5</v>
          </cell>
        </row>
        <row r="4139">
          <cell r="C4139" t="str">
            <v>黃胤綸</v>
          </cell>
          <cell r="F4139" t="str">
            <v>D240901R1</v>
          </cell>
          <cell r="J4139">
            <v>45586</v>
          </cell>
          <cell r="K4139">
            <v>3</v>
          </cell>
        </row>
        <row r="4140">
          <cell r="C4140" t="str">
            <v>黃胤綸</v>
          </cell>
          <cell r="J4140">
            <v>45587</v>
          </cell>
          <cell r="K4140">
            <v>4</v>
          </cell>
        </row>
        <row r="4141">
          <cell r="C4141" t="str">
            <v>黃胤綸</v>
          </cell>
          <cell r="J4141">
            <v>45587</v>
          </cell>
          <cell r="K4141">
            <v>1</v>
          </cell>
        </row>
        <row r="4142">
          <cell r="C4142" t="str">
            <v>黃胤綸</v>
          </cell>
          <cell r="F4142" t="str">
            <v>D241001R1</v>
          </cell>
          <cell r="J4142">
            <v>45587</v>
          </cell>
          <cell r="K4142">
            <v>3</v>
          </cell>
        </row>
        <row r="4143">
          <cell r="C4143" t="str">
            <v>黃胤綸</v>
          </cell>
          <cell r="F4143" t="str">
            <v>D241001R1</v>
          </cell>
          <cell r="J4143">
            <v>45588</v>
          </cell>
          <cell r="K4143">
            <v>4.5</v>
          </cell>
        </row>
        <row r="4144">
          <cell r="C4144" t="str">
            <v>黃胤綸</v>
          </cell>
          <cell r="J4144">
            <v>45588</v>
          </cell>
          <cell r="K4144">
            <v>1</v>
          </cell>
        </row>
        <row r="4145">
          <cell r="C4145" t="str">
            <v>黃胤綸</v>
          </cell>
          <cell r="J4145">
            <v>45588</v>
          </cell>
          <cell r="K4145">
            <v>0.5</v>
          </cell>
        </row>
        <row r="4146">
          <cell r="C4146" t="str">
            <v>黃胤綸</v>
          </cell>
          <cell r="F4146" t="str">
            <v>M240701C1</v>
          </cell>
          <cell r="J4146">
            <v>45588</v>
          </cell>
          <cell r="K4146">
            <v>2</v>
          </cell>
        </row>
        <row r="4147">
          <cell r="C4147" t="str">
            <v>黃胤綸</v>
          </cell>
          <cell r="J4147">
            <v>45589</v>
          </cell>
          <cell r="K4147">
            <v>8</v>
          </cell>
        </row>
        <row r="4148">
          <cell r="C4148" t="str">
            <v>黃胤綸</v>
          </cell>
          <cell r="J4148">
            <v>45590</v>
          </cell>
          <cell r="K4148">
            <v>8</v>
          </cell>
        </row>
        <row r="4149">
          <cell r="C4149" t="str">
            <v>黃胤綸</v>
          </cell>
          <cell r="F4149" t="str">
            <v>M240101R1</v>
          </cell>
          <cell r="J4149">
            <v>45593</v>
          </cell>
          <cell r="K4149">
            <v>2</v>
          </cell>
        </row>
        <row r="4150">
          <cell r="C4150" t="str">
            <v>黃胤綸</v>
          </cell>
          <cell r="F4150" t="str">
            <v>D241001R1</v>
          </cell>
          <cell r="J4150">
            <v>45593</v>
          </cell>
          <cell r="K4150">
            <v>6</v>
          </cell>
        </row>
        <row r="4151">
          <cell r="C4151" t="str">
            <v>黃胤綸</v>
          </cell>
          <cell r="F4151" t="str">
            <v>D241001R1</v>
          </cell>
          <cell r="J4151">
            <v>45594</v>
          </cell>
          <cell r="K4151">
            <v>8</v>
          </cell>
        </row>
        <row r="4152">
          <cell r="C4152" t="str">
            <v>黃胤綸</v>
          </cell>
          <cell r="F4152" t="str">
            <v>D241001R1</v>
          </cell>
          <cell r="J4152">
            <v>45595</v>
          </cell>
          <cell r="K4152">
            <v>8</v>
          </cell>
        </row>
        <row r="4153">
          <cell r="C4153" t="str">
            <v>黃胤綸</v>
          </cell>
          <cell r="J4153">
            <v>45596</v>
          </cell>
          <cell r="K4153">
            <v>8</v>
          </cell>
        </row>
        <row r="4154">
          <cell r="C4154" t="str">
            <v>黃胤綸</v>
          </cell>
          <cell r="F4154" t="str">
            <v>D241001R1</v>
          </cell>
          <cell r="J4154">
            <v>45597</v>
          </cell>
          <cell r="K4154">
            <v>4</v>
          </cell>
        </row>
        <row r="4155">
          <cell r="C4155" t="str">
            <v>黃胤綸</v>
          </cell>
          <cell r="J4155">
            <v>45597</v>
          </cell>
          <cell r="K4155">
            <v>4</v>
          </cell>
        </row>
        <row r="4156">
          <cell r="C4156" t="str">
            <v>黃胤綸</v>
          </cell>
          <cell r="F4156" t="str">
            <v>D241001R1</v>
          </cell>
          <cell r="J4156">
            <v>45600</v>
          </cell>
          <cell r="K4156">
            <v>7</v>
          </cell>
        </row>
        <row r="4157">
          <cell r="C4157" t="str">
            <v>黃胤綸</v>
          </cell>
          <cell r="F4157" t="str">
            <v>M240701C1</v>
          </cell>
          <cell r="J4157">
            <v>45600</v>
          </cell>
          <cell r="K4157">
            <v>1</v>
          </cell>
        </row>
        <row r="4158">
          <cell r="C4158" t="str">
            <v>黃胤綸</v>
          </cell>
          <cell r="J4158">
            <v>45601</v>
          </cell>
          <cell r="K4158">
            <v>2</v>
          </cell>
        </row>
        <row r="4159">
          <cell r="C4159" t="str">
            <v>黃胤綸</v>
          </cell>
          <cell r="F4159" t="str">
            <v>D241001R1</v>
          </cell>
          <cell r="J4159">
            <v>45601</v>
          </cell>
          <cell r="K4159">
            <v>6</v>
          </cell>
        </row>
        <row r="4160">
          <cell r="C4160" t="str">
            <v>黃胤綸</v>
          </cell>
          <cell r="J4160">
            <v>45602</v>
          </cell>
          <cell r="K4160">
            <v>0.5</v>
          </cell>
        </row>
        <row r="4161">
          <cell r="C4161" t="str">
            <v>黃胤綸</v>
          </cell>
          <cell r="F4161" t="str">
            <v>D240901R1</v>
          </cell>
          <cell r="J4161">
            <v>45602</v>
          </cell>
          <cell r="K4161">
            <v>2</v>
          </cell>
        </row>
        <row r="4162">
          <cell r="C4162" t="str">
            <v>黃胤綸</v>
          </cell>
          <cell r="F4162" t="str">
            <v>D241001R1</v>
          </cell>
          <cell r="J4162">
            <v>45602</v>
          </cell>
          <cell r="K4162">
            <v>5.5</v>
          </cell>
        </row>
        <row r="4163">
          <cell r="C4163" t="str">
            <v>黃胤綸</v>
          </cell>
          <cell r="F4163" t="str">
            <v>D241001R1</v>
          </cell>
          <cell r="J4163">
            <v>45603</v>
          </cell>
          <cell r="K4163">
            <v>5</v>
          </cell>
        </row>
        <row r="4164">
          <cell r="C4164" t="str">
            <v>黃胤綸</v>
          </cell>
          <cell r="J4164">
            <v>45603</v>
          </cell>
          <cell r="K4164">
            <v>3</v>
          </cell>
        </row>
        <row r="4165">
          <cell r="C4165" t="str">
            <v>黃胤綸</v>
          </cell>
          <cell r="J4165">
            <v>45604</v>
          </cell>
          <cell r="K4165">
            <v>8</v>
          </cell>
        </row>
        <row r="4166">
          <cell r="C4166" t="str">
            <v>黃胤綸</v>
          </cell>
          <cell r="J4166">
            <v>45607</v>
          </cell>
          <cell r="K4166">
            <v>5</v>
          </cell>
        </row>
        <row r="4167">
          <cell r="C4167" t="str">
            <v>黃胤綸</v>
          </cell>
          <cell r="F4167" t="str">
            <v>D241001R1</v>
          </cell>
          <cell r="J4167">
            <v>45607</v>
          </cell>
          <cell r="K4167">
            <v>3</v>
          </cell>
        </row>
        <row r="4168">
          <cell r="C4168" t="str">
            <v>黃胤綸</v>
          </cell>
          <cell r="J4168">
            <v>45608</v>
          </cell>
          <cell r="K4168">
            <v>6</v>
          </cell>
        </row>
        <row r="4169">
          <cell r="C4169" t="str">
            <v>黃胤綸</v>
          </cell>
          <cell r="J4169">
            <v>45608</v>
          </cell>
          <cell r="K4169">
            <v>2</v>
          </cell>
        </row>
        <row r="4170">
          <cell r="C4170" t="str">
            <v>黃胤綸</v>
          </cell>
          <cell r="J4170">
            <v>45609</v>
          </cell>
          <cell r="K4170">
            <v>2</v>
          </cell>
        </row>
        <row r="4171">
          <cell r="C4171" t="str">
            <v>黃胤綸</v>
          </cell>
          <cell r="J4171">
            <v>45609</v>
          </cell>
          <cell r="K4171">
            <v>3</v>
          </cell>
        </row>
        <row r="4172">
          <cell r="C4172" t="str">
            <v>黃胤綸</v>
          </cell>
          <cell r="F4172" t="str">
            <v>M240101P1</v>
          </cell>
          <cell r="J4172">
            <v>45609</v>
          </cell>
          <cell r="K4172">
            <v>3</v>
          </cell>
        </row>
        <row r="4173">
          <cell r="C4173" t="str">
            <v>黃胤綸</v>
          </cell>
          <cell r="J4173">
            <v>45610</v>
          </cell>
          <cell r="K4173">
            <v>6</v>
          </cell>
        </row>
        <row r="4174">
          <cell r="C4174" t="str">
            <v>黃胤綸</v>
          </cell>
          <cell r="J4174">
            <v>45610</v>
          </cell>
          <cell r="K4174">
            <v>2</v>
          </cell>
        </row>
        <row r="4175">
          <cell r="C4175" t="str">
            <v>黃胤綸</v>
          </cell>
          <cell r="J4175">
            <v>45611</v>
          </cell>
          <cell r="K4175">
            <v>2</v>
          </cell>
        </row>
        <row r="4176">
          <cell r="C4176" t="str">
            <v>黃胤綸</v>
          </cell>
          <cell r="J4176">
            <v>45611</v>
          </cell>
          <cell r="K4176">
            <v>6</v>
          </cell>
        </row>
        <row r="4177">
          <cell r="C4177" t="str">
            <v>黃胤綸</v>
          </cell>
          <cell r="J4177">
            <v>45614</v>
          </cell>
          <cell r="K4177">
            <v>4</v>
          </cell>
        </row>
        <row r="4178">
          <cell r="C4178" t="str">
            <v>黃胤綸</v>
          </cell>
          <cell r="F4178" t="str">
            <v>M240101P1</v>
          </cell>
          <cell r="J4178">
            <v>45614</v>
          </cell>
          <cell r="K4178">
            <v>4</v>
          </cell>
        </row>
        <row r="4179">
          <cell r="C4179" t="str">
            <v>黃胤綸</v>
          </cell>
          <cell r="F4179" t="str">
            <v>M240101P1</v>
          </cell>
          <cell r="J4179">
            <v>45615</v>
          </cell>
          <cell r="K4179">
            <v>5</v>
          </cell>
        </row>
        <row r="4180">
          <cell r="C4180" t="str">
            <v>黃胤綸</v>
          </cell>
          <cell r="J4180">
            <v>45615</v>
          </cell>
          <cell r="K4180">
            <v>3</v>
          </cell>
        </row>
        <row r="4181">
          <cell r="C4181" t="str">
            <v>黃胤綸</v>
          </cell>
          <cell r="J4181">
            <v>45616</v>
          </cell>
          <cell r="K4181">
            <v>1</v>
          </cell>
        </row>
        <row r="4182">
          <cell r="C4182" t="str">
            <v>黃胤綸</v>
          </cell>
          <cell r="J4182">
            <v>45616</v>
          </cell>
          <cell r="K4182">
            <v>1</v>
          </cell>
        </row>
        <row r="4183">
          <cell r="C4183" t="str">
            <v>黃胤綸</v>
          </cell>
          <cell r="F4183" t="str">
            <v>M240101P1</v>
          </cell>
          <cell r="J4183">
            <v>45616</v>
          </cell>
          <cell r="K4183">
            <v>6</v>
          </cell>
        </row>
        <row r="4184">
          <cell r="C4184" t="str">
            <v>黃胤綸</v>
          </cell>
          <cell r="F4184" t="str">
            <v>M240101P1</v>
          </cell>
          <cell r="J4184">
            <v>45617</v>
          </cell>
          <cell r="K4184">
            <v>5</v>
          </cell>
        </row>
        <row r="4185">
          <cell r="C4185" t="str">
            <v>黃胤綸</v>
          </cell>
          <cell r="J4185">
            <v>45617</v>
          </cell>
          <cell r="K4185">
            <v>3</v>
          </cell>
        </row>
        <row r="4186">
          <cell r="C4186" t="str">
            <v>黃胤綸</v>
          </cell>
          <cell r="F4186" t="str">
            <v>M240101P1</v>
          </cell>
          <cell r="J4186">
            <v>45618</v>
          </cell>
          <cell r="K4186">
            <v>3</v>
          </cell>
        </row>
        <row r="4187">
          <cell r="C4187" t="str">
            <v>黃胤綸</v>
          </cell>
          <cell r="J4187">
            <v>45618</v>
          </cell>
          <cell r="K4187">
            <v>4</v>
          </cell>
        </row>
        <row r="4188">
          <cell r="C4188" t="str">
            <v>黃胤綸</v>
          </cell>
          <cell r="J4188">
            <v>45618</v>
          </cell>
          <cell r="K4188">
            <v>1</v>
          </cell>
        </row>
        <row r="4189">
          <cell r="C4189" t="str">
            <v>黃胤綸</v>
          </cell>
          <cell r="J4189">
            <v>45621</v>
          </cell>
          <cell r="K4189">
            <v>2</v>
          </cell>
        </row>
        <row r="4190">
          <cell r="C4190" t="str">
            <v>黃胤綸</v>
          </cell>
          <cell r="J4190">
            <v>45621</v>
          </cell>
          <cell r="K4190">
            <v>6</v>
          </cell>
        </row>
        <row r="4191">
          <cell r="C4191" t="str">
            <v>黃胤綸</v>
          </cell>
          <cell r="J4191">
            <v>45622</v>
          </cell>
          <cell r="K4191">
            <v>3</v>
          </cell>
        </row>
        <row r="4192">
          <cell r="C4192" t="str">
            <v>黃胤綸</v>
          </cell>
          <cell r="J4192">
            <v>45622</v>
          </cell>
          <cell r="K4192">
            <v>1</v>
          </cell>
        </row>
        <row r="4193">
          <cell r="C4193" t="str">
            <v>黃胤綸</v>
          </cell>
          <cell r="J4193">
            <v>45622</v>
          </cell>
          <cell r="K4193">
            <v>4</v>
          </cell>
        </row>
        <row r="4194">
          <cell r="C4194" t="str">
            <v>黃胤綸</v>
          </cell>
          <cell r="J4194">
            <v>45623</v>
          </cell>
          <cell r="K4194">
            <v>7</v>
          </cell>
        </row>
        <row r="4195">
          <cell r="C4195" t="str">
            <v>黃胤綸</v>
          </cell>
          <cell r="J4195">
            <v>45623</v>
          </cell>
          <cell r="K4195">
            <v>1</v>
          </cell>
        </row>
        <row r="4196">
          <cell r="C4196" t="str">
            <v>黃胤綸</v>
          </cell>
          <cell r="J4196">
            <v>45624</v>
          </cell>
          <cell r="K4196">
            <v>8</v>
          </cell>
        </row>
        <row r="4197">
          <cell r="C4197" t="str">
            <v>黃胤綸</v>
          </cell>
          <cell r="J4197">
            <v>45625</v>
          </cell>
          <cell r="K4197">
            <v>1</v>
          </cell>
        </row>
        <row r="4198">
          <cell r="C4198" t="str">
            <v>黃胤綸</v>
          </cell>
          <cell r="J4198">
            <v>45625</v>
          </cell>
          <cell r="K4198">
            <v>7</v>
          </cell>
        </row>
        <row r="4199">
          <cell r="C4199" t="str">
            <v>黃胤綸</v>
          </cell>
          <cell r="J4199">
            <v>45628</v>
          </cell>
          <cell r="K4199">
            <v>2</v>
          </cell>
        </row>
        <row r="4200">
          <cell r="C4200" t="str">
            <v>黃胤綸</v>
          </cell>
          <cell r="J4200">
            <v>45628</v>
          </cell>
          <cell r="K4200">
            <v>6</v>
          </cell>
        </row>
        <row r="4201">
          <cell r="C4201" t="str">
            <v>黃胤綸</v>
          </cell>
          <cell r="J4201">
            <v>45629</v>
          </cell>
          <cell r="K4201">
            <v>2</v>
          </cell>
        </row>
        <row r="4202">
          <cell r="C4202" t="str">
            <v>黃胤綸</v>
          </cell>
          <cell r="J4202">
            <v>45629</v>
          </cell>
          <cell r="K4202">
            <v>4</v>
          </cell>
        </row>
        <row r="4203">
          <cell r="C4203" t="str">
            <v>黃胤綸</v>
          </cell>
          <cell r="J4203">
            <v>45629</v>
          </cell>
          <cell r="K4203">
            <v>2</v>
          </cell>
        </row>
        <row r="4204">
          <cell r="C4204" t="str">
            <v>黃胤綸</v>
          </cell>
          <cell r="J4204">
            <v>45630</v>
          </cell>
          <cell r="K4204">
            <v>1</v>
          </cell>
        </row>
        <row r="4205">
          <cell r="C4205" t="str">
            <v>黃胤綸</v>
          </cell>
          <cell r="J4205">
            <v>45630</v>
          </cell>
          <cell r="K4205">
            <v>7</v>
          </cell>
        </row>
        <row r="4206">
          <cell r="C4206" t="str">
            <v>黃胤綸</v>
          </cell>
          <cell r="J4206">
            <v>45631</v>
          </cell>
          <cell r="K4206">
            <v>8</v>
          </cell>
        </row>
        <row r="4207">
          <cell r="C4207" t="str">
            <v>黃胤綸</v>
          </cell>
          <cell r="J4207">
            <v>45632</v>
          </cell>
          <cell r="K4207">
            <v>8</v>
          </cell>
        </row>
        <row r="4208">
          <cell r="C4208" t="str">
            <v>黃胤綸</v>
          </cell>
          <cell r="J4208">
            <v>45635</v>
          </cell>
          <cell r="K4208">
            <v>8</v>
          </cell>
        </row>
        <row r="4209">
          <cell r="C4209" t="str">
            <v>黃胤綸</v>
          </cell>
          <cell r="J4209">
            <v>45636</v>
          </cell>
          <cell r="K4209">
            <v>2</v>
          </cell>
        </row>
        <row r="4210">
          <cell r="C4210" t="str">
            <v>黃胤綸</v>
          </cell>
          <cell r="J4210">
            <v>45636</v>
          </cell>
          <cell r="K4210">
            <v>1</v>
          </cell>
        </row>
        <row r="4211">
          <cell r="C4211" t="str">
            <v>黃胤綸</v>
          </cell>
          <cell r="J4211">
            <v>45636</v>
          </cell>
          <cell r="K4211">
            <v>5</v>
          </cell>
        </row>
        <row r="4212">
          <cell r="C4212" t="str">
            <v>黃胤綸</v>
          </cell>
          <cell r="J4212">
            <v>45637</v>
          </cell>
          <cell r="K4212">
            <v>8</v>
          </cell>
        </row>
        <row r="4213">
          <cell r="C4213" t="str">
            <v>黃胤綸</v>
          </cell>
          <cell r="J4213">
            <v>45638</v>
          </cell>
          <cell r="K4213">
            <v>8</v>
          </cell>
        </row>
        <row r="4214">
          <cell r="C4214" t="str">
            <v>黃胤綸</v>
          </cell>
          <cell r="J4214">
            <v>45639</v>
          </cell>
          <cell r="K4214">
            <v>8</v>
          </cell>
        </row>
        <row r="4215">
          <cell r="C4215" t="str">
            <v>黃胤綸</v>
          </cell>
          <cell r="J4215">
            <v>45642</v>
          </cell>
          <cell r="K4215">
            <v>1</v>
          </cell>
        </row>
        <row r="4216">
          <cell r="C4216" t="str">
            <v>黃胤綸</v>
          </cell>
          <cell r="J4216">
            <v>45642</v>
          </cell>
          <cell r="K4216">
            <v>5</v>
          </cell>
        </row>
        <row r="4217">
          <cell r="C4217" t="str">
            <v>黃胤綸</v>
          </cell>
          <cell r="J4217">
            <v>45642</v>
          </cell>
          <cell r="K4217">
            <v>2</v>
          </cell>
        </row>
        <row r="4218">
          <cell r="C4218" t="str">
            <v>黃胤綸</v>
          </cell>
          <cell r="J4218">
            <v>45643</v>
          </cell>
          <cell r="K4218">
            <v>5</v>
          </cell>
        </row>
        <row r="4219">
          <cell r="C4219" t="str">
            <v>黃胤綸</v>
          </cell>
          <cell r="J4219">
            <v>45643</v>
          </cell>
          <cell r="K4219">
            <v>3</v>
          </cell>
        </row>
        <row r="4220">
          <cell r="C4220" t="str">
            <v>黃胤綸</v>
          </cell>
          <cell r="J4220">
            <v>45644</v>
          </cell>
          <cell r="K4220">
            <v>5</v>
          </cell>
        </row>
        <row r="4221">
          <cell r="C4221" t="str">
            <v>黃胤綸</v>
          </cell>
          <cell r="J4221">
            <v>45644</v>
          </cell>
          <cell r="K4221">
            <v>3</v>
          </cell>
        </row>
        <row r="4222">
          <cell r="C4222" t="str">
            <v>黃胤綸</v>
          </cell>
          <cell r="J4222">
            <v>45645</v>
          </cell>
          <cell r="K4222">
            <v>1.5</v>
          </cell>
        </row>
        <row r="4223">
          <cell r="C4223" t="str">
            <v>黃胤綸</v>
          </cell>
          <cell r="J4223">
            <v>45645</v>
          </cell>
          <cell r="K4223">
            <v>6.5</v>
          </cell>
        </row>
        <row r="4224">
          <cell r="C4224" t="str">
            <v>黃胤綸</v>
          </cell>
          <cell r="J4224">
            <v>45646</v>
          </cell>
          <cell r="K4224">
            <v>7</v>
          </cell>
        </row>
        <row r="4225">
          <cell r="C4225" t="str">
            <v>黃胤綸</v>
          </cell>
          <cell r="J4225">
            <v>45646</v>
          </cell>
          <cell r="K4225">
            <v>1</v>
          </cell>
        </row>
        <row r="4226">
          <cell r="C4226" t="str">
            <v>黃胤綸</v>
          </cell>
          <cell r="J4226">
            <v>45649</v>
          </cell>
          <cell r="K4226">
            <v>1</v>
          </cell>
        </row>
        <row r="4227">
          <cell r="C4227" t="str">
            <v>黃胤綸</v>
          </cell>
          <cell r="J4227">
            <v>45649</v>
          </cell>
          <cell r="K4227">
            <v>7</v>
          </cell>
        </row>
        <row r="4228">
          <cell r="C4228" t="str">
            <v>黃胤綸</v>
          </cell>
          <cell r="J4228">
            <v>45650</v>
          </cell>
          <cell r="K4228">
            <v>8</v>
          </cell>
        </row>
        <row r="4229">
          <cell r="C4229" t="str">
            <v>黃胤綸</v>
          </cell>
          <cell r="J4229">
            <v>45651</v>
          </cell>
          <cell r="K4229">
            <v>3</v>
          </cell>
        </row>
        <row r="4230">
          <cell r="C4230" t="str">
            <v>黃胤綸</v>
          </cell>
          <cell r="J4230">
            <v>45651</v>
          </cell>
          <cell r="K4230">
            <v>5</v>
          </cell>
        </row>
        <row r="4231">
          <cell r="C4231" t="str">
            <v>黃胤綸</v>
          </cell>
          <cell r="J4231">
            <v>45652</v>
          </cell>
          <cell r="K4231">
            <v>8</v>
          </cell>
        </row>
        <row r="4232">
          <cell r="C4232" t="str">
            <v>黃胤綸</v>
          </cell>
          <cell r="J4232">
            <v>45653</v>
          </cell>
          <cell r="K4232">
            <v>8</v>
          </cell>
        </row>
        <row r="4233">
          <cell r="C4233" t="str">
            <v>黃胤綸</v>
          </cell>
          <cell r="J4233">
            <v>45656</v>
          </cell>
          <cell r="K4233">
            <v>8</v>
          </cell>
        </row>
        <row r="4234">
          <cell r="C4234" t="str">
            <v>黃胤綸</v>
          </cell>
          <cell r="F4234" t="str">
            <v>D240901R1</v>
          </cell>
          <cell r="J4234">
            <v>45657</v>
          </cell>
          <cell r="K4234">
            <v>4</v>
          </cell>
        </row>
        <row r="4235">
          <cell r="C4235" t="str">
            <v>黃胤綸</v>
          </cell>
          <cell r="F4235" t="str">
            <v>D241001R1</v>
          </cell>
          <cell r="J4235">
            <v>45657</v>
          </cell>
          <cell r="K4235">
            <v>2</v>
          </cell>
        </row>
        <row r="4236">
          <cell r="C4236" t="str">
            <v>黃胤綸</v>
          </cell>
          <cell r="J4236">
            <v>45657</v>
          </cell>
          <cell r="K4236">
            <v>2</v>
          </cell>
        </row>
        <row r="4237">
          <cell r="C4237" t="str">
            <v>黃胤綸</v>
          </cell>
          <cell r="J4237">
            <v>45659</v>
          </cell>
          <cell r="K4237">
            <v>3.5</v>
          </cell>
        </row>
        <row r="4238">
          <cell r="C4238" t="str">
            <v>黃胤綸</v>
          </cell>
          <cell r="J4238">
            <v>45659</v>
          </cell>
          <cell r="K4238">
            <v>2.5</v>
          </cell>
        </row>
        <row r="4239">
          <cell r="C4239" t="str">
            <v>黃胤綸</v>
          </cell>
          <cell r="J4239">
            <v>45659</v>
          </cell>
          <cell r="K4239">
            <v>1</v>
          </cell>
        </row>
        <row r="4240">
          <cell r="C4240" t="str">
            <v>黃胤綸</v>
          </cell>
          <cell r="F4240" t="str">
            <v>D241001R1</v>
          </cell>
          <cell r="J4240">
            <v>45659</v>
          </cell>
          <cell r="K4240">
            <v>1</v>
          </cell>
        </row>
        <row r="4241">
          <cell r="C4241" t="str">
            <v>黃胤綸</v>
          </cell>
          <cell r="J4241">
            <v>45660</v>
          </cell>
          <cell r="K4241">
            <v>2.5</v>
          </cell>
        </row>
        <row r="4242">
          <cell r="C4242" t="str">
            <v>黃胤綸</v>
          </cell>
          <cell r="J4242">
            <v>45660</v>
          </cell>
          <cell r="K4242">
            <v>5.5</v>
          </cell>
        </row>
        <row r="4243">
          <cell r="C4243" t="str">
            <v>黃胤綸</v>
          </cell>
          <cell r="J4243">
            <v>45663</v>
          </cell>
          <cell r="K4243">
            <v>5</v>
          </cell>
        </row>
        <row r="4244">
          <cell r="C4244" t="str">
            <v>黃胤綸</v>
          </cell>
          <cell r="J4244">
            <v>45663</v>
          </cell>
          <cell r="K4244">
            <v>3</v>
          </cell>
        </row>
        <row r="4245">
          <cell r="C4245" t="str">
            <v>黃胤綸</v>
          </cell>
          <cell r="J4245">
            <v>45664</v>
          </cell>
          <cell r="K4245">
            <v>3</v>
          </cell>
        </row>
        <row r="4246">
          <cell r="C4246" t="str">
            <v>黃胤綸</v>
          </cell>
          <cell r="J4246">
            <v>45664</v>
          </cell>
          <cell r="K4246">
            <v>5</v>
          </cell>
        </row>
        <row r="4247">
          <cell r="C4247" t="str">
            <v>黃胤綸</v>
          </cell>
          <cell r="F4247" t="str">
            <v>D250101R1</v>
          </cell>
          <cell r="J4247">
            <v>45665</v>
          </cell>
          <cell r="K4247">
            <v>3.5</v>
          </cell>
        </row>
        <row r="4248">
          <cell r="C4248" t="str">
            <v>黃胤綸</v>
          </cell>
          <cell r="J4248">
            <v>45665</v>
          </cell>
          <cell r="K4248">
            <v>4</v>
          </cell>
        </row>
        <row r="4249">
          <cell r="C4249" t="str">
            <v>黃胤綸</v>
          </cell>
          <cell r="J4249">
            <v>45665</v>
          </cell>
          <cell r="K4249">
            <v>0.5</v>
          </cell>
        </row>
        <row r="4250">
          <cell r="C4250" t="str">
            <v>黃胤綸</v>
          </cell>
          <cell r="J4250">
            <v>45666</v>
          </cell>
          <cell r="K4250">
            <v>4</v>
          </cell>
        </row>
        <row r="4251">
          <cell r="C4251" t="str">
            <v>黃胤綸</v>
          </cell>
          <cell r="J4251">
            <v>45666</v>
          </cell>
          <cell r="K4251">
            <v>4</v>
          </cell>
        </row>
        <row r="4252">
          <cell r="C4252" t="str">
            <v>黃胤綸</v>
          </cell>
          <cell r="J4252">
            <v>45667</v>
          </cell>
          <cell r="K4252">
            <v>2</v>
          </cell>
        </row>
        <row r="4253">
          <cell r="C4253" t="str">
            <v>黃胤綸</v>
          </cell>
          <cell r="F4253" t="str">
            <v>D250101R1</v>
          </cell>
          <cell r="J4253">
            <v>45667</v>
          </cell>
          <cell r="K4253">
            <v>6</v>
          </cell>
        </row>
        <row r="4254">
          <cell r="C4254" t="str">
            <v>黃胤綸</v>
          </cell>
          <cell r="F4254" t="str">
            <v>D250101R1</v>
          </cell>
          <cell r="J4254">
            <v>45670</v>
          </cell>
          <cell r="K4254">
            <v>8</v>
          </cell>
        </row>
        <row r="4255">
          <cell r="C4255" t="str">
            <v>黃胤綸</v>
          </cell>
          <cell r="J4255">
            <v>45671</v>
          </cell>
          <cell r="K4255">
            <v>8</v>
          </cell>
        </row>
        <row r="4256">
          <cell r="C4256" t="str">
            <v>黃胤綸</v>
          </cell>
          <cell r="J4256">
            <v>45672</v>
          </cell>
          <cell r="K4256">
            <v>4</v>
          </cell>
        </row>
        <row r="4257">
          <cell r="C4257" t="str">
            <v>黃胤綸</v>
          </cell>
          <cell r="F4257" t="str">
            <v>D250101R1</v>
          </cell>
          <cell r="J4257">
            <v>45672</v>
          </cell>
          <cell r="K4257">
            <v>4</v>
          </cell>
        </row>
        <row r="4258">
          <cell r="C4258" t="str">
            <v>黃胤綸</v>
          </cell>
          <cell r="J4258">
            <v>45673</v>
          </cell>
          <cell r="K4258">
            <v>3</v>
          </cell>
        </row>
        <row r="4259">
          <cell r="C4259" t="str">
            <v>黃胤綸</v>
          </cell>
          <cell r="F4259" t="str">
            <v>D250101R1</v>
          </cell>
          <cell r="J4259">
            <v>45673</v>
          </cell>
          <cell r="K4259">
            <v>5</v>
          </cell>
        </row>
        <row r="4260">
          <cell r="C4260" t="str">
            <v>黃胤綸</v>
          </cell>
          <cell r="J4260">
            <v>45674</v>
          </cell>
          <cell r="K4260">
            <v>4</v>
          </cell>
        </row>
        <row r="4261">
          <cell r="C4261" t="str">
            <v>黃胤綸</v>
          </cell>
          <cell r="F4261" t="str">
            <v>D250101R1</v>
          </cell>
          <cell r="J4261">
            <v>45674</v>
          </cell>
          <cell r="K4261">
            <v>4</v>
          </cell>
        </row>
        <row r="4262">
          <cell r="C4262" t="str">
            <v>黃胤綸</v>
          </cell>
          <cell r="F4262" t="str">
            <v>D250101R1</v>
          </cell>
          <cell r="J4262">
            <v>45677</v>
          </cell>
          <cell r="K4262">
            <v>8</v>
          </cell>
        </row>
        <row r="4263">
          <cell r="C4263" t="str">
            <v>黃胤綸</v>
          </cell>
          <cell r="F4263" t="str">
            <v>D240901R1</v>
          </cell>
          <cell r="J4263">
            <v>45678</v>
          </cell>
          <cell r="K4263">
            <v>2</v>
          </cell>
        </row>
        <row r="4264">
          <cell r="C4264" t="str">
            <v>黃胤綸</v>
          </cell>
          <cell r="J4264">
            <v>45678</v>
          </cell>
          <cell r="K4264">
            <v>2</v>
          </cell>
        </row>
        <row r="4265">
          <cell r="C4265" t="str">
            <v>黃胤綸</v>
          </cell>
          <cell r="J4265">
            <v>45678</v>
          </cell>
          <cell r="K4265">
            <v>1</v>
          </cell>
        </row>
        <row r="4266">
          <cell r="C4266" t="str">
            <v>黃胤綸</v>
          </cell>
          <cell r="F4266" t="str">
            <v>D250101R1</v>
          </cell>
          <cell r="J4266">
            <v>45678</v>
          </cell>
          <cell r="K4266">
            <v>3</v>
          </cell>
        </row>
        <row r="4267">
          <cell r="C4267" t="str">
            <v>黃胤綸</v>
          </cell>
          <cell r="F4267" t="str">
            <v>D250101R1</v>
          </cell>
          <cell r="J4267">
            <v>45679</v>
          </cell>
          <cell r="K4267">
            <v>5</v>
          </cell>
        </row>
        <row r="4268">
          <cell r="C4268" t="str">
            <v>黃胤綸</v>
          </cell>
          <cell r="J4268">
            <v>45679</v>
          </cell>
          <cell r="K4268">
            <v>1</v>
          </cell>
        </row>
        <row r="4269">
          <cell r="C4269" t="str">
            <v>黃胤綸</v>
          </cell>
          <cell r="J4269">
            <v>45679</v>
          </cell>
          <cell r="K4269">
            <v>2</v>
          </cell>
        </row>
        <row r="4270">
          <cell r="C4270" t="str">
            <v>黃胤綸</v>
          </cell>
          <cell r="F4270" t="str">
            <v>D250101R1</v>
          </cell>
          <cell r="J4270">
            <v>45680</v>
          </cell>
          <cell r="K4270">
            <v>8</v>
          </cell>
        </row>
        <row r="4271">
          <cell r="C4271" t="str">
            <v>黃胤綸</v>
          </cell>
          <cell r="J4271">
            <v>45681</v>
          </cell>
          <cell r="K4271">
            <v>5</v>
          </cell>
        </row>
        <row r="4272">
          <cell r="C4272" t="str">
            <v>黃胤綸</v>
          </cell>
          <cell r="F4272" t="str">
            <v>D250101R1</v>
          </cell>
          <cell r="J4272">
            <v>45681</v>
          </cell>
          <cell r="K4272">
            <v>3</v>
          </cell>
        </row>
        <row r="4273">
          <cell r="C4273" t="str">
            <v>黃胤綸</v>
          </cell>
          <cell r="J4273">
            <v>45691</v>
          </cell>
          <cell r="K4273">
            <v>5</v>
          </cell>
        </row>
        <row r="4274">
          <cell r="C4274" t="str">
            <v>黃胤綸</v>
          </cell>
          <cell r="F4274" t="str">
            <v>D250101R1</v>
          </cell>
          <cell r="J4274">
            <v>45691</v>
          </cell>
          <cell r="K4274">
            <v>3</v>
          </cell>
        </row>
        <row r="4275">
          <cell r="C4275" t="str">
            <v>黃胤綸</v>
          </cell>
          <cell r="J4275">
            <v>45692</v>
          </cell>
          <cell r="K4275">
            <v>2</v>
          </cell>
        </row>
        <row r="4276">
          <cell r="C4276" t="str">
            <v>黃胤綸</v>
          </cell>
          <cell r="F4276" t="str">
            <v>D250101R1</v>
          </cell>
          <cell r="J4276">
            <v>45692</v>
          </cell>
          <cell r="K4276">
            <v>6</v>
          </cell>
        </row>
        <row r="4277">
          <cell r="C4277" t="str">
            <v>黃胤綸</v>
          </cell>
          <cell r="J4277">
            <v>45693</v>
          </cell>
          <cell r="K4277">
            <v>3</v>
          </cell>
        </row>
        <row r="4278">
          <cell r="C4278" t="str">
            <v>黃胤綸</v>
          </cell>
          <cell r="F4278" t="str">
            <v>D250101R1</v>
          </cell>
          <cell r="J4278">
            <v>45693</v>
          </cell>
          <cell r="K4278">
            <v>5</v>
          </cell>
        </row>
        <row r="4279">
          <cell r="C4279" t="str">
            <v>黃胤綸</v>
          </cell>
          <cell r="F4279" t="str">
            <v>D250101R1</v>
          </cell>
          <cell r="J4279">
            <v>45694</v>
          </cell>
          <cell r="K4279">
            <v>8</v>
          </cell>
        </row>
        <row r="4280">
          <cell r="C4280" t="str">
            <v>黃胤綸</v>
          </cell>
          <cell r="F4280" t="str">
            <v>D250101R1</v>
          </cell>
          <cell r="J4280">
            <v>45695</v>
          </cell>
          <cell r="K4280">
            <v>8</v>
          </cell>
        </row>
        <row r="4281">
          <cell r="C4281" t="str">
            <v>黃胤綸</v>
          </cell>
          <cell r="J4281">
            <v>45696</v>
          </cell>
          <cell r="K4281">
            <v>5</v>
          </cell>
        </row>
        <row r="4282">
          <cell r="C4282" t="str">
            <v>黃胤綸</v>
          </cell>
          <cell r="F4282" t="str">
            <v>D250101R1</v>
          </cell>
          <cell r="J4282">
            <v>45696</v>
          </cell>
          <cell r="K4282">
            <v>3</v>
          </cell>
        </row>
        <row r="4283">
          <cell r="C4283" t="str">
            <v>黃胤綸</v>
          </cell>
          <cell r="F4283" t="str">
            <v>D250101R1</v>
          </cell>
          <cell r="J4283">
            <v>45698</v>
          </cell>
          <cell r="K4283">
            <v>8</v>
          </cell>
        </row>
        <row r="4284">
          <cell r="C4284" t="str">
            <v>黃胤綸</v>
          </cell>
          <cell r="J4284">
            <v>45699</v>
          </cell>
          <cell r="K4284">
            <v>1</v>
          </cell>
        </row>
        <row r="4285">
          <cell r="C4285" t="str">
            <v>黃胤綸</v>
          </cell>
          <cell r="F4285" t="str">
            <v>D250101R1</v>
          </cell>
          <cell r="J4285">
            <v>45699</v>
          </cell>
          <cell r="K4285">
            <v>7</v>
          </cell>
        </row>
        <row r="4286">
          <cell r="C4286" t="str">
            <v>黃胤綸</v>
          </cell>
          <cell r="F4286" t="str">
            <v>D250101R1</v>
          </cell>
          <cell r="J4286">
            <v>45700</v>
          </cell>
          <cell r="K4286">
            <v>8</v>
          </cell>
        </row>
        <row r="4287">
          <cell r="C4287" t="str">
            <v>黃胤綸</v>
          </cell>
          <cell r="J4287">
            <v>45701</v>
          </cell>
          <cell r="K4287">
            <v>5</v>
          </cell>
        </row>
        <row r="4288">
          <cell r="C4288" t="str">
            <v>黃胤綸</v>
          </cell>
          <cell r="F4288" t="str">
            <v>D250101R1</v>
          </cell>
          <cell r="J4288">
            <v>45701</v>
          </cell>
          <cell r="K4288">
            <v>3</v>
          </cell>
        </row>
        <row r="4289">
          <cell r="C4289" t="str">
            <v>黃胤綸</v>
          </cell>
          <cell r="J4289">
            <v>45702</v>
          </cell>
          <cell r="K4289">
            <v>4</v>
          </cell>
        </row>
        <row r="4290">
          <cell r="C4290" t="str">
            <v>黃胤綸</v>
          </cell>
          <cell r="F4290" t="str">
            <v>D240901R1</v>
          </cell>
          <cell r="J4290">
            <v>45702</v>
          </cell>
          <cell r="K4290">
            <v>4</v>
          </cell>
        </row>
        <row r="4291">
          <cell r="C4291" t="str">
            <v>黃胤綸</v>
          </cell>
          <cell r="F4291" t="str">
            <v>D250101R1</v>
          </cell>
          <cell r="J4291">
            <v>45705</v>
          </cell>
          <cell r="K4291">
            <v>8</v>
          </cell>
        </row>
        <row r="4292">
          <cell r="C4292" t="str">
            <v>黃胤綸</v>
          </cell>
          <cell r="J4292">
            <v>45706</v>
          </cell>
          <cell r="K4292">
            <v>8</v>
          </cell>
        </row>
        <row r="4293">
          <cell r="C4293" t="str">
            <v>黃胤綸</v>
          </cell>
          <cell r="J4293">
            <v>45707</v>
          </cell>
          <cell r="K4293">
            <v>4</v>
          </cell>
        </row>
        <row r="4294">
          <cell r="C4294" t="str">
            <v>黃胤綸</v>
          </cell>
          <cell r="J4294">
            <v>45707</v>
          </cell>
          <cell r="K4294">
            <v>1</v>
          </cell>
        </row>
        <row r="4295">
          <cell r="C4295" t="str">
            <v>黃胤綸</v>
          </cell>
          <cell r="J4295">
            <v>45707</v>
          </cell>
          <cell r="K4295">
            <v>3</v>
          </cell>
        </row>
        <row r="4296">
          <cell r="C4296" t="str">
            <v>黃胤綸</v>
          </cell>
          <cell r="J4296">
            <v>45708</v>
          </cell>
          <cell r="K4296">
            <v>1</v>
          </cell>
        </row>
        <row r="4297">
          <cell r="C4297" t="str">
            <v>黃胤綸</v>
          </cell>
          <cell r="J4297">
            <v>45708</v>
          </cell>
          <cell r="K4297">
            <v>2</v>
          </cell>
        </row>
        <row r="4298">
          <cell r="C4298" t="str">
            <v>黃胤綸</v>
          </cell>
          <cell r="F4298" t="str">
            <v>D250101R1</v>
          </cell>
          <cell r="J4298">
            <v>45708</v>
          </cell>
          <cell r="K4298">
            <v>5</v>
          </cell>
        </row>
        <row r="4299">
          <cell r="C4299" t="str">
            <v>黃胤綸</v>
          </cell>
          <cell r="J4299">
            <v>45709</v>
          </cell>
          <cell r="K4299">
            <v>4</v>
          </cell>
        </row>
        <row r="4300">
          <cell r="C4300" t="str">
            <v>黃胤綸</v>
          </cell>
          <cell r="J4300">
            <v>45709</v>
          </cell>
          <cell r="K4300">
            <v>4</v>
          </cell>
        </row>
        <row r="4301">
          <cell r="C4301" t="str">
            <v>黃胤綸</v>
          </cell>
          <cell r="J4301">
            <v>45712</v>
          </cell>
          <cell r="K4301">
            <v>7</v>
          </cell>
        </row>
        <row r="4302">
          <cell r="C4302" t="str">
            <v>黃胤綸</v>
          </cell>
          <cell r="F4302" t="str">
            <v>D250101R1</v>
          </cell>
          <cell r="J4302">
            <v>45712</v>
          </cell>
          <cell r="K4302">
            <v>1</v>
          </cell>
        </row>
        <row r="4303">
          <cell r="C4303" t="str">
            <v>黃胤綸</v>
          </cell>
          <cell r="F4303" t="str">
            <v>M250201C1</v>
          </cell>
          <cell r="J4303">
            <v>45713</v>
          </cell>
          <cell r="K4303">
            <v>8</v>
          </cell>
        </row>
        <row r="4304">
          <cell r="C4304" t="str">
            <v>黃胤綸</v>
          </cell>
          <cell r="J4304">
            <v>45714</v>
          </cell>
          <cell r="K4304">
            <v>6.5</v>
          </cell>
        </row>
        <row r="4305">
          <cell r="C4305" t="str">
            <v>黃胤綸</v>
          </cell>
          <cell r="F4305" t="str">
            <v>D250101R1</v>
          </cell>
          <cell r="J4305">
            <v>45714</v>
          </cell>
          <cell r="K4305">
            <v>0.5</v>
          </cell>
        </row>
        <row r="4306">
          <cell r="C4306" t="str">
            <v>黃胤綸</v>
          </cell>
          <cell r="F4306" t="str">
            <v>D250101R1</v>
          </cell>
          <cell r="J4306">
            <v>45714</v>
          </cell>
          <cell r="K4306">
            <v>1</v>
          </cell>
        </row>
        <row r="4307">
          <cell r="C4307" t="str">
            <v>黃胤綸</v>
          </cell>
          <cell r="J4307">
            <v>45715</v>
          </cell>
          <cell r="K4307">
            <v>1</v>
          </cell>
        </row>
        <row r="4308">
          <cell r="C4308" t="str">
            <v>黃胤綸</v>
          </cell>
          <cell r="F4308" t="str">
            <v>M250201C1</v>
          </cell>
          <cell r="J4308">
            <v>45715</v>
          </cell>
          <cell r="K4308">
            <v>7</v>
          </cell>
        </row>
        <row r="4309">
          <cell r="C4309" t="str">
            <v>黃胤綸</v>
          </cell>
          <cell r="F4309" t="str">
            <v>M250201C1</v>
          </cell>
          <cell r="J4309">
            <v>45719</v>
          </cell>
          <cell r="K4309">
            <v>8</v>
          </cell>
        </row>
        <row r="4310">
          <cell r="C4310" t="str">
            <v>黃胤綸</v>
          </cell>
          <cell r="J4310">
            <v>45720</v>
          </cell>
          <cell r="K4310">
            <v>3</v>
          </cell>
        </row>
        <row r="4311">
          <cell r="C4311" t="str">
            <v>黃胤綸</v>
          </cell>
          <cell r="J4311">
            <v>45720</v>
          </cell>
          <cell r="K4311">
            <v>5</v>
          </cell>
        </row>
        <row r="4312">
          <cell r="C4312" t="str">
            <v>黃胤綸</v>
          </cell>
          <cell r="J4312">
            <v>45721</v>
          </cell>
          <cell r="K4312">
            <v>2</v>
          </cell>
        </row>
        <row r="4313">
          <cell r="C4313" t="str">
            <v>黃胤綸</v>
          </cell>
          <cell r="F4313" t="str">
            <v>M250201C1</v>
          </cell>
          <cell r="J4313">
            <v>45721</v>
          </cell>
          <cell r="K4313">
            <v>6</v>
          </cell>
        </row>
        <row r="4314">
          <cell r="C4314" t="str">
            <v>黃胤綸</v>
          </cell>
          <cell r="J4314">
            <v>45722</v>
          </cell>
          <cell r="K4314">
            <v>6</v>
          </cell>
        </row>
        <row r="4315">
          <cell r="C4315" t="str">
            <v>黃胤綸</v>
          </cell>
          <cell r="J4315">
            <v>45722</v>
          </cell>
          <cell r="K4315">
            <v>2</v>
          </cell>
        </row>
        <row r="4316">
          <cell r="C4316" t="str">
            <v>黃胤綸</v>
          </cell>
          <cell r="J4316">
            <v>45723</v>
          </cell>
          <cell r="K4316">
            <v>4</v>
          </cell>
        </row>
        <row r="4317">
          <cell r="C4317" t="str">
            <v>黃胤綸</v>
          </cell>
          <cell r="J4317">
            <v>45723</v>
          </cell>
          <cell r="K4317">
            <v>4</v>
          </cell>
        </row>
        <row r="4318">
          <cell r="C4318" t="str">
            <v>黃胤綸</v>
          </cell>
          <cell r="F4318" t="str">
            <v>M250201C1</v>
          </cell>
          <cell r="J4318">
            <v>45726</v>
          </cell>
          <cell r="K4318">
            <v>8</v>
          </cell>
        </row>
        <row r="4319">
          <cell r="C4319" t="str">
            <v>黃胤綸</v>
          </cell>
          <cell r="J4319">
            <v>45727</v>
          </cell>
          <cell r="K4319">
            <v>1</v>
          </cell>
        </row>
        <row r="4320">
          <cell r="C4320" t="str">
            <v>黃胤綸</v>
          </cell>
          <cell r="J4320">
            <v>45727</v>
          </cell>
          <cell r="K4320">
            <v>6</v>
          </cell>
        </row>
        <row r="4321">
          <cell r="C4321" t="str">
            <v>黃胤綸</v>
          </cell>
          <cell r="F4321" t="str">
            <v>D240901R1</v>
          </cell>
          <cell r="J4321">
            <v>45727</v>
          </cell>
          <cell r="K4321">
            <v>1</v>
          </cell>
        </row>
        <row r="4322">
          <cell r="C4322" t="str">
            <v>黃胤綸</v>
          </cell>
          <cell r="J4322">
            <v>45728</v>
          </cell>
          <cell r="K4322">
            <v>4</v>
          </cell>
        </row>
        <row r="4323">
          <cell r="C4323" t="str">
            <v>黃胤綸</v>
          </cell>
          <cell r="F4323" t="str">
            <v>M250201C1</v>
          </cell>
          <cell r="J4323">
            <v>45728</v>
          </cell>
          <cell r="K4323">
            <v>4</v>
          </cell>
        </row>
        <row r="4324">
          <cell r="C4324" t="str">
            <v>黃胤綸</v>
          </cell>
          <cell r="J4324">
            <v>45729</v>
          </cell>
          <cell r="K4324">
            <v>4</v>
          </cell>
        </row>
        <row r="4325">
          <cell r="C4325" t="str">
            <v>黃胤綸</v>
          </cell>
          <cell r="J4325">
            <v>45729</v>
          </cell>
          <cell r="K4325">
            <v>4</v>
          </cell>
        </row>
        <row r="4326">
          <cell r="C4326" t="str">
            <v>黃胤綸</v>
          </cell>
          <cell r="J4326">
            <v>45730</v>
          </cell>
          <cell r="K4326">
            <v>3</v>
          </cell>
        </row>
        <row r="4327">
          <cell r="C4327" t="str">
            <v>黃胤綸</v>
          </cell>
          <cell r="J4327">
            <v>45730</v>
          </cell>
          <cell r="K4327">
            <v>4</v>
          </cell>
        </row>
        <row r="4328">
          <cell r="C4328" t="str">
            <v>黃胤綸</v>
          </cell>
          <cell r="F4328" t="str">
            <v>M240703R1</v>
          </cell>
          <cell r="J4328">
            <v>45730</v>
          </cell>
          <cell r="K4328">
            <v>1</v>
          </cell>
        </row>
        <row r="4329">
          <cell r="C4329" t="str">
            <v>黃胤綸</v>
          </cell>
          <cell r="F4329" t="str">
            <v>M250201C1</v>
          </cell>
          <cell r="J4329">
            <v>45733</v>
          </cell>
          <cell r="K4329">
            <v>8</v>
          </cell>
        </row>
        <row r="4330">
          <cell r="C4330" t="str">
            <v>黃胤綸</v>
          </cell>
          <cell r="F4330" t="str">
            <v>M250201C1</v>
          </cell>
          <cell r="J4330">
            <v>45734</v>
          </cell>
          <cell r="K4330">
            <v>8</v>
          </cell>
        </row>
        <row r="4331">
          <cell r="C4331" t="str">
            <v>黃胤綸</v>
          </cell>
          <cell r="J4331">
            <v>45735</v>
          </cell>
          <cell r="K4331">
            <v>3</v>
          </cell>
        </row>
        <row r="4332">
          <cell r="C4332" t="str">
            <v>黃胤綸</v>
          </cell>
          <cell r="J4332">
            <v>45735</v>
          </cell>
          <cell r="K4332">
            <v>3</v>
          </cell>
        </row>
        <row r="4333">
          <cell r="C4333" t="str">
            <v>黃胤綸</v>
          </cell>
          <cell r="F4333" t="str">
            <v>M250201C1</v>
          </cell>
          <cell r="J4333">
            <v>45735</v>
          </cell>
          <cell r="K4333">
            <v>2</v>
          </cell>
        </row>
        <row r="4334">
          <cell r="C4334" t="str">
            <v>黃胤綸</v>
          </cell>
          <cell r="J4334">
            <v>45736</v>
          </cell>
          <cell r="K4334">
            <v>3</v>
          </cell>
        </row>
        <row r="4335">
          <cell r="C4335" t="str">
            <v>黃胤綸</v>
          </cell>
          <cell r="F4335" t="str">
            <v>D250101R1</v>
          </cell>
          <cell r="J4335">
            <v>45736</v>
          </cell>
          <cell r="K4335">
            <v>5</v>
          </cell>
        </row>
        <row r="4336">
          <cell r="C4336" t="str">
            <v>黃胤綸</v>
          </cell>
          <cell r="J4336">
            <v>45737</v>
          </cell>
          <cell r="K4336">
            <v>1</v>
          </cell>
        </row>
        <row r="4337">
          <cell r="C4337" t="str">
            <v>黃胤綸</v>
          </cell>
          <cell r="J4337">
            <v>45737</v>
          </cell>
          <cell r="K4337">
            <v>2</v>
          </cell>
        </row>
        <row r="4338">
          <cell r="C4338" t="str">
            <v>黃胤綸</v>
          </cell>
          <cell r="F4338" t="str">
            <v>M250201C1</v>
          </cell>
          <cell r="J4338">
            <v>45737</v>
          </cell>
          <cell r="K4338">
            <v>5</v>
          </cell>
        </row>
        <row r="4339">
          <cell r="C4339" t="str">
            <v>黃胤綸</v>
          </cell>
          <cell r="J4339">
            <v>45740</v>
          </cell>
          <cell r="K4339">
            <v>1</v>
          </cell>
        </row>
        <row r="4340">
          <cell r="C4340" t="str">
            <v>黃胤綸</v>
          </cell>
          <cell r="J4340">
            <v>45740</v>
          </cell>
          <cell r="K4340">
            <v>3</v>
          </cell>
        </row>
        <row r="4341">
          <cell r="C4341" t="str">
            <v>黃胤綸</v>
          </cell>
          <cell r="F4341" t="str">
            <v>M250201C1</v>
          </cell>
          <cell r="J4341">
            <v>45740</v>
          </cell>
          <cell r="K4341">
            <v>4</v>
          </cell>
        </row>
        <row r="4342">
          <cell r="C4342" t="str">
            <v>黃胤綸</v>
          </cell>
          <cell r="J4342">
            <v>45741</v>
          </cell>
          <cell r="K4342">
            <v>3</v>
          </cell>
        </row>
        <row r="4343">
          <cell r="C4343" t="str">
            <v>黃胤綸</v>
          </cell>
          <cell r="J4343">
            <v>45741</v>
          </cell>
          <cell r="K4343">
            <v>4</v>
          </cell>
        </row>
        <row r="4344">
          <cell r="C4344" t="str">
            <v>黃胤綸</v>
          </cell>
          <cell r="F4344" t="str">
            <v>M250201C1</v>
          </cell>
          <cell r="J4344">
            <v>45741</v>
          </cell>
          <cell r="K4344">
            <v>1</v>
          </cell>
        </row>
        <row r="4345">
          <cell r="C4345" t="str">
            <v>黃胤綸</v>
          </cell>
          <cell r="J4345">
            <v>45742</v>
          </cell>
          <cell r="K4345">
            <v>2</v>
          </cell>
        </row>
        <row r="4346">
          <cell r="C4346" t="str">
            <v>黃胤綸</v>
          </cell>
          <cell r="J4346">
            <v>45742</v>
          </cell>
          <cell r="K4346">
            <v>1</v>
          </cell>
        </row>
        <row r="4347">
          <cell r="C4347" t="str">
            <v>黃胤綸</v>
          </cell>
          <cell r="J4347">
            <v>45742</v>
          </cell>
          <cell r="K4347">
            <v>3</v>
          </cell>
        </row>
        <row r="4348">
          <cell r="C4348" t="str">
            <v>黃胤綸</v>
          </cell>
          <cell r="F4348" t="str">
            <v>D250101R1</v>
          </cell>
          <cell r="J4348">
            <v>45742</v>
          </cell>
          <cell r="K4348">
            <v>2</v>
          </cell>
        </row>
        <row r="4349">
          <cell r="C4349" t="str">
            <v>黃胤綸</v>
          </cell>
          <cell r="J4349">
            <v>45743</v>
          </cell>
          <cell r="K4349">
            <v>5</v>
          </cell>
        </row>
        <row r="4350">
          <cell r="C4350" t="str">
            <v>黃胤綸</v>
          </cell>
          <cell r="F4350" t="str">
            <v>M250201C1</v>
          </cell>
          <cell r="J4350">
            <v>45743</v>
          </cell>
          <cell r="K4350">
            <v>3</v>
          </cell>
        </row>
        <row r="4351">
          <cell r="C4351" t="str">
            <v>黃胤綸</v>
          </cell>
          <cell r="J4351">
            <v>45744</v>
          </cell>
          <cell r="K4351">
            <v>8</v>
          </cell>
        </row>
        <row r="4352">
          <cell r="C4352" t="str">
            <v>黃胤綸</v>
          </cell>
          <cell r="F4352" t="str">
            <v>D250101R1</v>
          </cell>
          <cell r="J4352">
            <v>45747</v>
          </cell>
          <cell r="K4352">
            <v>8</v>
          </cell>
        </row>
        <row r="4353">
          <cell r="C4353" t="str">
            <v>黃胤綸</v>
          </cell>
          <cell r="J4353">
            <v>45748</v>
          </cell>
          <cell r="K4353">
            <v>6</v>
          </cell>
        </row>
        <row r="4354">
          <cell r="C4354" t="str">
            <v>黃胤綸</v>
          </cell>
          <cell r="J4354">
            <v>45748</v>
          </cell>
          <cell r="K4354">
            <v>2</v>
          </cell>
        </row>
        <row r="4355">
          <cell r="C4355" t="str">
            <v>黃胤綸</v>
          </cell>
          <cell r="J4355">
            <v>45749</v>
          </cell>
          <cell r="K4355">
            <v>1.5</v>
          </cell>
        </row>
        <row r="4356">
          <cell r="C4356" t="str">
            <v>黃胤綸</v>
          </cell>
          <cell r="J4356">
            <v>45749</v>
          </cell>
          <cell r="K4356">
            <v>1</v>
          </cell>
        </row>
        <row r="4357">
          <cell r="C4357" t="str">
            <v>黃胤綸</v>
          </cell>
          <cell r="F4357" t="str">
            <v>D250101R1</v>
          </cell>
          <cell r="J4357">
            <v>45749</v>
          </cell>
          <cell r="K4357">
            <v>5.5</v>
          </cell>
        </row>
        <row r="4358">
          <cell r="C4358" t="str">
            <v>黃胤綸</v>
          </cell>
          <cell r="J4358">
            <v>45754</v>
          </cell>
          <cell r="K4358">
            <v>5</v>
          </cell>
        </row>
        <row r="4359">
          <cell r="C4359" t="str">
            <v>黃胤綸</v>
          </cell>
          <cell r="F4359" t="str">
            <v>D250101R1</v>
          </cell>
          <cell r="J4359">
            <v>45754</v>
          </cell>
          <cell r="K4359">
            <v>3</v>
          </cell>
        </row>
        <row r="4360">
          <cell r="C4360" t="str">
            <v>黃胤綸</v>
          </cell>
          <cell r="J4360">
            <v>45755</v>
          </cell>
          <cell r="K4360">
            <v>2</v>
          </cell>
        </row>
        <row r="4361">
          <cell r="C4361" t="str">
            <v>黃胤綸</v>
          </cell>
          <cell r="J4361">
            <v>45755</v>
          </cell>
          <cell r="K4361">
            <v>3</v>
          </cell>
        </row>
        <row r="4362">
          <cell r="C4362" t="str">
            <v>黃胤綸</v>
          </cell>
          <cell r="F4362" t="str">
            <v>D250101R1</v>
          </cell>
          <cell r="J4362">
            <v>45755</v>
          </cell>
          <cell r="K4362">
            <v>3</v>
          </cell>
        </row>
        <row r="4363">
          <cell r="C4363" t="str">
            <v>黃胤綸</v>
          </cell>
          <cell r="J4363">
            <v>45756</v>
          </cell>
          <cell r="K4363">
            <v>5</v>
          </cell>
        </row>
        <row r="4364">
          <cell r="C4364" t="str">
            <v>黃胤綸</v>
          </cell>
          <cell r="F4364" t="str">
            <v>D250101R1</v>
          </cell>
          <cell r="J4364">
            <v>45756</v>
          </cell>
          <cell r="K4364">
            <v>3</v>
          </cell>
        </row>
        <row r="4365">
          <cell r="C4365" t="str">
            <v>黃胤綸</v>
          </cell>
          <cell r="F4365" t="str">
            <v>D250101R1</v>
          </cell>
          <cell r="J4365">
            <v>45757</v>
          </cell>
          <cell r="K4365">
            <v>8</v>
          </cell>
        </row>
        <row r="4366">
          <cell r="C4366" t="str">
            <v>黃胤綸</v>
          </cell>
          <cell r="J4366">
            <v>45758</v>
          </cell>
          <cell r="K4366">
            <v>1</v>
          </cell>
        </row>
        <row r="4367">
          <cell r="C4367" t="str">
            <v>黃胤綸</v>
          </cell>
          <cell r="F4367" t="str">
            <v>D250101R1</v>
          </cell>
          <cell r="J4367">
            <v>45758</v>
          </cell>
          <cell r="K4367">
            <v>7</v>
          </cell>
        </row>
        <row r="4368">
          <cell r="C4368" t="str">
            <v>黃胤綸</v>
          </cell>
          <cell r="J4368">
            <v>45761</v>
          </cell>
          <cell r="K4368">
            <v>3</v>
          </cell>
        </row>
        <row r="4369">
          <cell r="C4369" t="str">
            <v>黃胤綸</v>
          </cell>
          <cell r="F4369" t="str">
            <v>D250101R1</v>
          </cell>
          <cell r="J4369">
            <v>45761</v>
          </cell>
          <cell r="K4369">
            <v>5</v>
          </cell>
        </row>
        <row r="4370">
          <cell r="C4370" t="str">
            <v>黃胤綸</v>
          </cell>
          <cell r="J4370">
            <v>45762</v>
          </cell>
          <cell r="K4370">
            <v>8</v>
          </cell>
        </row>
        <row r="4371">
          <cell r="C4371" t="str">
            <v>黃胤綸</v>
          </cell>
          <cell r="J4371">
            <v>45763</v>
          </cell>
          <cell r="K4371">
            <v>4</v>
          </cell>
        </row>
        <row r="4372">
          <cell r="C4372" t="str">
            <v>黃胤綸</v>
          </cell>
          <cell r="J4372">
            <v>45763</v>
          </cell>
          <cell r="K4372">
            <v>4</v>
          </cell>
        </row>
        <row r="4373">
          <cell r="C4373" t="str">
            <v>黃胤綸</v>
          </cell>
          <cell r="J4373">
            <v>45764</v>
          </cell>
          <cell r="K4373">
            <v>1</v>
          </cell>
        </row>
        <row r="4374">
          <cell r="C4374" t="str">
            <v>黃胤綸</v>
          </cell>
          <cell r="J4374">
            <v>45764</v>
          </cell>
          <cell r="K4374">
            <v>7</v>
          </cell>
        </row>
        <row r="4375">
          <cell r="C4375" t="str">
            <v>黃胤綸</v>
          </cell>
          <cell r="J4375">
            <v>45765</v>
          </cell>
          <cell r="K4375">
            <v>7</v>
          </cell>
        </row>
        <row r="4376">
          <cell r="C4376" t="str">
            <v>黃胤綸</v>
          </cell>
          <cell r="J4376">
            <v>45765</v>
          </cell>
          <cell r="K4376">
            <v>1</v>
          </cell>
        </row>
        <row r="4377">
          <cell r="C4377" t="str">
            <v>黃胤綸</v>
          </cell>
          <cell r="J4377">
            <v>45768</v>
          </cell>
          <cell r="K4377">
            <v>8</v>
          </cell>
        </row>
        <row r="4378">
          <cell r="C4378" t="str">
            <v>黃胤綸</v>
          </cell>
          <cell r="J4378">
            <v>45769</v>
          </cell>
          <cell r="K4378">
            <v>3</v>
          </cell>
        </row>
        <row r="4379">
          <cell r="C4379" t="str">
            <v>黃胤綸</v>
          </cell>
          <cell r="J4379">
            <v>45769</v>
          </cell>
          <cell r="K4379">
            <v>3</v>
          </cell>
        </row>
        <row r="4380">
          <cell r="C4380" t="str">
            <v>黃胤綸</v>
          </cell>
          <cell r="J4380">
            <v>45769</v>
          </cell>
          <cell r="K4380">
            <v>1</v>
          </cell>
        </row>
        <row r="4381">
          <cell r="C4381" t="str">
            <v>黃胤綸</v>
          </cell>
          <cell r="J4381">
            <v>45769</v>
          </cell>
          <cell r="K4381">
            <v>1</v>
          </cell>
        </row>
        <row r="4382">
          <cell r="C4382" t="str">
            <v>黃胤綸</v>
          </cell>
          <cell r="J4382">
            <v>45770</v>
          </cell>
          <cell r="K4382">
            <v>5</v>
          </cell>
        </row>
        <row r="4383">
          <cell r="C4383" t="str">
            <v>黃胤綸</v>
          </cell>
          <cell r="J4383">
            <v>45770</v>
          </cell>
          <cell r="K4383">
            <v>2</v>
          </cell>
        </row>
        <row r="4384">
          <cell r="C4384" t="str">
            <v>黃胤綸</v>
          </cell>
          <cell r="J4384">
            <v>45770</v>
          </cell>
          <cell r="K4384">
            <v>1</v>
          </cell>
        </row>
        <row r="4385">
          <cell r="C4385" t="str">
            <v>黃胤綸</v>
          </cell>
          <cell r="J4385">
            <v>45771</v>
          </cell>
          <cell r="K4385">
            <v>1</v>
          </cell>
        </row>
        <row r="4386">
          <cell r="C4386" t="str">
            <v>黃胤綸</v>
          </cell>
          <cell r="J4386">
            <v>45771</v>
          </cell>
          <cell r="K4386">
            <v>7</v>
          </cell>
        </row>
        <row r="4387">
          <cell r="C4387" t="str">
            <v>黃胤綸</v>
          </cell>
          <cell r="J4387">
            <v>45772</v>
          </cell>
          <cell r="K4387">
            <v>8</v>
          </cell>
        </row>
        <row r="4388">
          <cell r="C4388" t="str">
            <v>黃胤綸</v>
          </cell>
          <cell r="J4388">
            <v>45775</v>
          </cell>
          <cell r="K4388">
            <v>1</v>
          </cell>
        </row>
        <row r="4389">
          <cell r="C4389" t="str">
            <v>黃胤綸</v>
          </cell>
          <cell r="J4389">
            <v>45775</v>
          </cell>
          <cell r="K4389">
            <v>3</v>
          </cell>
        </row>
        <row r="4390">
          <cell r="C4390" t="str">
            <v>黃胤綸</v>
          </cell>
          <cell r="F4390" t="str">
            <v>M250201C1</v>
          </cell>
          <cell r="J4390">
            <v>45775</v>
          </cell>
          <cell r="K4390">
            <v>4</v>
          </cell>
        </row>
        <row r="4391">
          <cell r="C4391" t="str">
            <v>黃胤綸</v>
          </cell>
          <cell r="J4391">
            <v>45776</v>
          </cell>
          <cell r="K4391">
            <v>1</v>
          </cell>
        </row>
        <row r="4392">
          <cell r="C4392" t="str">
            <v>黃胤綸</v>
          </cell>
          <cell r="J4392">
            <v>45776</v>
          </cell>
          <cell r="K4392">
            <v>4</v>
          </cell>
        </row>
        <row r="4393">
          <cell r="C4393" t="str">
            <v>黃胤綸</v>
          </cell>
          <cell r="J4393">
            <v>45776</v>
          </cell>
          <cell r="K4393">
            <v>3</v>
          </cell>
        </row>
        <row r="4394">
          <cell r="C4394" t="str">
            <v>黃胤綸</v>
          </cell>
          <cell r="J4394">
            <v>45777</v>
          </cell>
          <cell r="K4394">
            <v>3</v>
          </cell>
        </row>
        <row r="4395">
          <cell r="C4395" t="str">
            <v>黃胤綸</v>
          </cell>
          <cell r="J4395">
            <v>45777</v>
          </cell>
          <cell r="K4395">
            <v>2</v>
          </cell>
        </row>
        <row r="4396">
          <cell r="C4396" t="str">
            <v>黃胤綸</v>
          </cell>
          <cell r="J4396">
            <v>45777</v>
          </cell>
          <cell r="K4396">
            <v>3</v>
          </cell>
        </row>
        <row r="4397">
          <cell r="C4397" t="str">
            <v>黃胤綸</v>
          </cell>
          <cell r="J4397">
            <v>45779</v>
          </cell>
          <cell r="K4397">
            <v>4</v>
          </cell>
        </row>
        <row r="4398">
          <cell r="C4398" t="str">
            <v>黃胤綸</v>
          </cell>
          <cell r="J4398">
            <v>45779</v>
          </cell>
          <cell r="K4398">
            <v>4</v>
          </cell>
        </row>
        <row r="4399">
          <cell r="C4399" t="str">
            <v>黃胤綸</v>
          </cell>
          <cell r="J4399">
            <v>45782</v>
          </cell>
          <cell r="K4399">
            <v>8</v>
          </cell>
        </row>
        <row r="4400">
          <cell r="C4400" t="str">
            <v>黃胤綸</v>
          </cell>
          <cell r="J4400">
            <v>45783</v>
          </cell>
          <cell r="K4400">
            <v>5</v>
          </cell>
        </row>
        <row r="4401">
          <cell r="C4401" t="str">
            <v>黃胤綸</v>
          </cell>
          <cell r="J4401">
            <v>45783</v>
          </cell>
          <cell r="K4401">
            <v>3</v>
          </cell>
        </row>
        <row r="4402">
          <cell r="C4402" t="str">
            <v>黃胤綸</v>
          </cell>
          <cell r="F4402" t="str">
            <v>M250201C1</v>
          </cell>
          <cell r="J4402">
            <v>45784</v>
          </cell>
          <cell r="K4402">
            <v>8</v>
          </cell>
        </row>
        <row r="4403">
          <cell r="C4403" t="str">
            <v>黃胤綸</v>
          </cell>
          <cell r="J4403">
            <v>45785</v>
          </cell>
          <cell r="K4403">
            <v>1</v>
          </cell>
        </row>
        <row r="4404">
          <cell r="C4404" t="str">
            <v>黃胤綸</v>
          </cell>
          <cell r="J4404">
            <v>45785</v>
          </cell>
          <cell r="K4404">
            <v>4</v>
          </cell>
        </row>
        <row r="4405">
          <cell r="C4405" t="str">
            <v>黃胤綸</v>
          </cell>
          <cell r="J4405">
            <v>45785</v>
          </cell>
          <cell r="K4405">
            <v>3</v>
          </cell>
        </row>
        <row r="4406">
          <cell r="C4406" t="str">
            <v>黃胤綸</v>
          </cell>
          <cell r="J4406">
            <v>45786</v>
          </cell>
          <cell r="K4406">
            <v>8</v>
          </cell>
        </row>
        <row r="4407">
          <cell r="C4407" t="str">
            <v>黃胤綸</v>
          </cell>
          <cell r="J4407">
            <v>45789</v>
          </cell>
          <cell r="K4407">
            <v>8</v>
          </cell>
        </row>
        <row r="4408">
          <cell r="C4408" t="str">
            <v>黃胤綸</v>
          </cell>
          <cell r="J4408">
            <v>45790</v>
          </cell>
          <cell r="K4408">
            <v>6</v>
          </cell>
        </row>
        <row r="4409">
          <cell r="C4409" t="str">
            <v>黃胤綸</v>
          </cell>
          <cell r="J4409">
            <v>45790</v>
          </cell>
          <cell r="K4409">
            <v>2</v>
          </cell>
        </row>
        <row r="4410">
          <cell r="C4410" t="str">
            <v>黃胤綸</v>
          </cell>
          <cell r="J4410">
            <v>45791</v>
          </cell>
          <cell r="K4410">
            <v>4</v>
          </cell>
        </row>
        <row r="4411">
          <cell r="C4411" t="str">
            <v>黃胤綸</v>
          </cell>
          <cell r="J4411">
            <v>45791</v>
          </cell>
          <cell r="K4411">
            <v>2</v>
          </cell>
        </row>
        <row r="4412">
          <cell r="C4412" t="str">
            <v>黃胤綸</v>
          </cell>
          <cell r="F4412" t="str">
            <v>M250301R1</v>
          </cell>
          <cell r="J4412">
            <v>45791</v>
          </cell>
          <cell r="K4412">
            <v>1</v>
          </cell>
        </row>
        <row r="4413">
          <cell r="C4413" t="str">
            <v>黃胤綸</v>
          </cell>
          <cell r="F4413" t="str">
            <v>M250301R1</v>
          </cell>
          <cell r="J4413">
            <v>45791</v>
          </cell>
          <cell r="K4413">
            <v>1</v>
          </cell>
        </row>
        <row r="4414">
          <cell r="C4414" t="str">
            <v>黃胤綸</v>
          </cell>
          <cell r="F4414" t="str">
            <v>M250201C1</v>
          </cell>
          <cell r="J4414">
            <v>45792</v>
          </cell>
          <cell r="K4414">
            <v>8</v>
          </cell>
        </row>
        <row r="4415">
          <cell r="C4415" t="str">
            <v>黃胤綸</v>
          </cell>
          <cell r="J4415">
            <v>45793</v>
          </cell>
          <cell r="K4415">
            <v>8</v>
          </cell>
        </row>
        <row r="4416">
          <cell r="C4416" t="str">
            <v>黃胤綸</v>
          </cell>
          <cell r="J4416">
            <v>45796</v>
          </cell>
          <cell r="K4416">
            <v>8</v>
          </cell>
        </row>
        <row r="4417">
          <cell r="C4417" t="str">
            <v>黃胤綸</v>
          </cell>
          <cell r="J4417">
            <v>45797</v>
          </cell>
          <cell r="K4417">
            <v>8</v>
          </cell>
        </row>
        <row r="4418">
          <cell r="C4418" t="str">
            <v>黃胤綸</v>
          </cell>
          <cell r="J4418">
            <v>45798</v>
          </cell>
          <cell r="K4418">
            <v>8</v>
          </cell>
        </row>
        <row r="4419">
          <cell r="C4419" t="str">
            <v>黃胤綸</v>
          </cell>
          <cell r="J4419">
            <v>45799</v>
          </cell>
          <cell r="K4419">
            <v>8</v>
          </cell>
        </row>
        <row r="4420">
          <cell r="C4420" t="str">
            <v>黃胤綸</v>
          </cell>
          <cell r="J4420">
            <v>45800</v>
          </cell>
          <cell r="K4420">
            <v>8</v>
          </cell>
        </row>
        <row r="4421">
          <cell r="C4421" t="str">
            <v>黃胤綸</v>
          </cell>
          <cell r="J4421">
            <v>45803</v>
          </cell>
          <cell r="K4421">
            <v>4</v>
          </cell>
        </row>
        <row r="4422">
          <cell r="C4422" t="str">
            <v>黃胤綸</v>
          </cell>
          <cell r="J4422">
            <v>45803</v>
          </cell>
          <cell r="K4422">
            <v>1</v>
          </cell>
        </row>
        <row r="4423">
          <cell r="C4423" t="str">
            <v>黃胤綸</v>
          </cell>
          <cell r="J4423">
            <v>45803</v>
          </cell>
          <cell r="K4423">
            <v>4</v>
          </cell>
        </row>
        <row r="4424">
          <cell r="C4424" t="str">
            <v>黃胤綸</v>
          </cell>
          <cell r="J4424">
            <v>45804</v>
          </cell>
          <cell r="K4424">
            <v>1</v>
          </cell>
        </row>
        <row r="4425">
          <cell r="C4425" t="str">
            <v>黃胤綸</v>
          </cell>
          <cell r="J4425">
            <v>45804</v>
          </cell>
          <cell r="K4425">
            <v>7</v>
          </cell>
        </row>
        <row r="4426">
          <cell r="C4426" t="str">
            <v>黃胤綸</v>
          </cell>
          <cell r="J4426">
            <v>45805</v>
          </cell>
          <cell r="K4426">
            <v>1</v>
          </cell>
        </row>
        <row r="4427">
          <cell r="C4427" t="str">
            <v>黃胤綸</v>
          </cell>
          <cell r="J4427">
            <v>45805</v>
          </cell>
          <cell r="K4427">
            <v>7</v>
          </cell>
        </row>
        <row r="4428">
          <cell r="C4428" t="str">
            <v>黃胤綸</v>
          </cell>
          <cell r="J4428">
            <v>45806</v>
          </cell>
          <cell r="K4428">
            <v>8</v>
          </cell>
        </row>
        <row r="4429">
          <cell r="C4429" t="str">
            <v>黃胤綸</v>
          </cell>
          <cell r="J4429">
            <v>45810</v>
          </cell>
          <cell r="K4429">
            <v>1</v>
          </cell>
        </row>
        <row r="4430">
          <cell r="C4430" t="str">
            <v>黃胤綸</v>
          </cell>
          <cell r="F4430" t="str">
            <v>D241001R1</v>
          </cell>
          <cell r="J4430">
            <v>45810</v>
          </cell>
          <cell r="K4430">
            <v>8</v>
          </cell>
        </row>
        <row r="4431">
          <cell r="C4431" t="str">
            <v>黃胤綸</v>
          </cell>
          <cell r="F4431" t="str">
            <v>D241001R1</v>
          </cell>
          <cell r="J4431">
            <v>45811</v>
          </cell>
          <cell r="K4431">
            <v>4</v>
          </cell>
        </row>
        <row r="4432">
          <cell r="C4432" t="str">
            <v>黃胤綸</v>
          </cell>
          <cell r="F4432" t="str">
            <v>M250201C1</v>
          </cell>
          <cell r="J4432">
            <v>45811</v>
          </cell>
          <cell r="K4432">
            <v>4</v>
          </cell>
        </row>
        <row r="4433">
          <cell r="C4433" t="str">
            <v>黃胤綸</v>
          </cell>
          <cell r="J4433">
            <v>45812</v>
          </cell>
          <cell r="K4433">
            <v>2</v>
          </cell>
        </row>
        <row r="4434">
          <cell r="C4434" t="str">
            <v>黃胤綸</v>
          </cell>
          <cell r="J4434">
            <v>45812</v>
          </cell>
          <cell r="K4434">
            <v>2</v>
          </cell>
        </row>
        <row r="4435">
          <cell r="C4435" t="str">
            <v>黃胤綸</v>
          </cell>
          <cell r="F4435" t="str">
            <v>D250101R1</v>
          </cell>
          <cell r="J4435">
            <v>45812</v>
          </cell>
          <cell r="K4435">
            <v>4</v>
          </cell>
        </row>
        <row r="4436">
          <cell r="C4436" t="str">
            <v>黃胤綸</v>
          </cell>
          <cell r="J4436">
            <v>45813</v>
          </cell>
          <cell r="K4436">
            <v>4</v>
          </cell>
        </row>
        <row r="4437">
          <cell r="C4437" t="str">
            <v>黃胤綸</v>
          </cell>
          <cell r="F4437" t="str">
            <v>M250201C1</v>
          </cell>
          <cell r="J4437">
            <v>45813</v>
          </cell>
          <cell r="K4437">
            <v>4</v>
          </cell>
        </row>
        <row r="4438">
          <cell r="C4438" t="str">
            <v>黃胤綸</v>
          </cell>
          <cell r="J4438">
            <v>45814</v>
          </cell>
          <cell r="K4438">
            <v>8</v>
          </cell>
        </row>
        <row r="4439">
          <cell r="C4439" t="str">
            <v>黃胤綸</v>
          </cell>
          <cell r="J4439">
            <v>45817</v>
          </cell>
          <cell r="K4439">
            <v>3</v>
          </cell>
        </row>
        <row r="4440">
          <cell r="C4440" t="str">
            <v>黃胤綸</v>
          </cell>
          <cell r="F4440" t="str">
            <v>M250201C1</v>
          </cell>
          <cell r="J4440">
            <v>45817</v>
          </cell>
          <cell r="K4440">
            <v>5</v>
          </cell>
        </row>
        <row r="4441">
          <cell r="C4441" t="str">
            <v>黃胤綸</v>
          </cell>
          <cell r="J4441">
            <v>45818</v>
          </cell>
          <cell r="K4441">
            <v>8</v>
          </cell>
        </row>
        <row r="4442">
          <cell r="C4442" t="str">
            <v>黃胤綸</v>
          </cell>
          <cell r="J4442">
            <v>45819</v>
          </cell>
          <cell r="K4442">
            <v>2</v>
          </cell>
        </row>
        <row r="4443">
          <cell r="C4443" t="str">
            <v>黃胤綸</v>
          </cell>
          <cell r="J4443">
            <v>45819</v>
          </cell>
          <cell r="K4443">
            <v>4</v>
          </cell>
        </row>
        <row r="4444">
          <cell r="C4444" t="str">
            <v>黃胤綸</v>
          </cell>
          <cell r="J4444">
            <v>45819</v>
          </cell>
          <cell r="K4444">
            <v>2</v>
          </cell>
        </row>
        <row r="4445">
          <cell r="C4445" t="str">
            <v>黃胤綸</v>
          </cell>
          <cell r="J4445">
            <v>45820</v>
          </cell>
          <cell r="K4445">
            <v>5</v>
          </cell>
        </row>
        <row r="4446">
          <cell r="C4446" t="str">
            <v>黃胤綸</v>
          </cell>
          <cell r="J4446">
            <v>45820</v>
          </cell>
          <cell r="K4446">
            <v>1.5</v>
          </cell>
        </row>
        <row r="4447">
          <cell r="C4447" t="str">
            <v>黃胤綸</v>
          </cell>
          <cell r="F4447" t="str">
            <v>D250101R1</v>
          </cell>
          <cell r="J4447">
            <v>45820</v>
          </cell>
          <cell r="K4447">
            <v>1.5</v>
          </cell>
        </row>
        <row r="4448">
          <cell r="C4448" t="str">
            <v>黃胤綸</v>
          </cell>
          <cell r="J4448">
            <v>45821</v>
          </cell>
          <cell r="K4448">
            <v>8</v>
          </cell>
        </row>
        <row r="4449">
          <cell r="C4449" t="str">
            <v>黃胤綸</v>
          </cell>
          <cell r="J4449">
            <v>45824</v>
          </cell>
          <cell r="K4449">
            <v>0.5</v>
          </cell>
        </row>
        <row r="4450">
          <cell r="C4450" t="str">
            <v>黃胤綸</v>
          </cell>
          <cell r="J4450">
            <v>45824</v>
          </cell>
          <cell r="K4450">
            <v>7.5</v>
          </cell>
        </row>
        <row r="4451">
          <cell r="C4451" t="str">
            <v>黃胤綸</v>
          </cell>
          <cell r="J4451">
            <v>45825</v>
          </cell>
          <cell r="K4451">
            <v>8</v>
          </cell>
        </row>
        <row r="4452">
          <cell r="C4452" t="str">
            <v>黃胤綸</v>
          </cell>
          <cell r="J4452">
            <v>45826</v>
          </cell>
          <cell r="K4452">
            <v>2</v>
          </cell>
        </row>
        <row r="4453">
          <cell r="C4453" t="str">
            <v>黃胤綸</v>
          </cell>
          <cell r="J4453">
            <v>45826</v>
          </cell>
          <cell r="K4453">
            <v>6</v>
          </cell>
        </row>
        <row r="4454">
          <cell r="C4454" t="str">
            <v>黃胤綸</v>
          </cell>
          <cell r="J4454">
            <v>45827</v>
          </cell>
          <cell r="K4454">
            <v>8</v>
          </cell>
        </row>
        <row r="4455">
          <cell r="C4455" t="str">
            <v>黃胤綸</v>
          </cell>
          <cell r="J4455">
            <v>45828</v>
          </cell>
          <cell r="K4455">
            <v>6</v>
          </cell>
        </row>
        <row r="4456">
          <cell r="C4456" t="str">
            <v>黃胤綸</v>
          </cell>
          <cell r="F4456" t="str">
            <v>M250201C1</v>
          </cell>
          <cell r="J4456">
            <v>45828</v>
          </cell>
          <cell r="K4456">
            <v>2</v>
          </cell>
        </row>
        <row r="4457">
          <cell r="C4457" t="str">
            <v>黃胤綸</v>
          </cell>
          <cell r="J4457">
            <v>45831</v>
          </cell>
          <cell r="K4457">
            <v>4</v>
          </cell>
        </row>
        <row r="4458">
          <cell r="C4458" t="str">
            <v>黃胤綸</v>
          </cell>
          <cell r="F4458" t="str">
            <v>M250201C1</v>
          </cell>
          <cell r="J4458">
            <v>45831</v>
          </cell>
          <cell r="K4458">
            <v>4</v>
          </cell>
        </row>
        <row r="4459">
          <cell r="C4459" t="str">
            <v>黃胤綸</v>
          </cell>
          <cell r="J4459">
            <v>45832</v>
          </cell>
          <cell r="K4459">
            <v>1.5</v>
          </cell>
        </row>
        <row r="4460">
          <cell r="C4460" t="str">
            <v>黃胤綸</v>
          </cell>
          <cell r="J4460">
            <v>45832</v>
          </cell>
          <cell r="K4460">
            <v>1.5</v>
          </cell>
        </row>
        <row r="4461">
          <cell r="C4461" t="str">
            <v>黃胤綸</v>
          </cell>
          <cell r="F4461" t="str">
            <v>M250201C1</v>
          </cell>
          <cell r="J4461">
            <v>45832</v>
          </cell>
          <cell r="K4461">
            <v>5</v>
          </cell>
        </row>
        <row r="4462">
          <cell r="C4462" t="str">
            <v>黃胤綸</v>
          </cell>
          <cell r="F4462" t="str">
            <v>M250201C1</v>
          </cell>
          <cell r="J4462">
            <v>45833</v>
          </cell>
          <cell r="K4462">
            <v>8</v>
          </cell>
        </row>
        <row r="4463">
          <cell r="C4463" t="str">
            <v>黃胤綸</v>
          </cell>
          <cell r="J4463">
            <v>45834</v>
          </cell>
          <cell r="K4463">
            <v>2</v>
          </cell>
        </row>
        <row r="4464">
          <cell r="C4464" t="str">
            <v>黃胤綸</v>
          </cell>
          <cell r="F4464" t="str">
            <v>M250201C1</v>
          </cell>
          <cell r="J4464">
            <v>45834</v>
          </cell>
          <cell r="K4464">
            <v>6</v>
          </cell>
        </row>
        <row r="4465">
          <cell r="C4465" t="str">
            <v>黃胤綸</v>
          </cell>
          <cell r="J4465">
            <v>45835</v>
          </cell>
          <cell r="K4465">
            <v>3</v>
          </cell>
        </row>
        <row r="4466">
          <cell r="C4466" t="str">
            <v>黃胤綸</v>
          </cell>
          <cell r="F4466" t="str">
            <v>M250201C1</v>
          </cell>
          <cell r="J4466">
            <v>45835</v>
          </cell>
          <cell r="K4466">
            <v>3</v>
          </cell>
        </row>
        <row r="4467">
          <cell r="C4467" t="str">
            <v>黃胤綸</v>
          </cell>
          <cell r="F4467" t="str">
            <v>K250501R1</v>
          </cell>
          <cell r="J4467">
            <v>45835</v>
          </cell>
          <cell r="K4467">
            <v>1</v>
          </cell>
        </row>
        <row r="4468">
          <cell r="C4468" t="str">
            <v>黃胤綸</v>
          </cell>
          <cell r="F4468" t="str">
            <v>D250501R1</v>
          </cell>
          <cell r="J4468">
            <v>45835</v>
          </cell>
          <cell r="K4468">
            <v>1</v>
          </cell>
        </row>
        <row r="4469">
          <cell r="C4469" t="str">
            <v>黃胤綸</v>
          </cell>
          <cell r="J4469">
            <v>45838</v>
          </cell>
          <cell r="K4469">
            <v>8</v>
          </cell>
        </row>
        <row r="4470">
          <cell r="C4470" t="str">
            <v>黃胤綸</v>
          </cell>
          <cell r="J4470">
            <v>45839</v>
          </cell>
          <cell r="K4470">
            <v>2</v>
          </cell>
        </row>
        <row r="4471">
          <cell r="C4471" t="str">
            <v>黃胤綸</v>
          </cell>
          <cell r="F4471" t="str">
            <v>M250201C1</v>
          </cell>
          <cell r="J4471">
            <v>45839</v>
          </cell>
          <cell r="K4471">
            <v>6</v>
          </cell>
        </row>
        <row r="4472">
          <cell r="C4472" t="str">
            <v>黃胤綸</v>
          </cell>
          <cell r="J4472">
            <v>45840</v>
          </cell>
          <cell r="K4472">
            <v>4</v>
          </cell>
        </row>
        <row r="4473">
          <cell r="C4473" t="str">
            <v>黃胤綸</v>
          </cell>
          <cell r="J4473">
            <v>45840</v>
          </cell>
          <cell r="K4473">
            <v>2</v>
          </cell>
        </row>
        <row r="4474">
          <cell r="C4474" t="str">
            <v>黃胤綸</v>
          </cell>
          <cell r="J4474">
            <v>45840</v>
          </cell>
          <cell r="K4474">
            <v>2</v>
          </cell>
        </row>
        <row r="4475">
          <cell r="C4475" t="str">
            <v>黃胤綸</v>
          </cell>
          <cell r="J4475">
            <v>45841</v>
          </cell>
          <cell r="K4475">
            <v>8</v>
          </cell>
        </row>
        <row r="4476">
          <cell r="C4476" t="str">
            <v>黃胤綸</v>
          </cell>
          <cell r="J4476">
            <v>45842</v>
          </cell>
          <cell r="K4476">
            <v>8</v>
          </cell>
        </row>
        <row r="4477">
          <cell r="C4477" t="str">
            <v>黃胤綸</v>
          </cell>
          <cell r="J4477">
            <v>45845</v>
          </cell>
          <cell r="K4477">
            <v>8</v>
          </cell>
        </row>
        <row r="4478">
          <cell r="C4478" t="str">
            <v>黃胤綸</v>
          </cell>
          <cell r="J4478">
            <v>45846</v>
          </cell>
          <cell r="K4478">
            <v>7</v>
          </cell>
        </row>
        <row r="4479">
          <cell r="C4479" t="str">
            <v>黃胤綸</v>
          </cell>
          <cell r="J4479">
            <v>45846</v>
          </cell>
          <cell r="K4479">
            <v>1</v>
          </cell>
        </row>
        <row r="4480">
          <cell r="C4480" t="str">
            <v>黃胤綸</v>
          </cell>
          <cell r="J4480">
            <v>45847</v>
          </cell>
          <cell r="K4480">
            <v>8</v>
          </cell>
        </row>
        <row r="4481">
          <cell r="C4481" t="str">
            <v>黃胤綸</v>
          </cell>
          <cell r="J4481">
            <v>45848</v>
          </cell>
          <cell r="K4481">
            <v>4</v>
          </cell>
        </row>
        <row r="4482">
          <cell r="C4482" t="str">
            <v>黃胤綸</v>
          </cell>
          <cell r="F4482" t="str">
            <v>D250101R1</v>
          </cell>
          <cell r="J4482">
            <v>45848</v>
          </cell>
          <cell r="K4482">
            <v>4</v>
          </cell>
        </row>
        <row r="4483">
          <cell r="C4483" t="str">
            <v>黃胤綸</v>
          </cell>
          <cell r="J4483">
            <v>45849</v>
          </cell>
          <cell r="K4483">
            <v>4</v>
          </cell>
        </row>
        <row r="4484">
          <cell r="C4484" t="str">
            <v>黃胤綸</v>
          </cell>
          <cell r="F4484" t="str">
            <v>D250101R1</v>
          </cell>
          <cell r="J4484">
            <v>45849</v>
          </cell>
          <cell r="K4484">
            <v>4</v>
          </cell>
        </row>
        <row r="4485">
          <cell r="C4485" t="str">
            <v>黃胤綸</v>
          </cell>
          <cell r="J4485">
            <v>45852</v>
          </cell>
          <cell r="K4485">
            <v>5</v>
          </cell>
        </row>
        <row r="4486">
          <cell r="C4486" t="str">
            <v>黃胤綸</v>
          </cell>
          <cell r="J4486">
            <v>45852</v>
          </cell>
          <cell r="K4486">
            <v>3</v>
          </cell>
        </row>
        <row r="4487">
          <cell r="C4487" t="str">
            <v>黃胤綸</v>
          </cell>
          <cell r="F4487" t="str">
            <v>D250101R1</v>
          </cell>
          <cell r="J4487">
            <v>45853</v>
          </cell>
          <cell r="K4487">
            <v>3</v>
          </cell>
        </row>
        <row r="4488">
          <cell r="C4488" t="str">
            <v>黃胤綸</v>
          </cell>
          <cell r="F4488" t="str">
            <v>D250101R1</v>
          </cell>
          <cell r="J4488">
            <v>45853</v>
          </cell>
          <cell r="K4488">
            <v>5</v>
          </cell>
        </row>
        <row r="4489">
          <cell r="C4489" t="str">
            <v>黃胤綸</v>
          </cell>
          <cell r="F4489" t="str">
            <v>D250501R1</v>
          </cell>
          <cell r="J4489">
            <v>45854</v>
          </cell>
          <cell r="K4489">
            <v>8</v>
          </cell>
        </row>
        <row r="4490">
          <cell r="C4490" t="str">
            <v>黃胤綸</v>
          </cell>
          <cell r="J4490">
            <v>45855</v>
          </cell>
          <cell r="K4490">
            <v>5.5</v>
          </cell>
        </row>
        <row r="4491">
          <cell r="C4491" t="str">
            <v>黃胤綸</v>
          </cell>
          <cell r="J4491">
            <v>45855</v>
          </cell>
          <cell r="K4491">
            <v>2.5</v>
          </cell>
        </row>
        <row r="4492">
          <cell r="C4492" t="str">
            <v>黃胤綸</v>
          </cell>
          <cell r="J4492">
            <v>45856</v>
          </cell>
          <cell r="K4492">
            <v>3</v>
          </cell>
        </row>
        <row r="4493">
          <cell r="C4493" t="str">
            <v>黃胤綸</v>
          </cell>
          <cell r="F4493" t="str">
            <v>D250101R1</v>
          </cell>
          <cell r="J4493">
            <v>45856</v>
          </cell>
          <cell r="K4493">
            <v>5</v>
          </cell>
        </row>
        <row r="4494">
          <cell r="C4494" t="str">
            <v>黃胤綸</v>
          </cell>
          <cell r="J4494">
            <v>45859</v>
          </cell>
          <cell r="K4494">
            <v>5</v>
          </cell>
        </row>
        <row r="4495">
          <cell r="C4495" t="str">
            <v>黃胤綸</v>
          </cell>
          <cell r="J4495">
            <v>45859</v>
          </cell>
          <cell r="K4495">
            <v>2</v>
          </cell>
        </row>
        <row r="4496">
          <cell r="C4496" t="str">
            <v>黃胤綸</v>
          </cell>
          <cell r="J4496">
            <v>45859</v>
          </cell>
          <cell r="K4496">
            <v>1</v>
          </cell>
        </row>
        <row r="4497">
          <cell r="C4497" t="str">
            <v>黃胤綸</v>
          </cell>
          <cell r="J4497">
            <v>45860</v>
          </cell>
          <cell r="K4497">
            <v>8</v>
          </cell>
        </row>
        <row r="4498">
          <cell r="C4498" t="str">
            <v>黃胤綸</v>
          </cell>
          <cell r="J4498">
            <v>45861</v>
          </cell>
          <cell r="K4498">
            <v>3</v>
          </cell>
        </row>
        <row r="4499">
          <cell r="C4499" t="str">
            <v>黃胤綸</v>
          </cell>
          <cell r="F4499" t="str">
            <v>D240901R1</v>
          </cell>
          <cell r="J4499">
            <v>45861</v>
          </cell>
          <cell r="K4499">
            <v>5</v>
          </cell>
        </row>
        <row r="4500">
          <cell r="C4500" t="str">
            <v>黃胤綸</v>
          </cell>
          <cell r="J4500">
            <v>45862</v>
          </cell>
          <cell r="K4500">
            <v>2</v>
          </cell>
        </row>
        <row r="4501">
          <cell r="C4501" t="str">
            <v>黃胤綸</v>
          </cell>
          <cell r="F4501" t="str">
            <v>M250201C1</v>
          </cell>
          <cell r="J4501">
            <v>45862</v>
          </cell>
          <cell r="K4501">
            <v>6</v>
          </cell>
        </row>
        <row r="4502">
          <cell r="C4502" t="str">
            <v>黃胤綸</v>
          </cell>
          <cell r="J4502">
            <v>45863</v>
          </cell>
          <cell r="K4502">
            <v>2</v>
          </cell>
        </row>
        <row r="4503">
          <cell r="C4503" t="str">
            <v>黃胤綸</v>
          </cell>
          <cell r="J4503">
            <v>45863</v>
          </cell>
          <cell r="K4503">
            <v>4</v>
          </cell>
        </row>
        <row r="4504">
          <cell r="C4504" t="str">
            <v>黃胤綸</v>
          </cell>
          <cell r="J4504">
            <v>45863</v>
          </cell>
          <cell r="K4504">
            <v>2</v>
          </cell>
        </row>
        <row r="4505">
          <cell r="C4505" t="str">
            <v>黃胤綸</v>
          </cell>
          <cell r="J4505">
            <v>45866</v>
          </cell>
          <cell r="K4505">
            <v>8</v>
          </cell>
        </row>
        <row r="4506">
          <cell r="C4506" t="str">
            <v>黃胤綸</v>
          </cell>
          <cell r="J4506">
            <v>45867</v>
          </cell>
          <cell r="K4506">
            <v>8</v>
          </cell>
        </row>
        <row r="4507">
          <cell r="C4507" t="str">
            <v>黃胤綸</v>
          </cell>
          <cell r="J4507">
            <v>45868</v>
          </cell>
          <cell r="K4507">
            <v>8</v>
          </cell>
        </row>
        <row r="4508">
          <cell r="C4508" t="str">
            <v>黃胤綸</v>
          </cell>
          <cell r="J4508">
            <v>45869</v>
          </cell>
          <cell r="K4508">
            <v>8</v>
          </cell>
        </row>
        <row r="4509">
          <cell r="C4509" t="str">
            <v>黃胤綸</v>
          </cell>
          <cell r="J4509">
            <v>45870</v>
          </cell>
          <cell r="K4509">
            <v>8</v>
          </cell>
        </row>
        <row r="4510">
          <cell r="C4510" t="str">
            <v>黃胤綸</v>
          </cell>
          <cell r="J4510">
            <v>45873</v>
          </cell>
          <cell r="K4510">
            <v>3</v>
          </cell>
        </row>
        <row r="4511">
          <cell r="C4511" t="str">
            <v>黃胤綸</v>
          </cell>
          <cell r="J4511">
            <v>45873</v>
          </cell>
          <cell r="K4511">
            <v>5</v>
          </cell>
        </row>
        <row r="4512">
          <cell r="C4512" t="str">
            <v>黃胤綸</v>
          </cell>
          <cell r="J4512">
            <v>45874</v>
          </cell>
          <cell r="K4512">
            <v>1</v>
          </cell>
        </row>
        <row r="4513">
          <cell r="C4513" t="str">
            <v>黃胤綸</v>
          </cell>
          <cell r="J4513">
            <v>45874</v>
          </cell>
          <cell r="K4513">
            <v>1</v>
          </cell>
        </row>
        <row r="4514">
          <cell r="C4514" t="str">
            <v>黃胤綸</v>
          </cell>
          <cell r="J4514">
            <v>45874</v>
          </cell>
          <cell r="K4514">
            <v>6</v>
          </cell>
        </row>
        <row r="4515">
          <cell r="C4515" t="str">
            <v>黃胤綸</v>
          </cell>
          <cell r="J4515">
            <v>45875</v>
          </cell>
          <cell r="K4515">
            <v>2.5</v>
          </cell>
        </row>
        <row r="4516">
          <cell r="C4516" t="str">
            <v>黃胤綸</v>
          </cell>
          <cell r="J4516">
            <v>45875</v>
          </cell>
          <cell r="K4516">
            <v>5.5</v>
          </cell>
        </row>
        <row r="4517">
          <cell r="C4517" t="str">
            <v>黃胤綸</v>
          </cell>
          <cell r="J4517">
            <v>45876</v>
          </cell>
          <cell r="K4517">
            <v>3</v>
          </cell>
        </row>
        <row r="4518">
          <cell r="C4518" t="str">
            <v>黃胤綸</v>
          </cell>
          <cell r="F4518" t="str">
            <v>D241001R1</v>
          </cell>
          <cell r="J4518">
            <v>45876</v>
          </cell>
          <cell r="K4518">
            <v>5</v>
          </cell>
        </row>
        <row r="4519">
          <cell r="C4519" t="str">
            <v>黃胤綸</v>
          </cell>
          <cell r="F4519" t="str">
            <v>D250702R1</v>
          </cell>
          <cell r="J4519">
            <v>45877</v>
          </cell>
          <cell r="K4519">
            <v>6</v>
          </cell>
        </row>
        <row r="4520">
          <cell r="C4520" t="str">
            <v>黃胤綸</v>
          </cell>
          <cell r="J4520">
            <v>45877</v>
          </cell>
          <cell r="K4520">
            <v>2</v>
          </cell>
        </row>
        <row r="4521">
          <cell r="C4521" t="str">
            <v>黃胤綸</v>
          </cell>
          <cell r="J4521">
            <v>45880</v>
          </cell>
          <cell r="K4521">
            <v>5</v>
          </cell>
        </row>
        <row r="4522">
          <cell r="C4522" t="str">
            <v>黃胤綸</v>
          </cell>
          <cell r="J4522">
            <v>45880</v>
          </cell>
          <cell r="K4522">
            <v>3</v>
          </cell>
        </row>
        <row r="4523">
          <cell r="C4523" t="str">
            <v>黃胤綸</v>
          </cell>
          <cell r="J4523">
            <v>45881</v>
          </cell>
          <cell r="K4523">
            <v>4</v>
          </cell>
        </row>
        <row r="4524">
          <cell r="C4524" t="str">
            <v>黃胤綸</v>
          </cell>
          <cell r="F4524" t="str">
            <v>D240901R1</v>
          </cell>
          <cell r="J4524">
            <v>45881</v>
          </cell>
          <cell r="K4524">
            <v>4</v>
          </cell>
        </row>
        <row r="4525">
          <cell r="C4525" t="str">
            <v>黃胤綸</v>
          </cell>
          <cell r="J4525">
            <v>45882</v>
          </cell>
          <cell r="K4525">
            <v>2</v>
          </cell>
        </row>
        <row r="4526">
          <cell r="C4526" t="str">
            <v>黃胤綸</v>
          </cell>
          <cell r="F4526" t="str">
            <v>M250201C1</v>
          </cell>
          <cell r="J4526">
            <v>45882</v>
          </cell>
          <cell r="K4526">
            <v>6</v>
          </cell>
        </row>
        <row r="4527">
          <cell r="C4527" t="str">
            <v>黃胤綸</v>
          </cell>
          <cell r="J4527">
            <v>45883</v>
          </cell>
          <cell r="K4527">
            <v>1</v>
          </cell>
        </row>
        <row r="4528">
          <cell r="C4528" t="str">
            <v>黃胤綸</v>
          </cell>
          <cell r="J4528">
            <v>45883</v>
          </cell>
          <cell r="K4528">
            <v>7</v>
          </cell>
        </row>
        <row r="4529">
          <cell r="C4529" t="str">
            <v>黃胤綸</v>
          </cell>
          <cell r="J4529">
            <v>45884</v>
          </cell>
          <cell r="K4529">
            <v>5</v>
          </cell>
        </row>
        <row r="4530">
          <cell r="C4530" t="str">
            <v>黃胤綸</v>
          </cell>
          <cell r="J4530">
            <v>45884</v>
          </cell>
          <cell r="K4530">
            <v>2</v>
          </cell>
        </row>
        <row r="4531">
          <cell r="C4531" t="str">
            <v>黃胤綸</v>
          </cell>
          <cell r="J4531">
            <v>45884</v>
          </cell>
          <cell r="K4531">
            <v>1</v>
          </cell>
        </row>
        <row r="4532">
          <cell r="C4532" t="str">
            <v>黃胤綸</v>
          </cell>
          <cell r="J4532">
            <v>45887</v>
          </cell>
          <cell r="K4532">
            <v>2</v>
          </cell>
        </row>
        <row r="4533">
          <cell r="C4533" t="str">
            <v>黃胤綸</v>
          </cell>
          <cell r="F4533" t="str">
            <v>M250201C1</v>
          </cell>
          <cell r="J4533">
            <v>45887</v>
          </cell>
          <cell r="K4533">
            <v>6</v>
          </cell>
        </row>
        <row r="4534">
          <cell r="C4534" t="str">
            <v>黃胤綸</v>
          </cell>
          <cell r="F4534" t="str">
            <v>D250702R1</v>
          </cell>
          <cell r="J4534">
            <v>45888</v>
          </cell>
          <cell r="K4534">
            <v>4</v>
          </cell>
        </row>
        <row r="4535">
          <cell r="C4535" t="str">
            <v>黃胤綸</v>
          </cell>
          <cell r="J4535">
            <v>45888</v>
          </cell>
          <cell r="K4535">
            <v>3</v>
          </cell>
        </row>
        <row r="4536">
          <cell r="C4536" t="str">
            <v>黃胤綸</v>
          </cell>
          <cell r="F4536" t="str">
            <v>M250201C1</v>
          </cell>
          <cell r="J4536">
            <v>45888</v>
          </cell>
          <cell r="K4536">
            <v>1</v>
          </cell>
        </row>
        <row r="4537">
          <cell r="C4537" t="str">
            <v>黃胤綸</v>
          </cell>
          <cell r="F4537" t="str">
            <v>D250702R1</v>
          </cell>
          <cell r="J4537">
            <v>45889</v>
          </cell>
          <cell r="K4537">
            <v>8</v>
          </cell>
        </row>
        <row r="4538">
          <cell r="C4538" t="str">
            <v>黃胤綸</v>
          </cell>
          <cell r="F4538" t="str">
            <v>D250702R1</v>
          </cell>
          <cell r="J4538">
            <v>45890</v>
          </cell>
          <cell r="K4538">
            <v>3</v>
          </cell>
        </row>
        <row r="4539">
          <cell r="C4539" t="str">
            <v>黃胤綸</v>
          </cell>
          <cell r="J4539">
            <v>45890</v>
          </cell>
          <cell r="K4539">
            <v>2</v>
          </cell>
        </row>
        <row r="4540">
          <cell r="C4540" t="str">
            <v>黃胤綸</v>
          </cell>
          <cell r="J4540">
            <v>45890</v>
          </cell>
          <cell r="K4540">
            <v>3</v>
          </cell>
        </row>
        <row r="4541">
          <cell r="C4541" t="str">
            <v>黃胤綸</v>
          </cell>
          <cell r="J4541">
            <v>45891</v>
          </cell>
          <cell r="K4541">
            <v>8</v>
          </cell>
        </row>
        <row r="4542">
          <cell r="C4542" t="str">
            <v>黃胤綸</v>
          </cell>
          <cell r="J4542">
            <v>45894</v>
          </cell>
          <cell r="K4542">
            <v>8</v>
          </cell>
        </row>
        <row r="4543">
          <cell r="C4543" t="str">
            <v>黃胤綸</v>
          </cell>
          <cell r="J4543">
            <v>45895</v>
          </cell>
          <cell r="K4543">
            <v>8</v>
          </cell>
        </row>
        <row r="4544">
          <cell r="C4544" t="str">
            <v>黃胤綸</v>
          </cell>
          <cell r="J4544">
            <v>45896</v>
          </cell>
          <cell r="K4544">
            <v>1</v>
          </cell>
        </row>
        <row r="4545">
          <cell r="C4545" t="str">
            <v>黃胤綸</v>
          </cell>
          <cell r="F4545" t="str">
            <v>M250201C1</v>
          </cell>
          <cell r="J4545">
            <v>45896</v>
          </cell>
          <cell r="K4545">
            <v>7</v>
          </cell>
        </row>
        <row r="4546">
          <cell r="C4546" t="str">
            <v>黃胤綸</v>
          </cell>
          <cell r="J4546">
            <v>45897</v>
          </cell>
          <cell r="K4546">
            <v>2</v>
          </cell>
        </row>
        <row r="4547">
          <cell r="C4547" t="str">
            <v>黃胤綸</v>
          </cell>
          <cell r="F4547" t="str">
            <v>D250702R1</v>
          </cell>
          <cell r="J4547">
            <v>45897</v>
          </cell>
          <cell r="K4547">
            <v>2</v>
          </cell>
        </row>
        <row r="4548">
          <cell r="C4548" t="str">
            <v>黃胤綸</v>
          </cell>
          <cell r="F4548" t="str">
            <v>M250201C1</v>
          </cell>
          <cell r="J4548">
            <v>45897</v>
          </cell>
          <cell r="K4548">
            <v>4</v>
          </cell>
        </row>
        <row r="4549">
          <cell r="C4549" t="str">
            <v>黃胤綸</v>
          </cell>
          <cell r="F4549" t="str">
            <v>M250201C1</v>
          </cell>
          <cell r="J4549">
            <v>45898</v>
          </cell>
          <cell r="K4549">
            <v>8</v>
          </cell>
        </row>
        <row r="4550">
          <cell r="C4550" t="str">
            <v>黃胤綸</v>
          </cell>
          <cell r="J4550">
            <v>45901</v>
          </cell>
          <cell r="K4550">
            <v>3</v>
          </cell>
        </row>
        <row r="4551">
          <cell r="C4551" t="str">
            <v>黃胤綸</v>
          </cell>
          <cell r="F4551" t="str">
            <v>D250101R1</v>
          </cell>
          <cell r="J4551">
            <v>45901</v>
          </cell>
          <cell r="K4551">
            <v>5</v>
          </cell>
        </row>
        <row r="4552">
          <cell r="C4552" t="str">
            <v>黃胤綸</v>
          </cell>
          <cell r="J4552">
            <v>45902</v>
          </cell>
          <cell r="K4552">
            <v>8</v>
          </cell>
        </row>
        <row r="4553">
          <cell r="C4553" t="str">
            <v>黃胤綸</v>
          </cell>
          <cell r="J4553">
            <v>45903</v>
          </cell>
          <cell r="K4553">
            <v>8</v>
          </cell>
        </row>
        <row r="4554">
          <cell r="C4554" t="str">
            <v>黃胤綸</v>
          </cell>
          <cell r="F4554" t="str">
            <v>D250702R1</v>
          </cell>
          <cell r="J4554">
            <v>45904</v>
          </cell>
          <cell r="K4554">
            <v>3</v>
          </cell>
        </row>
        <row r="4555">
          <cell r="C4555" t="str">
            <v>黃胤綸</v>
          </cell>
          <cell r="F4555" t="str">
            <v>M250201C1</v>
          </cell>
          <cell r="J4555">
            <v>45904</v>
          </cell>
          <cell r="K4555">
            <v>5</v>
          </cell>
        </row>
        <row r="4556">
          <cell r="C4556" t="str">
            <v>黃胤綸</v>
          </cell>
          <cell r="J4556">
            <v>45905</v>
          </cell>
          <cell r="K4556">
            <v>1</v>
          </cell>
        </row>
        <row r="4557">
          <cell r="C4557" t="str">
            <v>黃胤綸</v>
          </cell>
          <cell r="F4557" t="str">
            <v>M250201C1</v>
          </cell>
          <cell r="J4557">
            <v>45905</v>
          </cell>
          <cell r="K4557">
            <v>7</v>
          </cell>
        </row>
        <row r="4558">
          <cell r="C4558" t="str">
            <v>黃胤綸</v>
          </cell>
          <cell r="J4558">
            <v>45908</v>
          </cell>
          <cell r="K4558">
            <v>2</v>
          </cell>
        </row>
        <row r="4559">
          <cell r="C4559" t="str">
            <v>黃胤綸</v>
          </cell>
          <cell r="J4559">
            <v>45908</v>
          </cell>
          <cell r="K4559">
            <v>4</v>
          </cell>
        </row>
        <row r="4560">
          <cell r="C4560" t="str">
            <v>黃胤綸</v>
          </cell>
          <cell r="F4560" t="str">
            <v>D250101R1</v>
          </cell>
          <cell r="J4560">
            <v>45908</v>
          </cell>
          <cell r="K4560">
            <v>2</v>
          </cell>
        </row>
        <row r="4561">
          <cell r="C4561" t="str">
            <v>黃胤綸</v>
          </cell>
          <cell r="F4561" t="str">
            <v>M250201C1</v>
          </cell>
          <cell r="J4561">
            <v>45909</v>
          </cell>
          <cell r="K4561">
            <v>8</v>
          </cell>
        </row>
        <row r="4562">
          <cell r="C4562" t="str">
            <v>黃胤綸</v>
          </cell>
          <cell r="J4562">
            <v>45910</v>
          </cell>
          <cell r="K4562">
            <v>1</v>
          </cell>
        </row>
        <row r="4563">
          <cell r="C4563" t="str">
            <v>黃胤綸</v>
          </cell>
          <cell r="F4563" t="str">
            <v>M250201C1</v>
          </cell>
          <cell r="J4563">
            <v>45910</v>
          </cell>
          <cell r="K4563">
            <v>7</v>
          </cell>
        </row>
        <row r="4564">
          <cell r="C4564" t="str">
            <v>黃胤綸</v>
          </cell>
          <cell r="J4564">
            <v>45911</v>
          </cell>
          <cell r="K4564">
            <v>3</v>
          </cell>
        </row>
        <row r="4565">
          <cell r="C4565" t="str">
            <v>黃胤綸</v>
          </cell>
          <cell r="J4565">
            <v>45911</v>
          </cell>
          <cell r="K4565">
            <v>1.5</v>
          </cell>
        </row>
        <row r="4566">
          <cell r="C4566" t="str">
            <v>黃胤綸</v>
          </cell>
          <cell r="F4566" t="str">
            <v>M250201C1</v>
          </cell>
          <cell r="J4566">
            <v>45911</v>
          </cell>
          <cell r="K4566">
            <v>3.5</v>
          </cell>
        </row>
        <row r="4567">
          <cell r="C4567" t="str">
            <v>黃胤綸</v>
          </cell>
          <cell r="J4567">
            <v>45912</v>
          </cell>
          <cell r="K4567">
            <v>3.5</v>
          </cell>
        </row>
        <row r="4568">
          <cell r="C4568" t="str">
            <v>黃胤綸</v>
          </cell>
          <cell r="J4568">
            <v>45912</v>
          </cell>
          <cell r="K4568">
            <v>1</v>
          </cell>
        </row>
        <row r="4569">
          <cell r="C4569" t="str">
            <v>黃胤綸</v>
          </cell>
          <cell r="F4569" t="str">
            <v>M250201C1</v>
          </cell>
          <cell r="J4569">
            <v>45912</v>
          </cell>
          <cell r="K4569">
            <v>3.5</v>
          </cell>
        </row>
        <row r="4570">
          <cell r="C4570" t="str">
            <v>黃胤綸</v>
          </cell>
          <cell r="J4570">
            <v>45915</v>
          </cell>
          <cell r="K4570">
            <v>1</v>
          </cell>
        </row>
        <row r="4571">
          <cell r="C4571" t="str">
            <v>黃胤綸</v>
          </cell>
          <cell r="F4571" t="str">
            <v>M250201C1</v>
          </cell>
          <cell r="J4571">
            <v>45915</v>
          </cell>
          <cell r="K4571">
            <v>5</v>
          </cell>
        </row>
        <row r="4572">
          <cell r="C4572" t="str">
            <v>黃胤綸</v>
          </cell>
          <cell r="F4572" t="str">
            <v>D250101R1</v>
          </cell>
          <cell r="J4572">
            <v>45915</v>
          </cell>
          <cell r="K4572">
            <v>2</v>
          </cell>
        </row>
        <row r="4573">
          <cell r="C4573" t="str">
            <v>黃胤綸</v>
          </cell>
          <cell r="J4573">
            <v>45916</v>
          </cell>
          <cell r="K4573">
            <v>2</v>
          </cell>
        </row>
        <row r="4574">
          <cell r="C4574" t="str">
            <v>黃胤綸</v>
          </cell>
          <cell r="F4574" t="str">
            <v>M250201C1</v>
          </cell>
          <cell r="J4574">
            <v>45916</v>
          </cell>
          <cell r="K4574">
            <v>6</v>
          </cell>
        </row>
        <row r="4575">
          <cell r="C4575" t="str">
            <v>黃胤綸</v>
          </cell>
          <cell r="J4575">
            <v>45917</v>
          </cell>
          <cell r="K4575">
            <v>3</v>
          </cell>
        </row>
        <row r="4576">
          <cell r="C4576" t="str">
            <v>黃胤綸</v>
          </cell>
          <cell r="J4576">
            <v>45917</v>
          </cell>
          <cell r="K4576">
            <v>1</v>
          </cell>
        </row>
        <row r="4577">
          <cell r="C4577" t="str">
            <v>黃胤綸</v>
          </cell>
          <cell r="F4577" t="str">
            <v>M250201C1</v>
          </cell>
          <cell r="J4577">
            <v>45917</v>
          </cell>
          <cell r="K4577">
            <v>4</v>
          </cell>
        </row>
        <row r="4578">
          <cell r="C4578" t="str">
            <v>黃胤綸</v>
          </cell>
          <cell r="J4578">
            <v>45918</v>
          </cell>
          <cell r="K4578">
            <v>3</v>
          </cell>
        </row>
        <row r="4579">
          <cell r="C4579" t="str">
            <v>黃胤綸</v>
          </cell>
          <cell r="F4579" t="str">
            <v>M250201C1</v>
          </cell>
          <cell r="J4579">
            <v>45918</v>
          </cell>
          <cell r="K4579">
            <v>5</v>
          </cell>
        </row>
        <row r="4580">
          <cell r="C4580" t="str">
            <v>黃胤綸</v>
          </cell>
          <cell r="J4580">
            <v>45919</v>
          </cell>
          <cell r="K4580">
            <v>3</v>
          </cell>
        </row>
        <row r="4581">
          <cell r="C4581" t="str">
            <v>黃胤綸</v>
          </cell>
          <cell r="J4581">
            <v>45919</v>
          </cell>
          <cell r="K4581">
            <v>5</v>
          </cell>
        </row>
        <row r="4582">
          <cell r="C4582" t="str">
            <v>黃胤綸</v>
          </cell>
          <cell r="J4582">
            <v>45922</v>
          </cell>
          <cell r="K4582">
            <v>5</v>
          </cell>
        </row>
        <row r="4583">
          <cell r="C4583" t="str">
            <v>黃胤綸</v>
          </cell>
          <cell r="J4583">
            <v>45922</v>
          </cell>
          <cell r="K4583">
            <v>3</v>
          </cell>
        </row>
        <row r="4584">
          <cell r="C4584" t="str">
            <v>黃胤綸</v>
          </cell>
          <cell r="J4584">
            <v>45923</v>
          </cell>
          <cell r="K4584">
            <v>3</v>
          </cell>
        </row>
        <row r="4585">
          <cell r="C4585" t="str">
            <v>黃胤綸</v>
          </cell>
          <cell r="J4585">
            <v>45923</v>
          </cell>
          <cell r="K4585">
            <v>5</v>
          </cell>
        </row>
        <row r="4586">
          <cell r="C4586" t="str">
            <v>黃胤綸</v>
          </cell>
          <cell r="J4586">
            <v>45924</v>
          </cell>
          <cell r="K4586">
            <v>6</v>
          </cell>
        </row>
        <row r="4587">
          <cell r="C4587" t="str">
            <v>黃胤綸</v>
          </cell>
          <cell r="J4587">
            <v>45924</v>
          </cell>
          <cell r="K4587">
            <v>2</v>
          </cell>
        </row>
        <row r="4588">
          <cell r="C4588" t="str">
            <v>黃胤綸</v>
          </cell>
          <cell r="J4588">
            <v>45925</v>
          </cell>
          <cell r="K4588">
            <v>8</v>
          </cell>
        </row>
        <row r="4589">
          <cell r="C4589" t="str">
            <v>黃胤綸</v>
          </cell>
          <cell r="J4589">
            <v>45926</v>
          </cell>
          <cell r="K4589">
            <v>8</v>
          </cell>
        </row>
        <row r="4590">
          <cell r="C4590" t="str">
            <v>黃胤綸</v>
          </cell>
          <cell r="J4590">
            <v>45930</v>
          </cell>
          <cell r="K4590">
            <v>3</v>
          </cell>
        </row>
        <row r="4591">
          <cell r="C4591" t="str">
            <v>黃胤綸</v>
          </cell>
          <cell r="J4591">
            <v>45930</v>
          </cell>
          <cell r="K4591">
            <v>5</v>
          </cell>
        </row>
        <row r="4592">
          <cell r="C4592" t="str">
            <v>黃胤綸</v>
          </cell>
          <cell r="J4592">
            <v>45931</v>
          </cell>
          <cell r="K4592">
            <v>7</v>
          </cell>
        </row>
        <row r="4593">
          <cell r="C4593" t="str">
            <v>黃胤綸</v>
          </cell>
          <cell r="J4593">
            <v>45931</v>
          </cell>
          <cell r="K4593">
            <v>1</v>
          </cell>
        </row>
        <row r="4594">
          <cell r="C4594" t="str">
            <v>黃胤綸</v>
          </cell>
          <cell r="J4594">
            <v>45932</v>
          </cell>
          <cell r="K4594">
            <v>2</v>
          </cell>
        </row>
        <row r="4595">
          <cell r="C4595" t="str">
            <v>黃胤綸</v>
          </cell>
          <cell r="J4595">
            <v>45932</v>
          </cell>
          <cell r="K4595">
            <v>3</v>
          </cell>
        </row>
        <row r="4596">
          <cell r="C4596" t="str">
            <v>黃胤綸</v>
          </cell>
          <cell r="F4596" t="str">
            <v>D250101R1</v>
          </cell>
          <cell r="J4596">
            <v>45932</v>
          </cell>
          <cell r="K4596">
            <v>3</v>
          </cell>
        </row>
        <row r="4597">
          <cell r="C4597" t="str">
            <v>黃胤綸</v>
          </cell>
          <cell r="J4597">
            <v>45933</v>
          </cell>
          <cell r="K4597">
            <v>5</v>
          </cell>
        </row>
        <row r="4598">
          <cell r="C4598" t="str">
            <v>黃胤綸</v>
          </cell>
          <cell r="J4598">
            <v>45933</v>
          </cell>
          <cell r="K4598">
            <v>3</v>
          </cell>
        </row>
        <row r="4599">
          <cell r="C4599" t="str">
            <v>黃胤綸</v>
          </cell>
          <cell r="J4599">
            <v>45937</v>
          </cell>
          <cell r="K4599">
            <v>8</v>
          </cell>
        </row>
        <row r="4600">
          <cell r="C4600" t="str">
            <v>黃胤綸</v>
          </cell>
          <cell r="F4600" t="str">
            <v>D250702R1</v>
          </cell>
          <cell r="J4600">
            <v>45938</v>
          </cell>
          <cell r="K4600">
            <v>3</v>
          </cell>
        </row>
        <row r="4601">
          <cell r="C4601" t="str">
            <v>黃胤綸</v>
          </cell>
          <cell r="J4601">
            <v>45938</v>
          </cell>
          <cell r="K4601">
            <v>5</v>
          </cell>
        </row>
        <row r="4602">
          <cell r="C4602" t="str">
            <v>黃胤綸</v>
          </cell>
          <cell r="J4602">
            <v>45939</v>
          </cell>
          <cell r="K4602">
            <v>5</v>
          </cell>
        </row>
        <row r="4603">
          <cell r="C4603" t="str">
            <v>黃胤綸</v>
          </cell>
          <cell r="J4603">
            <v>45939</v>
          </cell>
          <cell r="K4603">
            <v>2</v>
          </cell>
        </row>
        <row r="4604">
          <cell r="C4604" t="str">
            <v>黃胤綸</v>
          </cell>
          <cell r="J4604">
            <v>45939</v>
          </cell>
          <cell r="K4604">
            <v>1</v>
          </cell>
        </row>
        <row r="4605">
          <cell r="C4605" t="str">
            <v>黃胤綸</v>
          </cell>
          <cell r="J4605">
            <v>45943</v>
          </cell>
          <cell r="K4605">
            <v>3</v>
          </cell>
        </row>
        <row r="4606">
          <cell r="C4606" t="str">
            <v>黃胤綸</v>
          </cell>
          <cell r="F4606" t="str">
            <v>D250101R1</v>
          </cell>
          <cell r="J4606">
            <v>45943</v>
          </cell>
          <cell r="K4606">
            <v>5</v>
          </cell>
        </row>
        <row r="4607">
          <cell r="C4607" t="str">
            <v>黃胤綸</v>
          </cell>
          <cell r="J4607">
            <v>45944</v>
          </cell>
          <cell r="K4607">
            <v>5</v>
          </cell>
        </row>
        <row r="4608">
          <cell r="C4608" t="str">
            <v>黃胤綸</v>
          </cell>
          <cell r="J4608">
            <v>45944</v>
          </cell>
          <cell r="K4608">
            <v>3</v>
          </cell>
        </row>
        <row r="4609">
          <cell r="C4609" t="str">
            <v>黃胤綸</v>
          </cell>
          <cell r="J4609">
            <v>45945</v>
          </cell>
          <cell r="K4609">
            <v>8</v>
          </cell>
        </row>
        <row r="4610">
          <cell r="C4610" t="str">
            <v>黃胤綸</v>
          </cell>
          <cell r="J4610">
            <v>45946</v>
          </cell>
          <cell r="K4610">
            <v>3</v>
          </cell>
        </row>
        <row r="4611">
          <cell r="C4611" t="str">
            <v>黃胤綸</v>
          </cell>
          <cell r="J4611">
            <v>45946</v>
          </cell>
          <cell r="K4611">
            <v>5</v>
          </cell>
        </row>
        <row r="4612">
          <cell r="C4612" t="str">
            <v>黃胤綸</v>
          </cell>
          <cell r="J4612">
            <v>45947</v>
          </cell>
          <cell r="K4612">
            <v>6</v>
          </cell>
        </row>
        <row r="4613">
          <cell r="C4613" t="str">
            <v>黃胤綸</v>
          </cell>
          <cell r="J4613">
            <v>45947</v>
          </cell>
          <cell r="K4613">
            <v>2</v>
          </cell>
        </row>
        <row r="4614">
          <cell r="C4614" t="str">
            <v>黃胤綸</v>
          </cell>
          <cell r="J4614">
            <v>45950</v>
          </cell>
          <cell r="K4614">
            <v>8</v>
          </cell>
        </row>
        <row r="4615">
          <cell r="C4615" t="str">
            <v>黃胤綸</v>
          </cell>
          <cell r="J4615">
            <v>45951</v>
          </cell>
          <cell r="K4615">
            <v>7</v>
          </cell>
        </row>
        <row r="4616">
          <cell r="C4616" t="str">
            <v>黃胤綸</v>
          </cell>
          <cell r="J4616">
            <v>45951</v>
          </cell>
          <cell r="K4616">
            <v>1</v>
          </cell>
        </row>
        <row r="4617">
          <cell r="C4617" t="str">
            <v>黃胤綸</v>
          </cell>
          <cell r="J4617">
            <v>45952</v>
          </cell>
          <cell r="K4617">
            <v>8</v>
          </cell>
        </row>
        <row r="4618">
          <cell r="C4618" t="str">
            <v>黃胤綸</v>
          </cell>
          <cell r="J4618">
            <v>45953</v>
          </cell>
          <cell r="K4618">
            <v>8</v>
          </cell>
        </row>
        <row r="4619">
          <cell r="C4619" t="str">
            <v>黃胤綸</v>
          </cell>
          <cell r="J4619">
            <v>45957</v>
          </cell>
          <cell r="K4619">
            <v>8</v>
          </cell>
        </row>
        <row r="4620">
          <cell r="C4620" t="str">
            <v>黃胤綸</v>
          </cell>
          <cell r="J4620">
            <v>45958</v>
          </cell>
          <cell r="K4620">
            <v>3</v>
          </cell>
        </row>
        <row r="4621">
          <cell r="C4621" t="str">
            <v>黃胤綸</v>
          </cell>
          <cell r="J4621">
            <v>45958</v>
          </cell>
          <cell r="K4621">
            <v>5</v>
          </cell>
        </row>
        <row r="4622">
          <cell r="C4622" t="str">
            <v>黃胤綸</v>
          </cell>
          <cell r="J4622">
            <v>45959</v>
          </cell>
          <cell r="K4622">
            <v>4</v>
          </cell>
        </row>
        <row r="4623">
          <cell r="C4623" t="str">
            <v>黃胤綸</v>
          </cell>
          <cell r="F4623" t="str">
            <v>D250101R1</v>
          </cell>
          <cell r="J4623">
            <v>45959</v>
          </cell>
          <cell r="K4623">
            <v>4</v>
          </cell>
        </row>
        <row r="4624">
          <cell r="C4624" t="str">
            <v>黃胤綸</v>
          </cell>
          <cell r="F4624" t="str">
            <v>D250702R1</v>
          </cell>
          <cell r="J4624">
            <v>45960</v>
          </cell>
          <cell r="K4624">
            <v>3</v>
          </cell>
        </row>
        <row r="4625">
          <cell r="C4625" t="str">
            <v>黃胤綸</v>
          </cell>
          <cell r="J4625">
            <v>45960</v>
          </cell>
          <cell r="K4625">
            <v>1</v>
          </cell>
        </row>
        <row r="4626">
          <cell r="C4626" t="str">
            <v>黃胤綸</v>
          </cell>
          <cell r="F4626" t="str">
            <v>D250101R1</v>
          </cell>
          <cell r="J4626">
            <v>45960</v>
          </cell>
          <cell r="K4626">
            <v>4</v>
          </cell>
        </row>
        <row r="4627">
          <cell r="C4627" t="str">
            <v>黃胤綸</v>
          </cell>
          <cell r="J4627">
            <v>45961</v>
          </cell>
          <cell r="K4627">
            <v>1.5</v>
          </cell>
        </row>
        <row r="4628">
          <cell r="C4628" t="str">
            <v>黃胤綸</v>
          </cell>
          <cell r="F4628" t="str">
            <v>D250101R1</v>
          </cell>
          <cell r="J4628">
            <v>45961</v>
          </cell>
          <cell r="K4628">
            <v>6.5</v>
          </cell>
        </row>
        <row r="4629">
          <cell r="C4629" t="str">
            <v>黃胤綸</v>
          </cell>
          <cell r="J4629">
            <v>45964</v>
          </cell>
          <cell r="K4629">
            <v>5</v>
          </cell>
        </row>
        <row r="4630">
          <cell r="C4630" t="str">
            <v>黃胤綸</v>
          </cell>
          <cell r="F4630" t="str">
            <v>D250101R1</v>
          </cell>
          <cell r="J4630">
            <v>45964</v>
          </cell>
          <cell r="K4630">
            <v>3</v>
          </cell>
        </row>
        <row r="4631">
          <cell r="C4631" t="str">
            <v>黃胤綸</v>
          </cell>
          <cell r="J4631">
            <v>45965</v>
          </cell>
          <cell r="K4631">
            <v>1</v>
          </cell>
        </row>
        <row r="4632">
          <cell r="C4632" t="str">
            <v>黃胤綸</v>
          </cell>
          <cell r="F4632" t="str">
            <v>D250101R1</v>
          </cell>
          <cell r="J4632">
            <v>45965</v>
          </cell>
          <cell r="K4632">
            <v>7</v>
          </cell>
        </row>
        <row r="4633">
          <cell r="C4633" t="str">
            <v>黃胤綸</v>
          </cell>
          <cell r="J4633">
            <v>45966</v>
          </cell>
          <cell r="K4633">
            <v>2</v>
          </cell>
        </row>
        <row r="4634">
          <cell r="C4634" t="str">
            <v>黃胤綸</v>
          </cell>
          <cell r="F4634" t="str">
            <v>M250201C1</v>
          </cell>
          <cell r="J4634">
            <v>45966</v>
          </cell>
          <cell r="K4634">
            <v>6</v>
          </cell>
        </row>
        <row r="4635">
          <cell r="C4635" t="str">
            <v>黃胤綸</v>
          </cell>
          <cell r="J4635">
            <v>45967</v>
          </cell>
          <cell r="K4635">
            <v>4</v>
          </cell>
        </row>
        <row r="4636">
          <cell r="C4636" t="str">
            <v>黃胤綸</v>
          </cell>
          <cell r="F4636" t="str">
            <v>M250201C1</v>
          </cell>
          <cell r="J4636">
            <v>45967</v>
          </cell>
          <cell r="K4636">
            <v>4</v>
          </cell>
        </row>
        <row r="4637">
          <cell r="C4637" t="str">
            <v>黃胤綸</v>
          </cell>
          <cell r="J4637">
            <v>45968</v>
          </cell>
          <cell r="K4637">
            <v>1.5</v>
          </cell>
        </row>
        <row r="4638">
          <cell r="C4638" t="str">
            <v>黃胤綸</v>
          </cell>
          <cell r="F4638" t="str">
            <v>M250201C1</v>
          </cell>
          <cell r="J4638">
            <v>45968</v>
          </cell>
          <cell r="K4638">
            <v>6.5</v>
          </cell>
        </row>
        <row r="4639">
          <cell r="C4639" t="str">
            <v>黃胤綸</v>
          </cell>
          <cell r="J4639">
            <v>45971</v>
          </cell>
          <cell r="K4639">
            <v>8</v>
          </cell>
        </row>
        <row r="4640">
          <cell r="C4640" t="str">
            <v>黃胤綸</v>
          </cell>
          <cell r="J4640">
            <v>45972</v>
          </cell>
          <cell r="K4640">
            <v>5</v>
          </cell>
        </row>
        <row r="4641">
          <cell r="C4641" t="str">
            <v>黃胤綸</v>
          </cell>
          <cell r="J4641">
            <v>45972</v>
          </cell>
          <cell r="K4641">
            <v>3</v>
          </cell>
        </row>
        <row r="4642">
          <cell r="C4642" t="str">
            <v>黃胤綸</v>
          </cell>
          <cell r="J4642">
            <v>45973</v>
          </cell>
          <cell r="K4642">
            <v>5.5</v>
          </cell>
        </row>
        <row r="4643">
          <cell r="C4643" t="str">
            <v>黃胤綸</v>
          </cell>
          <cell r="F4643" t="str">
            <v>M250201C1</v>
          </cell>
          <cell r="J4643">
            <v>45973</v>
          </cell>
          <cell r="K4643">
            <v>2.5</v>
          </cell>
        </row>
        <row r="4644">
          <cell r="C4644" t="str">
            <v>黃胤綸</v>
          </cell>
          <cell r="F4644" t="str">
            <v>M250201C1</v>
          </cell>
          <cell r="J4644">
            <v>45974</v>
          </cell>
          <cell r="K4644">
            <v>8</v>
          </cell>
        </row>
        <row r="4645">
          <cell r="C4645" t="str">
            <v>黃胤綸</v>
          </cell>
          <cell r="J4645">
            <v>45975</v>
          </cell>
          <cell r="K4645">
            <v>8</v>
          </cell>
        </row>
        <row r="4646">
          <cell r="C4646" t="str">
            <v>黃胤綸</v>
          </cell>
          <cell r="F4646" t="str">
            <v>M251001R1</v>
          </cell>
          <cell r="J4646">
            <v>45978</v>
          </cell>
          <cell r="K4646">
            <v>4</v>
          </cell>
        </row>
        <row r="4647">
          <cell r="C4647" t="str">
            <v>黃胤綸</v>
          </cell>
          <cell r="J4647">
            <v>45978</v>
          </cell>
          <cell r="K4647">
            <v>4</v>
          </cell>
        </row>
        <row r="4648">
          <cell r="C4648" t="str">
            <v>黃胤綸</v>
          </cell>
          <cell r="J4648">
            <v>45979</v>
          </cell>
          <cell r="K4648">
            <v>4</v>
          </cell>
        </row>
        <row r="4649">
          <cell r="C4649" t="str">
            <v>黃胤綸</v>
          </cell>
          <cell r="J4649">
            <v>45979</v>
          </cell>
          <cell r="K4649">
            <v>4</v>
          </cell>
        </row>
        <row r="4650">
          <cell r="C4650" t="str">
            <v>黃胤綸</v>
          </cell>
          <cell r="J4650">
            <v>45980</v>
          </cell>
          <cell r="K4650">
            <v>3</v>
          </cell>
        </row>
        <row r="4651">
          <cell r="C4651" t="str">
            <v>黃胤綸</v>
          </cell>
          <cell r="F4651" t="str">
            <v>D250501R1</v>
          </cell>
          <cell r="J4651">
            <v>45980</v>
          </cell>
          <cell r="K4651">
            <v>5</v>
          </cell>
        </row>
        <row r="4652">
          <cell r="C4652" t="str">
            <v>黃胤綸</v>
          </cell>
          <cell r="J4652">
            <v>45981</v>
          </cell>
          <cell r="K4652">
            <v>8</v>
          </cell>
        </row>
        <row r="4653">
          <cell r="C4653" t="str">
            <v>黃胤綸</v>
          </cell>
          <cell r="J4653">
            <v>45982</v>
          </cell>
          <cell r="K4653">
            <v>8</v>
          </cell>
        </row>
        <row r="4654">
          <cell r="C4654" t="str">
            <v>黃胤綸</v>
          </cell>
          <cell r="J4654">
            <v>45985</v>
          </cell>
          <cell r="K4654">
            <v>8</v>
          </cell>
        </row>
        <row r="4655">
          <cell r="C4655" t="str">
            <v>黃胤綸</v>
          </cell>
          <cell r="J4655">
            <v>45986</v>
          </cell>
          <cell r="K4655">
            <v>5</v>
          </cell>
        </row>
        <row r="4656">
          <cell r="C4656" t="str">
            <v>黃胤綸</v>
          </cell>
          <cell r="F4656" t="str">
            <v>M251001R1</v>
          </cell>
          <cell r="J4656">
            <v>45986</v>
          </cell>
          <cell r="K4656">
            <v>3</v>
          </cell>
        </row>
        <row r="4657">
          <cell r="C4657" t="str">
            <v>黃胤綸</v>
          </cell>
          <cell r="J4657">
            <v>45987</v>
          </cell>
          <cell r="K4657">
            <v>6</v>
          </cell>
        </row>
        <row r="4658">
          <cell r="C4658" t="str">
            <v>黃胤綸</v>
          </cell>
          <cell r="F4658" t="str">
            <v>M251001R1</v>
          </cell>
          <cell r="J4658">
            <v>45987</v>
          </cell>
          <cell r="K4658">
            <v>2</v>
          </cell>
        </row>
        <row r="4659">
          <cell r="C4659" t="str">
            <v>黃胤綸</v>
          </cell>
          <cell r="J4659">
            <v>45988</v>
          </cell>
          <cell r="K4659">
            <v>3</v>
          </cell>
        </row>
        <row r="4660">
          <cell r="C4660" t="str">
            <v>黃胤綸</v>
          </cell>
          <cell r="F4660" t="str">
            <v>D250702R1</v>
          </cell>
          <cell r="J4660">
            <v>45988</v>
          </cell>
          <cell r="K4660">
            <v>2</v>
          </cell>
        </row>
        <row r="4661">
          <cell r="C4661" t="str">
            <v>黃胤綸</v>
          </cell>
          <cell r="J4661">
            <v>45988</v>
          </cell>
          <cell r="K4661">
            <v>3</v>
          </cell>
        </row>
        <row r="4662">
          <cell r="C4662" t="str">
            <v>黃胤綸</v>
          </cell>
          <cell r="J4662">
            <v>45989</v>
          </cell>
          <cell r="K4662">
            <v>4</v>
          </cell>
        </row>
        <row r="4663">
          <cell r="C4663" t="str">
            <v>黃胤綸</v>
          </cell>
          <cell r="F4663" t="str">
            <v>M251001R1</v>
          </cell>
          <cell r="J4663">
            <v>45989</v>
          </cell>
          <cell r="K4663">
            <v>1</v>
          </cell>
        </row>
        <row r="4664">
          <cell r="C4664" t="str">
            <v>黃胤綸</v>
          </cell>
          <cell r="F4664" t="str">
            <v>M251001R1</v>
          </cell>
          <cell r="J4664">
            <v>45989</v>
          </cell>
          <cell r="K4664">
            <v>1</v>
          </cell>
        </row>
        <row r="4665">
          <cell r="C4665" t="str">
            <v>黃胤綸</v>
          </cell>
          <cell r="F4665" t="str">
            <v>K251001R1</v>
          </cell>
          <cell r="J4665">
            <v>45989</v>
          </cell>
          <cell r="K4665">
            <v>2</v>
          </cell>
        </row>
        <row r="4666">
          <cell r="C4666" t="str">
            <v>黃胤綸</v>
          </cell>
          <cell r="J4666">
            <v>45992</v>
          </cell>
          <cell r="K4666">
            <v>5</v>
          </cell>
        </row>
        <row r="4667">
          <cell r="C4667" t="str">
            <v>黃胤綸</v>
          </cell>
          <cell r="J4667">
            <v>45992</v>
          </cell>
          <cell r="K4667">
            <v>3</v>
          </cell>
        </row>
        <row r="4668">
          <cell r="C4668" t="str">
            <v>黃胤綸</v>
          </cell>
          <cell r="J4668">
            <v>45993</v>
          </cell>
          <cell r="K4668">
            <v>6</v>
          </cell>
        </row>
        <row r="4669">
          <cell r="C4669" t="str">
            <v>黃胤綸</v>
          </cell>
          <cell r="F4669" t="str">
            <v>M250201C1</v>
          </cell>
          <cell r="J4669">
            <v>45993</v>
          </cell>
          <cell r="K4669">
            <v>2</v>
          </cell>
        </row>
        <row r="4670">
          <cell r="C4670" t="str">
            <v>黃胤綸</v>
          </cell>
          <cell r="J4670">
            <v>45994</v>
          </cell>
          <cell r="K4670">
            <v>8</v>
          </cell>
        </row>
        <row r="4671">
          <cell r="C4671" t="str">
            <v>黃胤綸</v>
          </cell>
          <cell r="J4671">
            <v>45995</v>
          </cell>
          <cell r="K4671">
            <v>8</v>
          </cell>
        </row>
        <row r="4672">
          <cell r="C4672" t="str">
            <v>黃胤綸</v>
          </cell>
          <cell r="J4672">
            <v>45996</v>
          </cell>
          <cell r="K4672">
            <v>8</v>
          </cell>
        </row>
        <row r="4673">
          <cell r="C4673" t="str">
            <v>黃胤綸</v>
          </cell>
          <cell r="J4673">
            <v>45999</v>
          </cell>
          <cell r="K4673">
            <v>5</v>
          </cell>
        </row>
        <row r="4674">
          <cell r="C4674" t="str">
            <v>黃胤綸</v>
          </cell>
          <cell r="F4674" t="str">
            <v>M250201C1</v>
          </cell>
          <cell r="J4674">
            <v>45999</v>
          </cell>
          <cell r="K4674">
            <v>3</v>
          </cell>
        </row>
        <row r="4675">
          <cell r="C4675" t="str">
            <v>黃胤綸</v>
          </cell>
          <cell r="J4675">
            <v>46000</v>
          </cell>
          <cell r="K4675">
            <v>3</v>
          </cell>
        </row>
        <row r="4676">
          <cell r="C4676" t="str">
            <v>黃胤綸</v>
          </cell>
          <cell r="F4676" t="str">
            <v>D250101R1</v>
          </cell>
          <cell r="J4676">
            <v>46000</v>
          </cell>
          <cell r="K4676">
            <v>5</v>
          </cell>
        </row>
        <row r="4677">
          <cell r="C4677" t="str">
            <v>黃胤綸</v>
          </cell>
          <cell r="J4677">
            <v>46001</v>
          </cell>
          <cell r="K4677">
            <v>5</v>
          </cell>
        </row>
        <row r="4678">
          <cell r="C4678" t="str">
            <v>黃胤綸</v>
          </cell>
          <cell r="J4678">
            <v>46001</v>
          </cell>
          <cell r="K4678">
            <v>3</v>
          </cell>
        </row>
        <row r="4679">
          <cell r="C4679" t="str">
            <v>黃胤綸</v>
          </cell>
          <cell r="J4679">
            <v>46002</v>
          </cell>
          <cell r="K4679">
            <v>3</v>
          </cell>
        </row>
        <row r="4680">
          <cell r="C4680" t="str">
            <v>黃胤綸</v>
          </cell>
          <cell r="J4680">
            <v>46002</v>
          </cell>
          <cell r="K4680">
            <v>2</v>
          </cell>
        </row>
        <row r="4681">
          <cell r="C4681" t="str">
            <v>黃胤綸</v>
          </cell>
          <cell r="F4681" t="str">
            <v>M250201C1</v>
          </cell>
          <cell r="J4681">
            <v>46002</v>
          </cell>
          <cell r="K4681">
            <v>3</v>
          </cell>
        </row>
        <row r="4682">
          <cell r="C4682" t="str">
            <v>黃胤綸</v>
          </cell>
          <cell r="J4682">
            <v>46003</v>
          </cell>
          <cell r="K4682">
            <v>5.5</v>
          </cell>
        </row>
        <row r="4683">
          <cell r="C4683" t="str">
            <v>黃胤綸</v>
          </cell>
          <cell r="F4683" t="str">
            <v>M250201C1</v>
          </cell>
          <cell r="J4683">
            <v>46003</v>
          </cell>
          <cell r="K4683">
            <v>0.5</v>
          </cell>
        </row>
        <row r="4684">
          <cell r="C4684" t="str">
            <v>黃胤綸</v>
          </cell>
          <cell r="F4684" t="str">
            <v>D250101R1</v>
          </cell>
          <cell r="J4684">
            <v>46003</v>
          </cell>
          <cell r="K4684">
            <v>2</v>
          </cell>
        </row>
        <row r="4685">
          <cell r="C4685" t="str">
            <v>黃胤綸</v>
          </cell>
          <cell r="J4685">
            <v>46006</v>
          </cell>
          <cell r="K4685">
            <v>4</v>
          </cell>
        </row>
        <row r="4686">
          <cell r="C4686" t="str">
            <v>黃胤綸</v>
          </cell>
          <cell r="J4686">
            <v>46006</v>
          </cell>
          <cell r="K4686">
            <v>4</v>
          </cell>
        </row>
        <row r="4687">
          <cell r="C4687" t="str">
            <v>黃胤綸</v>
          </cell>
          <cell r="F4687" t="str">
            <v>M251001R1</v>
          </cell>
          <cell r="J4687">
            <v>46007</v>
          </cell>
          <cell r="K4687">
            <v>2</v>
          </cell>
        </row>
        <row r="4688">
          <cell r="C4688" t="str">
            <v>黃胤綸</v>
          </cell>
          <cell r="F4688" t="str">
            <v>D250101R1</v>
          </cell>
          <cell r="J4688">
            <v>46007</v>
          </cell>
          <cell r="K4688">
            <v>6</v>
          </cell>
        </row>
        <row r="4689">
          <cell r="C4689" t="str">
            <v>黃胤綸</v>
          </cell>
          <cell r="J4689">
            <v>46008</v>
          </cell>
          <cell r="K4689">
            <v>8</v>
          </cell>
        </row>
        <row r="4690">
          <cell r="C4690" t="str">
            <v>黃胤綸</v>
          </cell>
          <cell r="J4690">
            <v>46009</v>
          </cell>
          <cell r="K4690">
            <v>3</v>
          </cell>
        </row>
        <row r="4691">
          <cell r="C4691" t="str">
            <v>黃胤綸</v>
          </cell>
          <cell r="F4691" t="str">
            <v>M251001R1</v>
          </cell>
          <cell r="J4691">
            <v>46009</v>
          </cell>
          <cell r="K4691">
            <v>5</v>
          </cell>
        </row>
        <row r="4692">
          <cell r="C4692" t="str">
            <v>黃胤綸</v>
          </cell>
          <cell r="J4692">
            <v>46010</v>
          </cell>
          <cell r="K4692">
            <v>3</v>
          </cell>
        </row>
        <row r="4693">
          <cell r="C4693" t="str">
            <v>黃胤綸</v>
          </cell>
          <cell r="F4693" t="str">
            <v>D250101R1</v>
          </cell>
          <cell r="J4693">
            <v>46010</v>
          </cell>
          <cell r="K4693">
            <v>5</v>
          </cell>
        </row>
        <row r="4694">
          <cell r="C4694" t="str">
            <v>黃胤綸</v>
          </cell>
          <cell r="J4694">
            <v>46013</v>
          </cell>
          <cell r="K4694">
            <v>8</v>
          </cell>
        </row>
        <row r="4695">
          <cell r="C4695" t="str">
            <v>黃胤綸</v>
          </cell>
          <cell r="J4695">
            <v>46014</v>
          </cell>
          <cell r="K4695">
            <v>8</v>
          </cell>
        </row>
        <row r="4696">
          <cell r="C4696" t="str">
            <v>黃胤綸</v>
          </cell>
          <cell r="J4696">
            <v>46015</v>
          </cell>
          <cell r="K4696">
            <v>2</v>
          </cell>
        </row>
        <row r="4697">
          <cell r="C4697" t="str">
            <v>黃胤綸</v>
          </cell>
          <cell r="J4697">
            <v>46015</v>
          </cell>
          <cell r="K4697">
            <v>5</v>
          </cell>
        </row>
        <row r="4698">
          <cell r="C4698" t="str">
            <v>黃胤綸</v>
          </cell>
          <cell r="J4698">
            <v>46015</v>
          </cell>
          <cell r="K4698">
            <v>1</v>
          </cell>
        </row>
        <row r="4699">
          <cell r="C4699" t="str">
            <v>黃胤綸</v>
          </cell>
          <cell r="J4699">
            <v>46017</v>
          </cell>
          <cell r="K4699">
            <v>8</v>
          </cell>
        </row>
        <row r="4700">
          <cell r="C4700" t="str">
            <v>黃胤綸</v>
          </cell>
          <cell r="J4700">
            <v>46020</v>
          </cell>
          <cell r="K4700">
            <v>3</v>
          </cell>
        </row>
        <row r="4701">
          <cell r="C4701" t="str">
            <v>黃胤綸</v>
          </cell>
          <cell r="J4701">
            <v>46020</v>
          </cell>
          <cell r="K4701">
            <v>5</v>
          </cell>
        </row>
        <row r="4702">
          <cell r="C4702" t="str">
            <v>黃胤綸</v>
          </cell>
          <cell r="J4702">
            <v>46021</v>
          </cell>
          <cell r="K4702">
            <v>6</v>
          </cell>
        </row>
        <row r="4703">
          <cell r="C4703" t="str">
            <v>黃胤綸</v>
          </cell>
          <cell r="J4703">
            <v>46021</v>
          </cell>
          <cell r="K4703">
            <v>2</v>
          </cell>
        </row>
        <row r="4704">
          <cell r="C4704" t="str">
            <v>黃胤綸</v>
          </cell>
          <cell r="F4704" t="str">
            <v>D250101R1</v>
          </cell>
          <cell r="J4704">
            <v>46022</v>
          </cell>
          <cell r="K4704">
            <v>8</v>
          </cell>
        </row>
        <row r="4705">
          <cell r="C4705" t="str">
            <v>黃胤綸</v>
          </cell>
          <cell r="J4705">
            <v>46024</v>
          </cell>
          <cell r="K4705">
            <v>7</v>
          </cell>
        </row>
        <row r="4706">
          <cell r="C4706" t="str">
            <v>黃胤綸</v>
          </cell>
          <cell r="J4706">
            <v>46024</v>
          </cell>
          <cell r="K4706">
            <v>1</v>
          </cell>
        </row>
        <row r="4707">
          <cell r="C4707" t="str">
            <v>黃胤綸</v>
          </cell>
          <cell r="J4707">
            <v>46027</v>
          </cell>
          <cell r="K4707">
            <v>6</v>
          </cell>
        </row>
        <row r="4708">
          <cell r="C4708" t="str">
            <v>黃胤綸</v>
          </cell>
          <cell r="J4708">
            <v>46027</v>
          </cell>
          <cell r="K4708">
            <v>2</v>
          </cell>
        </row>
        <row r="4709">
          <cell r="C4709" t="str">
            <v>黃胤綸</v>
          </cell>
          <cell r="J4709">
            <v>46028</v>
          </cell>
          <cell r="K4709">
            <v>3</v>
          </cell>
        </row>
        <row r="4710">
          <cell r="C4710" t="str">
            <v>黃胤綸</v>
          </cell>
          <cell r="J4710">
            <v>46028</v>
          </cell>
          <cell r="K4710">
            <v>5</v>
          </cell>
        </row>
        <row r="4711">
          <cell r="C4711" t="str">
            <v>黃胤綸</v>
          </cell>
          <cell r="J4711">
            <v>46029</v>
          </cell>
          <cell r="K4711">
            <v>2</v>
          </cell>
        </row>
        <row r="4712">
          <cell r="C4712" t="str">
            <v>黃胤綸</v>
          </cell>
          <cell r="J4712">
            <v>46029</v>
          </cell>
          <cell r="K4712">
            <v>5</v>
          </cell>
        </row>
        <row r="4713">
          <cell r="C4713" t="str">
            <v>黃胤綸</v>
          </cell>
          <cell r="J4713">
            <v>46029</v>
          </cell>
          <cell r="K4713">
            <v>1</v>
          </cell>
        </row>
        <row r="4714">
          <cell r="C4714" t="str">
            <v>黃胤綸</v>
          </cell>
          <cell r="J4714">
            <v>46030</v>
          </cell>
          <cell r="K4714">
            <v>3</v>
          </cell>
        </row>
        <row r="4715">
          <cell r="C4715" t="str">
            <v>黃胤綸</v>
          </cell>
          <cell r="J4715">
            <v>46030</v>
          </cell>
          <cell r="K4715">
            <v>5</v>
          </cell>
        </row>
        <row r="4716">
          <cell r="C4716" t="str">
            <v>黃胤綸</v>
          </cell>
          <cell r="J4716">
            <v>46031</v>
          </cell>
          <cell r="K4716">
            <v>5</v>
          </cell>
        </row>
        <row r="4717">
          <cell r="C4717" t="str">
            <v>黃胤綸</v>
          </cell>
          <cell r="J4717">
            <v>46031</v>
          </cell>
          <cell r="K4717">
            <v>3</v>
          </cell>
        </row>
        <row r="4718">
          <cell r="C4718" t="str">
            <v>黃胤綸</v>
          </cell>
          <cell r="J4718">
            <v>46034</v>
          </cell>
          <cell r="K4718">
            <v>2</v>
          </cell>
        </row>
        <row r="4719">
          <cell r="C4719" t="str">
            <v>黃胤綸</v>
          </cell>
          <cell r="J4719">
            <v>46034</v>
          </cell>
          <cell r="K4719">
            <v>6</v>
          </cell>
        </row>
        <row r="4720">
          <cell r="C4720" t="str">
            <v>黃胤綸</v>
          </cell>
          <cell r="F4720" t="str">
            <v>D250101R1</v>
          </cell>
          <cell r="J4720">
            <v>46035</v>
          </cell>
          <cell r="K4720">
            <v>8</v>
          </cell>
        </row>
        <row r="4721">
          <cell r="C4721" t="str">
            <v>黃胤綸</v>
          </cell>
          <cell r="F4721" t="str">
            <v>M250201C1</v>
          </cell>
          <cell r="J4721">
            <v>46036</v>
          </cell>
          <cell r="K4721">
            <v>8</v>
          </cell>
        </row>
        <row r="4722">
          <cell r="C4722" t="str">
            <v>黃胤綸</v>
          </cell>
          <cell r="J4722">
            <v>46037</v>
          </cell>
          <cell r="K4722">
            <v>8</v>
          </cell>
        </row>
        <row r="4723">
          <cell r="C4723" t="str">
            <v>黃胤綸</v>
          </cell>
          <cell r="F4723" t="str">
            <v>M250201C1</v>
          </cell>
          <cell r="J4723">
            <v>46038</v>
          </cell>
          <cell r="K4723">
            <v>8</v>
          </cell>
        </row>
        <row r="4724">
          <cell r="C4724" t="str">
            <v>黃胤綸</v>
          </cell>
          <cell r="J4724">
            <v>46041</v>
          </cell>
          <cell r="K4724">
            <v>3</v>
          </cell>
        </row>
        <row r="4725">
          <cell r="C4725" t="str">
            <v>黃胤綸</v>
          </cell>
          <cell r="J4725">
            <v>46041</v>
          </cell>
          <cell r="K4725">
            <v>5</v>
          </cell>
        </row>
        <row r="4726">
          <cell r="C4726" t="str">
            <v>黃胤綸</v>
          </cell>
          <cell r="J4726">
            <v>46042</v>
          </cell>
          <cell r="K4726">
            <v>4</v>
          </cell>
        </row>
        <row r="4727">
          <cell r="C4727" t="str">
            <v>黃胤綸</v>
          </cell>
          <cell r="J4727">
            <v>46042</v>
          </cell>
          <cell r="K4727">
            <v>2</v>
          </cell>
        </row>
        <row r="4728">
          <cell r="C4728" t="str">
            <v>黃胤綸</v>
          </cell>
          <cell r="J4728">
            <v>46042</v>
          </cell>
          <cell r="K4728">
            <v>2</v>
          </cell>
        </row>
        <row r="4729">
          <cell r="C4729" t="str">
            <v>黃胤綸</v>
          </cell>
          <cell r="J4729">
            <v>46043</v>
          </cell>
          <cell r="K4729">
            <v>1</v>
          </cell>
        </row>
        <row r="4730">
          <cell r="C4730" t="str">
            <v>黃胤綸</v>
          </cell>
          <cell r="J4730">
            <v>46043</v>
          </cell>
          <cell r="K4730">
            <v>5</v>
          </cell>
        </row>
        <row r="4731">
          <cell r="C4731" t="str">
            <v>黃胤綸</v>
          </cell>
          <cell r="J4731">
            <v>46043</v>
          </cell>
          <cell r="K4731">
            <v>2</v>
          </cell>
        </row>
        <row r="4732">
          <cell r="C4732" t="str">
            <v>黃胤綸</v>
          </cell>
          <cell r="J4732">
            <v>46044</v>
          </cell>
          <cell r="K4732">
            <v>5</v>
          </cell>
        </row>
        <row r="4733">
          <cell r="C4733" t="str">
            <v>黃胤綸</v>
          </cell>
          <cell r="F4733" t="str">
            <v>D250101R1</v>
          </cell>
          <cell r="J4733">
            <v>46044</v>
          </cell>
          <cell r="K4733">
            <v>3</v>
          </cell>
        </row>
        <row r="4734">
          <cell r="C4734" t="str">
            <v>黃胤綸</v>
          </cell>
          <cell r="J4734">
            <v>46045</v>
          </cell>
          <cell r="K4734">
            <v>8</v>
          </cell>
        </row>
        <row r="4735">
          <cell r="C4735" t="str">
            <v>黃胤綸</v>
          </cell>
          <cell r="J4735">
            <v>46048</v>
          </cell>
          <cell r="K4735">
            <v>4</v>
          </cell>
        </row>
        <row r="4736">
          <cell r="C4736" t="str">
            <v>黃胤綸</v>
          </cell>
          <cell r="J4736">
            <v>46048</v>
          </cell>
          <cell r="K4736">
            <v>4</v>
          </cell>
        </row>
        <row r="4737">
          <cell r="C4737" t="str">
            <v>黃胤綸</v>
          </cell>
          <cell r="F4737" t="str">
            <v>D250101R1</v>
          </cell>
          <cell r="J4737">
            <v>46049</v>
          </cell>
          <cell r="K4737">
            <v>8</v>
          </cell>
        </row>
        <row r="4738">
          <cell r="C4738" t="str">
            <v>黃胤綸</v>
          </cell>
          <cell r="J4738">
            <v>46050</v>
          </cell>
          <cell r="K4738">
            <v>4</v>
          </cell>
        </row>
        <row r="4739">
          <cell r="C4739" t="str">
            <v>黃胤綸</v>
          </cell>
          <cell r="J4739">
            <v>46050</v>
          </cell>
          <cell r="K4739">
            <v>4</v>
          </cell>
        </row>
        <row r="4740">
          <cell r="C4740" t="str">
            <v>黃胤綸</v>
          </cell>
          <cell r="J4740">
            <v>46051</v>
          </cell>
          <cell r="K4740">
            <v>4</v>
          </cell>
        </row>
        <row r="4741">
          <cell r="C4741" t="str">
            <v>黃胤綸</v>
          </cell>
          <cell r="F4741" t="str">
            <v>M250201C1</v>
          </cell>
          <cell r="J4741">
            <v>46051</v>
          </cell>
          <cell r="K4741">
            <v>4</v>
          </cell>
        </row>
        <row r="4742">
          <cell r="C4742" t="str">
            <v>黃胤綸</v>
          </cell>
          <cell r="J4742">
            <v>46052</v>
          </cell>
          <cell r="K4742">
            <v>8</v>
          </cell>
        </row>
        <row r="4743">
          <cell r="C4743" t="str">
            <v>黃胤綸</v>
          </cell>
          <cell r="J4743">
            <v>46055</v>
          </cell>
          <cell r="K4743">
            <v>3</v>
          </cell>
        </row>
        <row r="4744">
          <cell r="C4744" t="str">
            <v>黃胤綸</v>
          </cell>
          <cell r="J4744">
            <v>46055</v>
          </cell>
          <cell r="K4744">
            <v>5</v>
          </cell>
        </row>
        <row r="4745">
          <cell r="C4745" t="str">
            <v>黃胤綸</v>
          </cell>
          <cell r="J4745">
            <v>46056</v>
          </cell>
          <cell r="K4745">
            <v>1</v>
          </cell>
        </row>
        <row r="4746">
          <cell r="C4746" t="str">
            <v>黃胤綸</v>
          </cell>
          <cell r="J4746">
            <v>46056</v>
          </cell>
          <cell r="K4746">
            <v>2</v>
          </cell>
        </row>
        <row r="4747">
          <cell r="C4747" t="str">
            <v>黃胤綸</v>
          </cell>
          <cell r="F4747" t="str">
            <v>M250201C1</v>
          </cell>
          <cell r="J4747">
            <v>46056</v>
          </cell>
          <cell r="K4747">
            <v>5</v>
          </cell>
        </row>
        <row r="4748">
          <cell r="C4748" t="str">
            <v>黃胤綸</v>
          </cell>
          <cell r="J4748">
            <v>46057</v>
          </cell>
          <cell r="K4748">
            <v>8</v>
          </cell>
        </row>
        <row r="4749">
          <cell r="C4749" t="str">
            <v>黃胤綸</v>
          </cell>
          <cell r="F4749" t="str">
            <v>D250101R1</v>
          </cell>
          <cell r="J4749">
            <v>46058</v>
          </cell>
          <cell r="K4749">
            <v>5</v>
          </cell>
        </row>
        <row r="4750">
          <cell r="C4750" t="str">
            <v>黃胤綸</v>
          </cell>
          <cell r="F4750" t="str">
            <v>M250201C1</v>
          </cell>
          <cell r="J4750">
            <v>46058</v>
          </cell>
          <cell r="K4750">
            <v>3</v>
          </cell>
        </row>
        <row r="4751">
          <cell r="C4751" t="str">
            <v>黃胤綸</v>
          </cell>
          <cell r="J4751">
            <v>46059</v>
          </cell>
          <cell r="K4751">
            <v>6</v>
          </cell>
        </row>
        <row r="4752">
          <cell r="C4752" t="str">
            <v>黃胤綸</v>
          </cell>
          <cell r="J4752">
            <v>46059</v>
          </cell>
          <cell r="K4752">
            <v>2</v>
          </cell>
        </row>
        <row r="4753">
          <cell r="C4753" t="str">
            <v>黃胤綸</v>
          </cell>
          <cell r="J4753">
            <v>46062</v>
          </cell>
          <cell r="K4753">
            <v>1</v>
          </cell>
        </row>
        <row r="4754">
          <cell r="C4754" t="str">
            <v>黃胤綸</v>
          </cell>
          <cell r="J4754">
            <v>46062</v>
          </cell>
          <cell r="K4754">
            <v>2</v>
          </cell>
        </row>
        <row r="4755">
          <cell r="C4755" t="str">
            <v>黃胤綸</v>
          </cell>
          <cell r="F4755" t="str">
            <v>D250101R1</v>
          </cell>
          <cell r="J4755">
            <v>46062</v>
          </cell>
          <cell r="K4755">
            <v>5</v>
          </cell>
        </row>
        <row r="4756">
          <cell r="C4756" t="str">
            <v>黃胤綸</v>
          </cell>
          <cell r="F4756" t="str">
            <v>D250101R1</v>
          </cell>
          <cell r="J4756">
            <v>46063</v>
          </cell>
          <cell r="K4756">
            <v>8</v>
          </cell>
        </row>
        <row r="4757">
          <cell r="C4757" t="str">
            <v>黃胤綸</v>
          </cell>
          <cell r="J4757">
            <v>46064</v>
          </cell>
          <cell r="K4757">
            <v>8</v>
          </cell>
        </row>
        <row r="4758">
          <cell r="C4758" t="str">
            <v>黃胤綸</v>
          </cell>
          <cell r="F4758" t="str">
            <v>M250201C1</v>
          </cell>
          <cell r="J4758">
            <v>46065</v>
          </cell>
          <cell r="K4758">
            <v>7</v>
          </cell>
        </row>
        <row r="4759">
          <cell r="C4759" t="str">
            <v>黃胤綸</v>
          </cell>
          <cell r="F4759" t="str">
            <v>M250201C1</v>
          </cell>
          <cell r="J4759">
            <v>46065</v>
          </cell>
          <cell r="K4759">
            <v>1</v>
          </cell>
        </row>
        <row r="4760">
          <cell r="C4760" t="str">
            <v>黃胤綸</v>
          </cell>
          <cell r="J4760">
            <v>46066</v>
          </cell>
          <cell r="K4760">
            <v>3</v>
          </cell>
        </row>
        <row r="4761">
          <cell r="C4761" t="str">
            <v>黃胤綸</v>
          </cell>
          <cell r="J4761">
            <v>46066</v>
          </cell>
          <cell r="K4761">
            <v>5</v>
          </cell>
        </row>
        <row r="4762">
          <cell r="C4762" t="str">
            <v>黃胤綸</v>
          </cell>
          <cell r="J4762">
            <v>46076</v>
          </cell>
          <cell r="K4762">
            <v>3</v>
          </cell>
        </row>
        <row r="4763">
          <cell r="C4763" t="str">
            <v>黃胤綸</v>
          </cell>
          <cell r="J4763">
            <v>46076</v>
          </cell>
          <cell r="K4763">
            <v>5</v>
          </cell>
        </row>
        <row r="4764">
          <cell r="C4764" t="str">
            <v>黃胤綸</v>
          </cell>
          <cell r="J4764">
            <v>46077</v>
          </cell>
          <cell r="K4764">
            <v>2</v>
          </cell>
        </row>
        <row r="4765">
          <cell r="C4765" t="str">
            <v>黃胤綸</v>
          </cell>
          <cell r="F4765" t="str">
            <v>E251001I1</v>
          </cell>
          <cell r="J4765">
            <v>46077</v>
          </cell>
          <cell r="K4765">
            <v>6</v>
          </cell>
        </row>
        <row r="4766">
          <cell r="C4766" t="str">
            <v>黃胤綸</v>
          </cell>
          <cell r="J4766">
            <v>46078</v>
          </cell>
          <cell r="K4766">
            <v>4</v>
          </cell>
        </row>
        <row r="4767">
          <cell r="C4767" t="str">
            <v>黃胤綸</v>
          </cell>
          <cell r="F4767" t="str">
            <v>M250201C1</v>
          </cell>
          <cell r="J4767">
            <v>46078</v>
          </cell>
          <cell r="K4767">
            <v>4</v>
          </cell>
        </row>
        <row r="4768">
          <cell r="C4768" t="str">
            <v>黃胤綸</v>
          </cell>
          <cell r="J4768">
            <v>46079</v>
          </cell>
          <cell r="K4768">
            <v>2</v>
          </cell>
        </row>
        <row r="4769">
          <cell r="C4769" t="str">
            <v>黃胤綸</v>
          </cell>
          <cell r="F4769" t="str">
            <v>K250501R2</v>
          </cell>
          <cell r="J4769">
            <v>46079</v>
          </cell>
          <cell r="K4769">
            <v>1</v>
          </cell>
        </row>
        <row r="4770">
          <cell r="C4770" t="str">
            <v>黃胤綸</v>
          </cell>
          <cell r="F4770" t="str">
            <v>K250501R2</v>
          </cell>
          <cell r="J4770">
            <v>46079</v>
          </cell>
          <cell r="K4770">
            <v>5</v>
          </cell>
        </row>
        <row r="4771">
          <cell r="C4771" t="str">
            <v>黃胤綸</v>
          </cell>
          <cell r="J4771">
            <v>46083</v>
          </cell>
          <cell r="K4771">
            <v>3</v>
          </cell>
        </row>
        <row r="4772">
          <cell r="C4772" t="str">
            <v>黃胤綸</v>
          </cell>
          <cell r="J4772">
            <v>46083</v>
          </cell>
          <cell r="K4772">
            <v>5</v>
          </cell>
        </row>
        <row r="4773">
          <cell r="C4773" t="str">
            <v>黃胤綸</v>
          </cell>
          <cell r="J4773">
            <v>46084</v>
          </cell>
          <cell r="K4773">
            <v>6</v>
          </cell>
        </row>
        <row r="4774">
          <cell r="C4774" t="str">
            <v>黃胤綸</v>
          </cell>
          <cell r="J4774">
            <v>46084</v>
          </cell>
          <cell r="K4774">
            <v>2</v>
          </cell>
        </row>
        <row r="4775">
          <cell r="C4775" t="str">
            <v>黃胤綸</v>
          </cell>
          <cell r="J4775">
            <v>46085</v>
          </cell>
          <cell r="K4775">
            <v>2</v>
          </cell>
        </row>
        <row r="4776">
          <cell r="C4776" t="str">
            <v>黃胤綸</v>
          </cell>
          <cell r="J4776">
            <v>46085</v>
          </cell>
          <cell r="K4776">
            <v>6</v>
          </cell>
        </row>
        <row r="4777">
          <cell r="C4777" t="str">
            <v>黃胤綸</v>
          </cell>
          <cell r="J4777">
            <v>46086</v>
          </cell>
          <cell r="K4777">
            <v>2</v>
          </cell>
        </row>
        <row r="4778">
          <cell r="C4778" t="str">
            <v>黃胤綸</v>
          </cell>
          <cell r="J4778">
            <v>46086</v>
          </cell>
          <cell r="K4778">
            <v>0.5</v>
          </cell>
        </row>
        <row r="4779">
          <cell r="C4779" t="str">
            <v>黃胤綸</v>
          </cell>
          <cell r="J4779">
            <v>46086</v>
          </cell>
          <cell r="K4779">
            <v>5.5</v>
          </cell>
        </row>
        <row r="4780">
          <cell r="C4780" t="str">
            <v>黃胤綸</v>
          </cell>
          <cell r="J4780">
            <v>46087</v>
          </cell>
          <cell r="K4780">
            <v>8</v>
          </cell>
        </row>
        <row r="4781">
          <cell r="C4781" t="str">
            <v>黃胤綸</v>
          </cell>
          <cell r="J4781">
            <v>46090</v>
          </cell>
          <cell r="K4781">
            <v>6</v>
          </cell>
        </row>
        <row r="4782">
          <cell r="C4782" t="str">
            <v>黃胤綸</v>
          </cell>
          <cell r="F4782" t="str">
            <v>K251101R1</v>
          </cell>
          <cell r="J4782">
            <v>46090</v>
          </cell>
          <cell r="K4782">
            <v>2</v>
          </cell>
        </row>
        <row r="4783">
          <cell r="C4783" t="str">
            <v>黃胤綸</v>
          </cell>
          <cell r="J4783">
            <v>46091</v>
          </cell>
          <cell r="K4783">
            <v>4</v>
          </cell>
        </row>
        <row r="4784">
          <cell r="C4784" t="str">
            <v>黃胤綸</v>
          </cell>
          <cell r="F4784" t="str">
            <v>M250201C1</v>
          </cell>
          <cell r="J4784">
            <v>46091</v>
          </cell>
          <cell r="K4784">
            <v>4</v>
          </cell>
        </row>
        <row r="4785">
          <cell r="C4785" t="str">
            <v>黃胤綸</v>
          </cell>
          <cell r="J4785">
            <v>46092</v>
          </cell>
          <cell r="K4785">
            <v>5</v>
          </cell>
        </row>
        <row r="4786">
          <cell r="C4786" t="str">
            <v>黃胤綸</v>
          </cell>
          <cell r="J4786">
            <v>46092</v>
          </cell>
          <cell r="K4786">
            <v>1</v>
          </cell>
        </row>
        <row r="4787">
          <cell r="C4787" t="str">
            <v>黃胤綸</v>
          </cell>
          <cell r="J4787">
            <v>46092</v>
          </cell>
          <cell r="K4787">
            <v>2</v>
          </cell>
        </row>
        <row r="4788">
          <cell r="C4788" t="str">
            <v>黃胤綸</v>
          </cell>
          <cell r="J4788">
            <v>46093</v>
          </cell>
          <cell r="K4788">
            <v>7</v>
          </cell>
        </row>
        <row r="4789">
          <cell r="C4789" t="str">
            <v>黃胤綸</v>
          </cell>
          <cell r="J4789">
            <v>46093</v>
          </cell>
          <cell r="K4789">
            <v>1</v>
          </cell>
        </row>
        <row r="4790">
          <cell r="C4790" t="str">
            <v>黃胤綸</v>
          </cell>
          <cell r="J4790">
            <v>46094</v>
          </cell>
          <cell r="K4790">
            <v>1</v>
          </cell>
        </row>
        <row r="4791">
          <cell r="C4791" t="str">
            <v>黃胤綸</v>
          </cell>
          <cell r="J4791">
            <v>46094</v>
          </cell>
          <cell r="K4791">
            <v>4</v>
          </cell>
        </row>
        <row r="4792">
          <cell r="C4792" t="str">
            <v>黃胤綸</v>
          </cell>
          <cell r="J4792">
            <v>46094</v>
          </cell>
          <cell r="K4792">
            <v>3</v>
          </cell>
        </row>
        <row r="4793">
          <cell r="C4793" t="str">
            <v>黃胤綸</v>
          </cell>
          <cell r="J4793">
            <v>46097</v>
          </cell>
          <cell r="K4793">
            <v>2</v>
          </cell>
        </row>
        <row r="4794">
          <cell r="C4794" t="str">
            <v>黃胤綸</v>
          </cell>
          <cell r="J4794">
            <v>46097</v>
          </cell>
          <cell r="K4794">
            <v>6</v>
          </cell>
        </row>
        <row r="4795">
          <cell r="C4795" t="str">
            <v>黃胤綸</v>
          </cell>
          <cell r="J4795">
            <v>46098</v>
          </cell>
          <cell r="K4795">
            <v>8</v>
          </cell>
        </row>
        <row r="4796">
          <cell r="C4796" t="str">
            <v>黃胤綸</v>
          </cell>
          <cell r="J4796">
            <v>46099</v>
          </cell>
          <cell r="K4796">
            <v>4</v>
          </cell>
        </row>
        <row r="4797">
          <cell r="C4797" t="str">
            <v>黃胤綸</v>
          </cell>
          <cell r="J4797">
            <v>46099</v>
          </cell>
          <cell r="K4797">
            <v>4</v>
          </cell>
        </row>
        <row r="4798">
          <cell r="C4798" t="str">
            <v>黃胤綸</v>
          </cell>
          <cell r="J4798">
            <v>46100</v>
          </cell>
          <cell r="K4798">
            <v>5</v>
          </cell>
        </row>
        <row r="4799">
          <cell r="C4799" t="str">
            <v>黃胤綸</v>
          </cell>
          <cell r="J4799">
            <v>46100</v>
          </cell>
          <cell r="K4799">
            <v>3</v>
          </cell>
        </row>
        <row r="4800">
          <cell r="C4800" t="str">
            <v>黃胤綸</v>
          </cell>
          <cell r="J4800">
            <v>46101</v>
          </cell>
          <cell r="K4800">
            <v>5</v>
          </cell>
        </row>
        <row r="4801">
          <cell r="C4801" t="str">
            <v>黃胤綸</v>
          </cell>
          <cell r="J4801">
            <v>46101</v>
          </cell>
          <cell r="K4801">
            <v>3</v>
          </cell>
        </row>
        <row r="4802">
          <cell r="C4802" t="str">
            <v>黃胤綸</v>
          </cell>
          <cell r="J4802">
            <v>46104</v>
          </cell>
          <cell r="K4802">
            <v>2</v>
          </cell>
        </row>
        <row r="4803">
          <cell r="C4803" t="str">
            <v>黃胤綸</v>
          </cell>
          <cell r="J4803">
            <v>46104</v>
          </cell>
          <cell r="K4803">
            <v>6</v>
          </cell>
        </row>
        <row r="4804">
          <cell r="C4804" t="str">
            <v>黃胤綸</v>
          </cell>
          <cell r="J4804">
            <v>46105</v>
          </cell>
          <cell r="K4804">
            <v>2</v>
          </cell>
        </row>
        <row r="4805">
          <cell r="C4805" t="str">
            <v>黃胤綸</v>
          </cell>
          <cell r="J4805">
            <v>46105</v>
          </cell>
          <cell r="K4805">
            <v>6</v>
          </cell>
        </row>
        <row r="4806">
          <cell r="C4806" t="str">
            <v>黃胤綸</v>
          </cell>
          <cell r="J4806">
            <v>46106</v>
          </cell>
          <cell r="K4806">
            <v>8</v>
          </cell>
        </row>
        <row r="4807">
          <cell r="C4807" t="str">
            <v>黃胤綸</v>
          </cell>
          <cell r="J4807">
            <v>46107</v>
          </cell>
          <cell r="K4807">
            <v>1</v>
          </cell>
        </row>
        <row r="4808">
          <cell r="C4808" t="str">
            <v>黃胤綸</v>
          </cell>
          <cell r="J4808">
            <v>46107</v>
          </cell>
          <cell r="K4808">
            <v>5</v>
          </cell>
        </row>
        <row r="4809">
          <cell r="C4809" t="str">
            <v>黃胤綸</v>
          </cell>
          <cell r="F4809" t="str">
            <v>K250501R2</v>
          </cell>
          <cell r="J4809">
            <v>46107</v>
          </cell>
          <cell r="K4809">
            <v>2</v>
          </cell>
        </row>
        <row r="4810">
          <cell r="C4810" t="str">
            <v>黃胤綸</v>
          </cell>
          <cell r="J4810">
            <v>46108</v>
          </cell>
          <cell r="K4810">
            <v>5</v>
          </cell>
        </row>
        <row r="4811">
          <cell r="C4811" t="str">
            <v>黃胤綸</v>
          </cell>
          <cell r="J4811">
            <v>46108</v>
          </cell>
          <cell r="K4811">
            <v>3</v>
          </cell>
        </row>
        <row r="4812">
          <cell r="C4812" t="str">
            <v>黃胤綸</v>
          </cell>
          <cell r="J4812">
            <v>46111</v>
          </cell>
          <cell r="K4812">
            <v>3</v>
          </cell>
        </row>
        <row r="4813">
          <cell r="C4813" t="str">
            <v>黃胤綸</v>
          </cell>
          <cell r="J4813">
            <v>46111</v>
          </cell>
          <cell r="K4813">
            <v>2</v>
          </cell>
        </row>
        <row r="4814">
          <cell r="C4814" t="str">
            <v>黃胤綸</v>
          </cell>
          <cell r="J4814">
            <v>46111</v>
          </cell>
          <cell r="K4814">
            <v>3</v>
          </cell>
        </row>
        <row r="4815">
          <cell r="C4815" t="str">
            <v>黃胤綸</v>
          </cell>
          <cell r="J4815">
            <v>46112</v>
          </cell>
          <cell r="K4815">
            <v>5</v>
          </cell>
        </row>
        <row r="4816">
          <cell r="C4816" t="str">
            <v>黃胤綸</v>
          </cell>
          <cell r="J4816">
            <v>46112</v>
          </cell>
          <cell r="K4816">
            <v>3</v>
          </cell>
        </row>
        <row r="4817">
          <cell r="C4817" t="str">
            <v>黃胤綸</v>
          </cell>
          <cell r="J4817">
            <v>46113</v>
          </cell>
          <cell r="K4817">
            <v>1</v>
          </cell>
        </row>
        <row r="4818">
          <cell r="C4818" t="str">
            <v>黃胤綸</v>
          </cell>
          <cell r="J4818">
            <v>46113</v>
          </cell>
          <cell r="K4818">
            <v>7</v>
          </cell>
        </row>
        <row r="4819">
          <cell r="C4819" t="str">
            <v>黃胤綸</v>
          </cell>
          <cell r="J4819">
            <v>46114</v>
          </cell>
          <cell r="K4819">
            <v>8</v>
          </cell>
        </row>
        <row r="4820">
          <cell r="C4820" t="str">
            <v>黃胤綸</v>
          </cell>
          <cell r="J4820">
            <v>46119</v>
          </cell>
          <cell r="K4820">
            <v>8</v>
          </cell>
        </row>
        <row r="4821">
          <cell r="C4821" t="str">
            <v>黃胤綸</v>
          </cell>
          <cell r="J4821">
            <v>46120</v>
          </cell>
          <cell r="K4821">
            <v>8</v>
          </cell>
        </row>
        <row r="4822">
          <cell r="C4822" t="str">
            <v>黃胤綸</v>
          </cell>
          <cell r="J4822">
            <v>46121</v>
          </cell>
          <cell r="K4822">
            <v>8</v>
          </cell>
        </row>
        <row r="4823">
          <cell r="C4823" t="str">
            <v>黃胤綸</v>
          </cell>
          <cell r="J4823">
            <v>46122</v>
          </cell>
          <cell r="K4823">
            <v>8</v>
          </cell>
        </row>
        <row r="4824">
          <cell r="C4824" t="str">
            <v>黃胤綸</v>
          </cell>
          <cell r="J4824">
            <v>46125</v>
          </cell>
          <cell r="K4824">
            <v>1</v>
          </cell>
        </row>
        <row r="4825">
          <cell r="C4825" t="str">
            <v>黃胤綸</v>
          </cell>
          <cell r="J4825">
            <v>46125</v>
          </cell>
          <cell r="K4825">
            <v>7</v>
          </cell>
        </row>
        <row r="4826">
          <cell r="C4826" t="str">
            <v>黃胤綸</v>
          </cell>
          <cell r="J4826">
            <v>46126</v>
          </cell>
          <cell r="K4826">
            <v>5</v>
          </cell>
        </row>
        <row r="4827">
          <cell r="C4827" t="str">
            <v>黃胤綸</v>
          </cell>
          <cell r="J4827">
            <v>46126</v>
          </cell>
          <cell r="K4827">
            <v>3</v>
          </cell>
        </row>
        <row r="4828">
          <cell r="C4828" t="str">
            <v>黃胤綸</v>
          </cell>
          <cell r="J4828">
            <v>46127</v>
          </cell>
          <cell r="K4828">
            <v>4</v>
          </cell>
        </row>
        <row r="4829">
          <cell r="C4829" t="str">
            <v>黃胤綸</v>
          </cell>
          <cell r="J4829">
            <v>46127</v>
          </cell>
          <cell r="K4829">
            <v>4</v>
          </cell>
        </row>
        <row r="4830">
          <cell r="C4830" t="str">
            <v>黃胤綸</v>
          </cell>
          <cell r="J4830">
            <v>46128</v>
          </cell>
          <cell r="K4830">
            <v>8</v>
          </cell>
        </row>
        <row r="4831">
          <cell r="C4831" t="str">
            <v>黃胤綸</v>
          </cell>
          <cell r="J4831">
            <v>46129</v>
          </cell>
          <cell r="K4831">
            <v>3</v>
          </cell>
        </row>
        <row r="4832">
          <cell r="C4832" t="str">
            <v>黃胤綸</v>
          </cell>
          <cell r="J4832">
            <v>46129</v>
          </cell>
          <cell r="K4832">
            <v>2</v>
          </cell>
        </row>
        <row r="4833">
          <cell r="C4833" t="str">
            <v>黃胤綸</v>
          </cell>
          <cell r="J4833">
            <v>46129</v>
          </cell>
          <cell r="K4833">
            <v>3</v>
          </cell>
        </row>
        <row r="4834">
          <cell r="C4834" t="str">
            <v>黃胤綸</v>
          </cell>
          <cell r="J4834">
            <v>46132</v>
          </cell>
          <cell r="K4834">
            <v>4</v>
          </cell>
        </row>
        <row r="4835">
          <cell r="C4835" t="str">
            <v>黃胤綸</v>
          </cell>
          <cell r="J4835">
            <v>46132</v>
          </cell>
          <cell r="K4835">
            <v>4</v>
          </cell>
        </row>
        <row r="4836">
          <cell r="C4836" t="str">
            <v>黃胤綸</v>
          </cell>
          <cell r="J4836">
            <v>46133</v>
          </cell>
          <cell r="K4836">
            <v>6</v>
          </cell>
        </row>
        <row r="4837">
          <cell r="C4837" t="str">
            <v>黃胤綸</v>
          </cell>
          <cell r="F4837" t="str">
            <v>D250101R1</v>
          </cell>
          <cell r="J4837">
            <v>46133</v>
          </cell>
          <cell r="K4837">
            <v>2</v>
          </cell>
        </row>
        <row r="4838">
          <cell r="C4838" t="str">
            <v>黃胤綸</v>
          </cell>
          <cell r="J4838">
            <v>46134</v>
          </cell>
          <cell r="K4838">
            <v>1</v>
          </cell>
        </row>
        <row r="4839">
          <cell r="C4839" t="str">
            <v>黃胤綸</v>
          </cell>
          <cell r="J4839">
            <v>46134</v>
          </cell>
          <cell r="K4839">
            <v>4</v>
          </cell>
        </row>
        <row r="4840">
          <cell r="C4840" t="str">
            <v>黃胤綸</v>
          </cell>
          <cell r="F4840" t="str">
            <v>D250101R1</v>
          </cell>
          <cell r="J4840">
            <v>46134</v>
          </cell>
          <cell r="K4840">
            <v>3</v>
          </cell>
        </row>
        <row r="4841">
          <cell r="C4841" t="str">
            <v>黃胤綸</v>
          </cell>
          <cell r="F4841" t="str">
            <v>D250101R1</v>
          </cell>
          <cell r="J4841">
            <v>46135</v>
          </cell>
          <cell r="K4841">
            <v>8</v>
          </cell>
        </row>
        <row r="4842">
          <cell r="C4842" t="str">
            <v>黃胤綸</v>
          </cell>
          <cell r="J4842">
            <v>46136</v>
          </cell>
          <cell r="K4842">
            <v>8</v>
          </cell>
        </row>
        <row r="4843">
          <cell r="C4843" t="str">
            <v>黃胤綸</v>
          </cell>
          <cell r="J4843">
            <v>46139</v>
          </cell>
          <cell r="K4843">
            <v>4</v>
          </cell>
        </row>
        <row r="4844">
          <cell r="C4844" t="str">
            <v>黃胤綸</v>
          </cell>
          <cell r="J4844">
            <v>46139</v>
          </cell>
          <cell r="K4844">
            <v>4</v>
          </cell>
        </row>
        <row r="4845">
          <cell r="C4845" t="str">
            <v>黃胤綸</v>
          </cell>
          <cell r="J4845">
            <v>46140</v>
          </cell>
          <cell r="K4845">
            <v>8</v>
          </cell>
        </row>
        <row r="4846">
          <cell r="C4846" t="str">
            <v>黃胤綸</v>
          </cell>
          <cell r="J4846">
            <v>46141</v>
          </cell>
          <cell r="K4846">
            <v>5</v>
          </cell>
        </row>
        <row r="4847">
          <cell r="C4847" t="str">
            <v>黃胤綸</v>
          </cell>
          <cell r="J4847">
            <v>46141</v>
          </cell>
          <cell r="K4847">
            <v>3</v>
          </cell>
        </row>
        <row r="4848">
          <cell r="C4848" t="str">
            <v>黃胤綸</v>
          </cell>
          <cell r="J4848">
            <v>46142</v>
          </cell>
          <cell r="K4848">
            <v>8</v>
          </cell>
        </row>
        <row r="4849">
          <cell r="C4849" t="str">
            <v>黃胤綸</v>
          </cell>
          <cell r="J4849">
            <v>46146</v>
          </cell>
          <cell r="K4849">
            <v>4</v>
          </cell>
        </row>
        <row r="4850">
          <cell r="C4850" t="str">
            <v>黃胤綸</v>
          </cell>
          <cell r="J4850">
            <v>46146</v>
          </cell>
          <cell r="K4850">
            <v>4</v>
          </cell>
        </row>
        <row r="4851">
          <cell r="C4851" t="str">
            <v>黃胤綸</v>
          </cell>
          <cell r="J4851">
            <v>46147</v>
          </cell>
          <cell r="K4851">
            <v>0.5</v>
          </cell>
        </row>
        <row r="4852">
          <cell r="C4852" t="str">
            <v>黃胤綸</v>
          </cell>
          <cell r="F4852" t="str">
            <v>D250101R1</v>
          </cell>
          <cell r="J4852">
            <v>46147</v>
          </cell>
          <cell r="K4852">
            <v>7.5</v>
          </cell>
        </row>
        <row r="4853">
          <cell r="C4853" t="str">
            <v>黃胤綸</v>
          </cell>
          <cell r="J4853">
            <v>46148</v>
          </cell>
          <cell r="K4853">
            <v>8</v>
          </cell>
        </row>
        <row r="4854">
          <cell r="C4854" t="str">
            <v>黃胤綸</v>
          </cell>
          <cell r="J4854">
            <v>46149</v>
          </cell>
          <cell r="K4854">
            <v>7</v>
          </cell>
        </row>
        <row r="4855">
          <cell r="C4855" t="str">
            <v>黃胤綸</v>
          </cell>
          <cell r="F4855" t="str">
            <v>M250201C1</v>
          </cell>
          <cell r="J4855">
            <v>46149</v>
          </cell>
          <cell r="K4855">
            <v>1</v>
          </cell>
        </row>
        <row r="4856">
          <cell r="C4856" t="str">
            <v>黃胤綸</v>
          </cell>
          <cell r="J4856">
            <v>46150</v>
          </cell>
          <cell r="K4856">
            <v>6.5</v>
          </cell>
        </row>
        <row r="4857">
          <cell r="C4857" t="str">
            <v>黃胤綸</v>
          </cell>
          <cell r="J4857">
            <v>46150</v>
          </cell>
          <cell r="K4857">
            <v>1.5</v>
          </cell>
        </row>
        <row r="4858">
          <cell r="C4858" t="str">
            <v>黃胤綸</v>
          </cell>
          <cell r="J4858">
            <v>46153</v>
          </cell>
          <cell r="K4858">
            <v>8</v>
          </cell>
        </row>
        <row r="4859">
          <cell r="C4859" t="str">
            <v>黃胤綸</v>
          </cell>
          <cell r="F4859" t="str">
            <v>D260406R1</v>
          </cell>
          <cell r="J4859">
            <v>46154</v>
          </cell>
          <cell r="K4859">
            <v>8</v>
          </cell>
        </row>
        <row r="4860">
          <cell r="C4860" t="str">
            <v>黃胤綸</v>
          </cell>
          <cell r="J4860">
            <v>46155</v>
          </cell>
          <cell r="K4860">
            <v>1</v>
          </cell>
        </row>
        <row r="4861">
          <cell r="C4861" t="str">
            <v>黃胤綸</v>
          </cell>
          <cell r="J4861">
            <v>46155</v>
          </cell>
          <cell r="K4861">
            <v>7</v>
          </cell>
        </row>
        <row r="4862">
          <cell r="C4862" t="str">
            <v>黃胤綸</v>
          </cell>
          <cell r="J4862">
            <v>46156</v>
          </cell>
          <cell r="K4862">
            <v>2</v>
          </cell>
        </row>
        <row r="4863">
          <cell r="C4863" t="str">
            <v>黃胤綸</v>
          </cell>
          <cell r="J4863">
            <v>46156</v>
          </cell>
          <cell r="K4863">
            <v>6</v>
          </cell>
        </row>
        <row r="4864">
          <cell r="C4864" t="str">
            <v>黃胤綸</v>
          </cell>
          <cell r="J4864">
            <v>46157</v>
          </cell>
          <cell r="K4864">
            <v>2</v>
          </cell>
        </row>
        <row r="4865">
          <cell r="C4865" t="str">
            <v>黃胤綸</v>
          </cell>
          <cell r="J4865">
            <v>46157</v>
          </cell>
          <cell r="K4865">
            <v>1</v>
          </cell>
        </row>
        <row r="4866">
          <cell r="C4866" t="str">
            <v>黃胤綸</v>
          </cell>
          <cell r="J4866">
            <v>46157</v>
          </cell>
          <cell r="K4866">
            <v>5</v>
          </cell>
        </row>
        <row r="4867">
          <cell r="C4867" t="str">
            <v>黃胤綸</v>
          </cell>
          <cell r="J4867">
            <v>46160</v>
          </cell>
          <cell r="K4867">
            <v>1</v>
          </cell>
        </row>
        <row r="4868">
          <cell r="C4868" t="str">
            <v>黃胤綸</v>
          </cell>
          <cell r="F4868" t="str">
            <v>D260406R1</v>
          </cell>
          <cell r="J4868">
            <v>46160</v>
          </cell>
          <cell r="K4868">
            <v>4</v>
          </cell>
        </row>
        <row r="4869">
          <cell r="C4869" t="str">
            <v>黃胤綸</v>
          </cell>
          <cell r="F4869" t="str">
            <v>D260401R1</v>
          </cell>
          <cell r="J4869">
            <v>46160</v>
          </cell>
          <cell r="K4869">
            <v>3</v>
          </cell>
        </row>
        <row r="4870">
          <cell r="C4870" t="str">
            <v>黃胤綸</v>
          </cell>
          <cell r="J4870">
            <v>46161</v>
          </cell>
          <cell r="K4870">
            <v>3</v>
          </cell>
        </row>
        <row r="4871">
          <cell r="C4871" t="str">
            <v>黃胤綸</v>
          </cell>
          <cell r="F4871" t="str">
            <v>M251001R1</v>
          </cell>
          <cell r="J4871">
            <v>46161</v>
          </cell>
          <cell r="K4871">
            <v>2</v>
          </cell>
        </row>
        <row r="4872">
          <cell r="C4872" t="str">
            <v>黃胤綸</v>
          </cell>
          <cell r="J4872">
            <v>46161</v>
          </cell>
          <cell r="K4872">
            <v>2</v>
          </cell>
        </row>
        <row r="4873">
          <cell r="C4873" t="str">
            <v>黃胤綸</v>
          </cell>
          <cell r="F4873" t="str">
            <v>M250201C1</v>
          </cell>
          <cell r="J4873">
            <v>46161</v>
          </cell>
          <cell r="K4873">
            <v>1</v>
          </cell>
        </row>
        <row r="4874">
          <cell r="C4874" t="str">
            <v>黃胤綸</v>
          </cell>
          <cell r="J4874">
            <v>46162</v>
          </cell>
          <cell r="K4874">
            <v>1</v>
          </cell>
        </row>
        <row r="4875">
          <cell r="C4875" t="str">
            <v>黃胤綸</v>
          </cell>
          <cell r="F4875" t="str">
            <v>D260401R1</v>
          </cell>
          <cell r="J4875">
            <v>46162</v>
          </cell>
          <cell r="K4875">
            <v>7</v>
          </cell>
        </row>
        <row r="4876">
          <cell r="C4876" t="str">
            <v>莊廉琯</v>
          </cell>
          <cell r="J4876">
            <v>45470</v>
          </cell>
          <cell r="K4876">
            <v>1</v>
          </cell>
        </row>
        <row r="4877">
          <cell r="C4877" t="str">
            <v>莊廉琯</v>
          </cell>
          <cell r="J4877">
            <v>45470</v>
          </cell>
          <cell r="K4877">
            <v>2</v>
          </cell>
        </row>
        <row r="4878">
          <cell r="C4878" t="str">
            <v>莊廉琯</v>
          </cell>
          <cell r="J4878">
            <v>45470</v>
          </cell>
          <cell r="K4878">
            <v>1.5</v>
          </cell>
        </row>
        <row r="4879">
          <cell r="C4879" t="str">
            <v>莊廉琯</v>
          </cell>
          <cell r="J4879">
            <v>45470</v>
          </cell>
          <cell r="K4879">
            <v>3.5</v>
          </cell>
        </row>
        <row r="4880">
          <cell r="C4880" t="str">
            <v>莊廉琯</v>
          </cell>
          <cell r="J4880">
            <v>45471</v>
          </cell>
          <cell r="K4880">
            <v>8</v>
          </cell>
        </row>
        <row r="4881">
          <cell r="C4881" t="str">
            <v>莊廉琯</v>
          </cell>
          <cell r="J4881">
            <v>45474</v>
          </cell>
          <cell r="K4881">
            <v>2</v>
          </cell>
        </row>
        <row r="4882">
          <cell r="C4882" t="str">
            <v>莊廉琯</v>
          </cell>
          <cell r="F4882" t="str">
            <v>M240201R1</v>
          </cell>
          <cell r="J4882">
            <v>45474</v>
          </cell>
          <cell r="K4882">
            <v>4</v>
          </cell>
        </row>
        <row r="4883">
          <cell r="C4883" t="str">
            <v>莊廉琯</v>
          </cell>
          <cell r="F4883" t="str">
            <v>M240201R1</v>
          </cell>
          <cell r="J4883">
            <v>45474</v>
          </cell>
          <cell r="K4883">
            <v>2</v>
          </cell>
        </row>
        <row r="4884">
          <cell r="C4884" t="str">
            <v>莊廉琯</v>
          </cell>
          <cell r="J4884">
            <v>45475</v>
          </cell>
          <cell r="K4884">
            <v>3.5</v>
          </cell>
        </row>
        <row r="4885">
          <cell r="C4885" t="str">
            <v>莊廉琯</v>
          </cell>
          <cell r="F4885" t="str">
            <v>F200201S1</v>
          </cell>
          <cell r="J4885">
            <v>45475</v>
          </cell>
          <cell r="K4885">
            <v>4.5</v>
          </cell>
        </row>
        <row r="4886">
          <cell r="C4886" t="str">
            <v>莊廉琯</v>
          </cell>
          <cell r="F4886" t="str">
            <v>M240201R1</v>
          </cell>
          <cell r="J4886">
            <v>45476</v>
          </cell>
          <cell r="K4886">
            <v>4</v>
          </cell>
        </row>
        <row r="4887">
          <cell r="C4887" t="str">
            <v>莊廉琯</v>
          </cell>
          <cell r="F4887" t="str">
            <v>M240201R1</v>
          </cell>
          <cell r="J4887">
            <v>45476</v>
          </cell>
          <cell r="K4887">
            <v>4</v>
          </cell>
        </row>
        <row r="4888">
          <cell r="C4888" t="str">
            <v>莊廉琯</v>
          </cell>
          <cell r="J4888">
            <v>45477</v>
          </cell>
          <cell r="K4888">
            <v>2</v>
          </cell>
        </row>
        <row r="4889">
          <cell r="C4889" t="str">
            <v>莊廉琯</v>
          </cell>
          <cell r="J4889">
            <v>45477</v>
          </cell>
          <cell r="K4889">
            <v>1</v>
          </cell>
        </row>
        <row r="4890">
          <cell r="C4890" t="str">
            <v>莊廉琯</v>
          </cell>
          <cell r="F4890" t="str">
            <v>M240201R1</v>
          </cell>
          <cell r="J4890">
            <v>45477</v>
          </cell>
          <cell r="K4890">
            <v>5</v>
          </cell>
        </row>
        <row r="4891">
          <cell r="C4891" t="str">
            <v>莊廉琯</v>
          </cell>
          <cell r="J4891">
            <v>45478</v>
          </cell>
          <cell r="K4891">
            <v>6.5</v>
          </cell>
        </row>
        <row r="4892">
          <cell r="C4892" t="str">
            <v>莊廉琯</v>
          </cell>
          <cell r="F4892" t="str">
            <v>M240201R1</v>
          </cell>
          <cell r="J4892">
            <v>45478</v>
          </cell>
          <cell r="K4892">
            <v>4</v>
          </cell>
        </row>
        <row r="4893">
          <cell r="C4893" t="str">
            <v>莊廉琯</v>
          </cell>
          <cell r="J4893">
            <v>45481</v>
          </cell>
          <cell r="K4893">
            <v>2</v>
          </cell>
        </row>
        <row r="4894">
          <cell r="C4894" t="str">
            <v>莊廉琯</v>
          </cell>
          <cell r="J4894">
            <v>45481</v>
          </cell>
          <cell r="K4894">
            <v>1.5</v>
          </cell>
        </row>
        <row r="4895">
          <cell r="C4895" t="str">
            <v>莊廉琯</v>
          </cell>
          <cell r="F4895" t="str">
            <v>M240201R1</v>
          </cell>
          <cell r="J4895">
            <v>45481</v>
          </cell>
          <cell r="K4895">
            <v>4.5</v>
          </cell>
        </row>
        <row r="4896">
          <cell r="C4896" t="str">
            <v>莊廉琯</v>
          </cell>
          <cell r="F4896" t="str">
            <v>M240201R1</v>
          </cell>
          <cell r="J4896">
            <v>45482</v>
          </cell>
          <cell r="K4896">
            <v>8.5</v>
          </cell>
        </row>
        <row r="4897">
          <cell r="C4897" t="str">
            <v>莊廉琯</v>
          </cell>
          <cell r="J4897">
            <v>45483</v>
          </cell>
          <cell r="K4897">
            <v>4.5</v>
          </cell>
        </row>
        <row r="4898">
          <cell r="C4898" t="str">
            <v>莊廉琯</v>
          </cell>
          <cell r="J4898">
            <v>45483</v>
          </cell>
          <cell r="K4898">
            <v>3</v>
          </cell>
        </row>
        <row r="4899">
          <cell r="C4899" t="str">
            <v>莊廉琯</v>
          </cell>
          <cell r="J4899">
            <v>45483</v>
          </cell>
          <cell r="K4899">
            <v>1.5</v>
          </cell>
        </row>
        <row r="4900">
          <cell r="C4900" t="str">
            <v>莊廉琯</v>
          </cell>
          <cell r="F4900" t="str">
            <v>M240201R1</v>
          </cell>
          <cell r="J4900">
            <v>45484</v>
          </cell>
          <cell r="K4900">
            <v>1</v>
          </cell>
        </row>
        <row r="4901">
          <cell r="C4901" t="str">
            <v>莊廉琯</v>
          </cell>
          <cell r="J4901">
            <v>45484</v>
          </cell>
          <cell r="K4901">
            <v>5</v>
          </cell>
        </row>
        <row r="4902">
          <cell r="C4902" t="str">
            <v>莊廉琯</v>
          </cell>
          <cell r="F4902" t="str">
            <v>M240201R1</v>
          </cell>
          <cell r="J4902">
            <v>45484</v>
          </cell>
          <cell r="K4902">
            <v>3.5</v>
          </cell>
        </row>
        <row r="4903">
          <cell r="C4903" t="str">
            <v>莊廉琯</v>
          </cell>
          <cell r="J4903">
            <v>45485</v>
          </cell>
          <cell r="K4903">
            <v>3.5</v>
          </cell>
        </row>
        <row r="4904">
          <cell r="C4904" t="str">
            <v>莊廉琯</v>
          </cell>
          <cell r="F4904" t="str">
            <v>M240201R1</v>
          </cell>
          <cell r="J4904">
            <v>45485</v>
          </cell>
          <cell r="K4904">
            <v>4.5</v>
          </cell>
        </row>
        <row r="4905">
          <cell r="C4905" t="str">
            <v>莊廉琯</v>
          </cell>
          <cell r="J4905">
            <v>45488</v>
          </cell>
          <cell r="K4905">
            <v>1</v>
          </cell>
        </row>
        <row r="4906">
          <cell r="C4906" t="str">
            <v>莊廉琯</v>
          </cell>
          <cell r="F4906" t="str">
            <v>M240201R1</v>
          </cell>
          <cell r="J4906">
            <v>45488</v>
          </cell>
          <cell r="K4906">
            <v>3.5</v>
          </cell>
        </row>
        <row r="4907">
          <cell r="C4907" t="str">
            <v>莊廉琯</v>
          </cell>
          <cell r="F4907" t="str">
            <v>M240201R1</v>
          </cell>
          <cell r="J4907">
            <v>45488</v>
          </cell>
          <cell r="K4907">
            <v>3.5</v>
          </cell>
        </row>
        <row r="4908">
          <cell r="C4908" t="str">
            <v>莊廉琯</v>
          </cell>
          <cell r="F4908" t="str">
            <v>M240201R1</v>
          </cell>
          <cell r="J4908">
            <v>45489</v>
          </cell>
          <cell r="K4908">
            <v>8</v>
          </cell>
        </row>
        <row r="4909">
          <cell r="C4909" t="str">
            <v>莊廉琯</v>
          </cell>
          <cell r="J4909">
            <v>45490</v>
          </cell>
          <cell r="K4909">
            <v>2.5</v>
          </cell>
        </row>
        <row r="4910">
          <cell r="C4910" t="str">
            <v>莊廉琯</v>
          </cell>
          <cell r="F4910" t="str">
            <v>M240201R1</v>
          </cell>
          <cell r="J4910">
            <v>45490</v>
          </cell>
          <cell r="K4910">
            <v>2.5</v>
          </cell>
        </row>
        <row r="4911">
          <cell r="C4911" t="str">
            <v>莊廉琯</v>
          </cell>
          <cell r="F4911" t="str">
            <v>M240201R1</v>
          </cell>
          <cell r="J4911">
            <v>45490</v>
          </cell>
          <cell r="K4911">
            <v>3</v>
          </cell>
        </row>
        <row r="4912">
          <cell r="C4912" t="str">
            <v>莊廉琯</v>
          </cell>
          <cell r="F4912" t="str">
            <v>M240201R1</v>
          </cell>
          <cell r="J4912">
            <v>45491</v>
          </cell>
          <cell r="K4912">
            <v>9</v>
          </cell>
        </row>
        <row r="4913">
          <cell r="C4913" t="str">
            <v>莊廉琯</v>
          </cell>
          <cell r="J4913">
            <v>45492</v>
          </cell>
          <cell r="K4913">
            <v>4.5</v>
          </cell>
        </row>
        <row r="4914">
          <cell r="C4914" t="str">
            <v>莊廉琯</v>
          </cell>
          <cell r="F4914" t="str">
            <v>M240201R1</v>
          </cell>
          <cell r="J4914">
            <v>45492</v>
          </cell>
          <cell r="K4914">
            <v>3.5</v>
          </cell>
        </row>
        <row r="4915">
          <cell r="C4915" t="str">
            <v>莊廉琯</v>
          </cell>
          <cell r="F4915" t="str">
            <v>M240201R1</v>
          </cell>
          <cell r="J4915">
            <v>45495</v>
          </cell>
          <cell r="K4915">
            <v>4.5</v>
          </cell>
        </row>
        <row r="4916">
          <cell r="C4916" t="str">
            <v>莊廉琯</v>
          </cell>
          <cell r="F4916" t="str">
            <v>M240201R1</v>
          </cell>
          <cell r="J4916">
            <v>45495</v>
          </cell>
          <cell r="K4916">
            <v>3.5</v>
          </cell>
        </row>
        <row r="4917">
          <cell r="C4917" t="str">
            <v>莊廉琯</v>
          </cell>
          <cell r="F4917" t="str">
            <v>M240201R1</v>
          </cell>
          <cell r="J4917">
            <v>45496</v>
          </cell>
          <cell r="K4917">
            <v>9</v>
          </cell>
        </row>
        <row r="4918">
          <cell r="C4918" t="str">
            <v>莊廉琯</v>
          </cell>
          <cell r="J4918">
            <v>45497</v>
          </cell>
          <cell r="K4918">
            <v>8</v>
          </cell>
        </row>
        <row r="4919">
          <cell r="C4919" t="str">
            <v>莊廉琯</v>
          </cell>
          <cell r="J4919">
            <v>45498</v>
          </cell>
          <cell r="K4919">
            <v>8</v>
          </cell>
        </row>
        <row r="4920">
          <cell r="C4920" t="str">
            <v>莊廉琯</v>
          </cell>
          <cell r="F4920" t="str">
            <v>M240201R1</v>
          </cell>
          <cell r="J4920">
            <v>45499</v>
          </cell>
          <cell r="K4920">
            <v>8</v>
          </cell>
        </row>
        <row r="4921">
          <cell r="C4921" t="str">
            <v>莊廉琯</v>
          </cell>
          <cell r="F4921" t="str">
            <v>M240201R1</v>
          </cell>
          <cell r="J4921">
            <v>45502</v>
          </cell>
          <cell r="K4921">
            <v>8</v>
          </cell>
        </row>
        <row r="4922">
          <cell r="C4922" t="str">
            <v>莊廉琯</v>
          </cell>
          <cell r="F4922" t="str">
            <v>F200201S1</v>
          </cell>
          <cell r="J4922">
            <v>45503</v>
          </cell>
          <cell r="K4922">
            <v>4</v>
          </cell>
        </row>
        <row r="4923">
          <cell r="C4923" t="str">
            <v>莊廉琯</v>
          </cell>
          <cell r="F4923" t="str">
            <v>M240201R1</v>
          </cell>
          <cell r="J4923">
            <v>45503</v>
          </cell>
          <cell r="K4923">
            <v>4</v>
          </cell>
        </row>
        <row r="4924">
          <cell r="C4924" t="str">
            <v>莊廉琯</v>
          </cell>
          <cell r="F4924" t="str">
            <v>M240702C1</v>
          </cell>
          <cell r="J4924">
            <v>45504</v>
          </cell>
          <cell r="K4924">
            <v>4</v>
          </cell>
        </row>
        <row r="4925">
          <cell r="C4925" t="str">
            <v>莊廉琯</v>
          </cell>
          <cell r="J4925">
            <v>45504</v>
          </cell>
          <cell r="K4925">
            <v>4</v>
          </cell>
        </row>
        <row r="4926">
          <cell r="C4926" t="str">
            <v>莊廉琯</v>
          </cell>
          <cell r="F4926" t="str">
            <v>M240201R1</v>
          </cell>
          <cell r="J4926">
            <v>45505</v>
          </cell>
          <cell r="K4926">
            <v>8</v>
          </cell>
        </row>
        <row r="4927">
          <cell r="C4927" t="str">
            <v>莊廉琯</v>
          </cell>
          <cell r="J4927">
            <v>45506</v>
          </cell>
          <cell r="K4927">
            <v>9.5</v>
          </cell>
        </row>
        <row r="4928">
          <cell r="C4928" t="str">
            <v>莊廉琯</v>
          </cell>
          <cell r="J4928">
            <v>45509</v>
          </cell>
          <cell r="K4928">
            <v>5.5</v>
          </cell>
        </row>
        <row r="4929">
          <cell r="C4929" t="str">
            <v>莊廉琯</v>
          </cell>
          <cell r="F4929" t="str">
            <v>M240201R1</v>
          </cell>
          <cell r="J4929">
            <v>45509</v>
          </cell>
          <cell r="K4929">
            <v>3.5</v>
          </cell>
        </row>
        <row r="4930">
          <cell r="C4930" t="str">
            <v>莊廉琯</v>
          </cell>
          <cell r="J4930">
            <v>45510</v>
          </cell>
          <cell r="K4930">
            <v>5.5</v>
          </cell>
        </row>
        <row r="4931">
          <cell r="C4931" t="str">
            <v>莊廉琯</v>
          </cell>
          <cell r="J4931">
            <v>45510</v>
          </cell>
          <cell r="K4931">
            <v>5.5</v>
          </cell>
        </row>
        <row r="4932">
          <cell r="C4932" t="str">
            <v>莊廉琯</v>
          </cell>
          <cell r="J4932">
            <v>45511</v>
          </cell>
          <cell r="K4932">
            <v>4</v>
          </cell>
        </row>
        <row r="4933">
          <cell r="C4933" t="str">
            <v>莊廉琯</v>
          </cell>
          <cell r="F4933" t="str">
            <v>M240201R1</v>
          </cell>
          <cell r="J4933">
            <v>45511</v>
          </cell>
          <cell r="K4933">
            <v>4</v>
          </cell>
        </row>
        <row r="4934">
          <cell r="C4934" t="str">
            <v>莊廉琯</v>
          </cell>
          <cell r="J4934">
            <v>45512</v>
          </cell>
          <cell r="K4934">
            <v>1.5</v>
          </cell>
        </row>
        <row r="4935">
          <cell r="C4935" t="str">
            <v>莊廉琯</v>
          </cell>
          <cell r="F4935" t="str">
            <v>M240201R1</v>
          </cell>
          <cell r="J4935">
            <v>45512</v>
          </cell>
          <cell r="K4935">
            <v>7</v>
          </cell>
        </row>
        <row r="4936">
          <cell r="C4936" t="str">
            <v>莊廉琯</v>
          </cell>
          <cell r="J4936">
            <v>45513</v>
          </cell>
          <cell r="K4936">
            <v>4</v>
          </cell>
        </row>
        <row r="4937">
          <cell r="C4937" t="str">
            <v>莊廉琯</v>
          </cell>
          <cell r="F4937" t="str">
            <v>M240201R1</v>
          </cell>
          <cell r="J4937">
            <v>45513</v>
          </cell>
          <cell r="K4937">
            <v>4</v>
          </cell>
        </row>
        <row r="4938">
          <cell r="C4938" t="str">
            <v>莊廉琯</v>
          </cell>
          <cell r="J4938">
            <v>45516</v>
          </cell>
          <cell r="K4938">
            <v>8</v>
          </cell>
        </row>
        <row r="4939">
          <cell r="C4939" t="str">
            <v>莊廉琯</v>
          </cell>
          <cell r="J4939">
            <v>45517</v>
          </cell>
          <cell r="K4939">
            <v>3.5</v>
          </cell>
        </row>
        <row r="4940">
          <cell r="C4940" t="str">
            <v>莊廉琯</v>
          </cell>
          <cell r="J4940">
            <v>45517</v>
          </cell>
          <cell r="K4940">
            <v>4</v>
          </cell>
        </row>
        <row r="4941">
          <cell r="C4941" t="str">
            <v>莊廉琯</v>
          </cell>
          <cell r="F4941" t="str">
            <v>M240201R1</v>
          </cell>
          <cell r="J4941">
            <v>45517</v>
          </cell>
          <cell r="K4941">
            <v>3.5</v>
          </cell>
        </row>
        <row r="4942">
          <cell r="C4942" t="str">
            <v>莊廉琯</v>
          </cell>
          <cell r="F4942" t="str">
            <v>M240201R1</v>
          </cell>
          <cell r="J4942">
            <v>45518</v>
          </cell>
          <cell r="K4942">
            <v>4</v>
          </cell>
        </row>
        <row r="4943">
          <cell r="C4943" t="str">
            <v>莊廉琯</v>
          </cell>
          <cell r="F4943" t="str">
            <v>M240201R1</v>
          </cell>
          <cell r="J4943">
            <v>45518</v>
          </cell>
          <cell r="K4943">
            <v>4</v>
          </cell>
        </row>
        <row r="4944">
          <cell r="C4944" t="str">
            <v>莊廉琯</v>
          </cell>
          <cell r="J4944">
            <v>45519</v>
          </cell>
          <cell r="K4944">
            <v>4</v>
          </cell>
        </row>
        <row r="4945">
          <cell r="C4945" t="str">
            <v>莊廉琯</v>
          </cell>
          <cell r="F4945" t="str">
            <v>M240201R1</v>
          </cell>
          <cell r="J4945">
            <v>45519</v>
          </cell>
          <cell r="K4945">
            <v>4</v>
          </cell>
        </row>
        <row r="4946">
          <cell r="C4946" t="str">
            <v>莊廉琯</v>
          </cell>
          <cell r="F4946" t="str">
            <v>M240702C1</v>
          </cell>
          <cell r="J4946">
            <v>45520</v>
          </cell>
          <cell r="K4946">
            <v>4</v>
          </cell>
        </row>
        <row r="4947">
          <cell r="C4947" t="str">
            <v>莊廉琯</v>
          </cell>
          <cell r="F4947" t="str">
            <v>M240201R1</v>
          </cell>
          <cell r="J4947">
            <v>45520</v>
          </cell>
          <cell r="K4947">
            <v>4</v>
          </cell>
        </row>
        <row r="4948">
          <cell r="C4948" t="str">
            <v>莊廉琯</v>
          </cell>
          <cell r="F4948" t="str">
            <v>M240702C1</v>
          </cell>
          <cell r="J4948">
            <v>45523</v>
          </cell>
          <cell r="K4948">
            <v>8</v>
          </cell>
        </row>
        <row r="4949">
          <cell r="C4949" t="str">
            <v>莊廉琯</v>
          </cell>
          <cell r="F4949" t="str">
            <v>M240201R1</v>
          </cell>
          <cell r="J4949">
            <v>45524</v>
          </cell>
          <cell r="K4949">
            <v>8</v>
          </cell>
        </row>
        <row r="4950">
          <cell r="C4950" t="str">
            <v>莊廉琯</v>
          </cell>
          <cell r="J4950">
            <v>45525</v>
          </cell>
          <cell r="K4950">
            <v>1</v>
          </cell>
        </row>
        <row r="4951">
          <cell r="C4951" t="str">
            <v>莊廉琯</v>
          </cell>
          <cell r="J4951">
            <v>45525</v>
          </cell>
          <cell r="K4951">
            <v>2.5</v>
          </cell>
        </row>
        <row r="4952">
          <cell r="C4952" t="str">
            <v>莊廉琯</v>
          </cell>
          <cell r="F4952" t="str">
            <v>M240201R1</v>
          </cell>
          <cell r="J4952">
            <v>45525</v>
          </cell>
          <cell r="K4952">
            <v>4.5</v>
          </cell>
        </row>
        <row r="4953">
          <cell r="C4953" t="str">
            <v>莊廉琯</v>
          </cell>
          <cell r="J4953">
            <v>45526</v>
          </cell>
          <cell r="K4953">
            <v>1.5</v>
          </cell>
        </row>
        <row r="4954">
          <cell r="C4954" t="str">
            <v>莊廉琯</v>
          </cell>
          <cell r="F4954" t="str">
            <v>M240705R1</v>
          </cell>
          <cell r="J4954">
            <v>45526</v>
          </cell>
          <cell r="K4954">
            <v>6.5</v>
          </cell>
        </row>
        <row r="4955">
          <cell r="C4955" t="str">
            <v>莊廉琯</v>
          </cell>
          <cell r="F4955" t="str">
            <v>M240201R1</v>
          </cell>
          <cell r="J4955">
            <v>45527</v>
          </cell>
          <cell r="K4955">
            <v>2</v>
          </cell>
        </row>
        <row r="4956">
          <cell r="C4956" t="str">
            <v>莊廉琯</v>
          </cell>
          <cell r="F4956" t="str">
            <v>M240702C1</v>
          </cell>
          <cell r="J4956">
            <v>45527</v>
          </cell>
          <cell r="K4956">
            <v>6</v>
          </cell>
        </row>
        <row r="4957">
          <cell r="C4957" t="str">
            <v>莊廉琯</v>
          </cell>
          <cell r="J4957">
            <v>45530</v>
          </cell>
          <cell r="K4957">
            <v>4</v>
          </cell>
        </row>
        <row r="4958">
          <cell r="C4958" t="str">
            <v>莊廉琯</v>
          </cell>
          <cell r="F4958" t="str">
            <v>M240201R1</v>
          </cell>
          <cell r="J4958">
            <v>45530</v>
          </cell>
          <cell r="K4958">
            <v>4</v>
          </cell>
        </row>
        <row r="4959">
          <cell r="C4959" t="str">
            <v>莊廉琯</v>
          </cell>
          <cell r="F4959" t="str">
            <v>M240201R1</v>
          </cell>
          <cell r="J4959">
            <v>45531</v>
          </cell>
          <cell r="K4959">
            <v>8</v>
          </cell>
        </row>
        <row r="4960">
          <cell r="C4960" t="str">
            <v>莊廉琯</v>
          </cell>
          <cell r="F4960" t="str">
            <v>M240201R1</v>
          </cell>
          <cell r="J4960">
            <v>45532</v>
          </cell>
          <cell r="K4960">
            <v>3.5</v>
          </cell>
        </row>
        <row r="4961">
          <cell r="C4961" t="str">
            <v>莊廉琯</v>
          </cell>
          <cell r="J4961">
            <v>45532</v>
          </cell>
          <cell r="K4961">
            <v>1</v>
          </cell>
        </row>
        <row r="4962">
          <cell r="C4962" t="str">
            <v>莊廉琯</v>
          </cell>
          <cell r="F4962" t="str">
            <v>M240702C1</v>
          </cell>
          <cell r="J4962">
            <v>45532</v>
          </cell>
          <cell r="K4962">
            <v>4</v>
          </cell>
        </row>
        <row r="4963">
          <cell r="C4963" t="str">
            <v>莊廉琯</v>
          </cell>
          <cell r="J4963">
            <v>45533</v>
          </cell>
          <cell r="K4963">
            <v>1</v>
          </cell>
        </row>
        <row r="4964">
          <cell r="C4964" t="str">
            <v>莊廉琯</v>
          </cell>
          <cell r="J4964">
            <v>45533</v>
          </cell>
          <cell r="K4964">
            <v>2.5</v>
          </cell>
        </row>
        <row r="4965">
          <cell r="C4965" t="str">
            <v>莊廉琯</v>
          </cell>
          <cell r="F4965" t="str">
            <v>M240201R1</v>
          </cell>
          <cell r="J4965">
            <v>45533</v>
          </cell>
          <cell r="K4965">
            <v>4.5</v>
          </cell>
        </row>
        <row r="4966">
          <cell r="C4966" t="str">
            <v>莊廉琯</v>
          </cell>
          <cell r="J4966">
            <v>45534</v>
          </cell>
          <cell r="K4966">
            <v>2</v>
          </cell>
        </row>
        <row r="4967">
          <cell r="C4967" t="str">
            <v>莊廉琯</v>
          </cell>
          <cell r="J4967">
            <v>45534</v>
          </cell>
          <cell r="K4967">
            <v>3</v>
          </cell>
        </row>
        <row r="4968">
          <cell r="C4968" t="str">
            <v>莊廉琯</v>
          </cell>
          <cell r="F4968" t="str">
            <v>M240201R1</v>
          </cell>
          <cell r="J4968">
            <v>45534</v>
          </cell>
          <cell r="K4968">
            <v>3</v>
          </cell>
        </row>
        <row r="4969">
          <cell r="C4969" t="str">
            <v>莊廉琯</v>
          </cell>
          <cell r="F4969" t="str">
            <v>M240702C1</v>
          </cell>
          <cell r="J4969">
            <v>45537</v>
          </cell>
          <cell r="K4969">
            <v>4</v>
          </cell>
        </row>
        <row r="4970">
          <cell r="C4970" t="str">
            <v>莊廉琯</v>
          </cell>
          <cell r="F4970" t="str">
            <v>M240201R1</v>
          </cell>
          <cell r="J4970">
            <v>45537</v>
          </cell>
          <cell r="K4970">
            <v>4</v>
          </cell>
        </row>
        <row r="4971">
          <cell r="C4971" t="str">
            <v>莊廉琯</v>
          </cell>
          <cell r="J4971">
            <v>45538</v>
          </cell>
          <cell r="K4971">
            <v>7</v>
          </cell>
        </row>
        <row r="4972">
          <cell r="C4972" t="str">
            <v>莊廉琯</v>
          </cell>
          <cell r="J4972">
            <v>45538</v>
          </cell>
          <cell r="K4972">
            <v>1</v>
          </cell>
        </row>
        <row r="4973">
          <cell r="C4973" t="str">
            <v>莊廉琯</v>
          </cell>
          <cell r="J4973">
            <v>45539</v>
          </cell>
          <cell r="K4973">
            <v>8</v>
          </cell>
        </row>
        <row r="4974">
          <cell r="C4974" t="str">
            <v>莊廉琯</v>
          </cell>
          <cell r="F4974" t="str">
            <v>F200201S1</v>
          </cell>
          <cell r="J4974">
            <v>45540</v>
          </cell>
          <cell r="K4974">
            <v>7</v>
          </cell>
        </row>
        <row r="4975">
          <cell r="C4975" t="str">
            <v>莊廉琯</v>
          </cell>
          <cell r="F4975" t="str">
            <v>M240201R1</v>
          </cell>
          <cell r="J4975">
            <v>45540</v>
          </cell>
          <cell r="K4975">
            <v>1</v>
          </cell>
        </row>
        <row r="4976">
          <cell r="C4976" t="str">
            <v>莊廉琯</v>
          </cell>
          <cell r="J4976">
            <v>45541</v>
          </cell>
          <cell r="K4976">
            <v>8</v>
          </cell>
        </row>
        <row r="4977">
          <cell r="C4977" t="str">
            <v>莊廉琯</v>
          </cell>
          <cell r="J4977">
            <v>45544</v>
          </cell>
          <cell r="K4977">
            <v>8</v>
          </cell>
        </row>
        <row r="4978">
          <cell r="C4978" t="str">
            <v>莊廉琯</v>
          </cell>
          <cell r="J4978">
            <v>45545</v>
          </cell>
          <cell r="K4978">
            <v>8</v>
          </cell>
        </row>
        <row r="4979">
          <cell r="C4979" t="str">
            <v>莊廉琯</v>
          </cell>
          <cell r="J4979">
            <v>45546</v>
          </cell>
          <cell r="K4979">
            <v>1</v>
          </cell>
        </row>
        <row r="4980">
          <cell r="C4980" t="str">
            <v>莊廉琯</v>
          </cell>
          <cell r="J4980">
            <v>45546</v>
          </cell>
          <cell r="K4980">
            <v>3.5</v>
          </cell>
        </row>
        <row r="4981">
          <cell r="C4981" t="str">
            <v>莊廉琯</v>
          </cell>
          <cell r="F4981" t="str">
            <v>M240702C1</v>
          </cell>
          <cell r="J4981">
            <v>45546</v>
          </cell>
          <cell r="K4981">
            <v>4.5</v>
          </cell>
        </row>
        <row r="4982">
          <cell r="C4982" t="str">
            <v>莊廉琯</v>
          </cell>
          <cell r="F4982" t="str">
            <v>M240702C1</v>
          </cell>
          <cell r="J4982">
            <v>45547</v>
          </cell>
          <cell r="K4982">
            <v>3.5</v>
          </cell>
        </row>
        <row r="4983">
          <cell r="C4983" t="str">
            <v>莊廉琯</v>
          </cell>
          <cell r="F4983" t="str">
            <v>M240201R1</v>
          </cell>
          <cell r="J4983">
            <v>45547</v>
          </cell>
          <cell r="K4983">
            <v>4.5</v>
          </cell>
        </row>
        <row r="4984">
          <cell r="C4984" t="str">
            <v>莊廉琯</v>
          </cell>
          <cell r="F4984" t="str">
            <v>F200201S1</v>
          </cell>
          <cell r="J4984">
            <v>45548</v>
          </cell>
          <cell r="K4984">
            <v>8</v>
          </cell>
        </row>
        <row r="4985">
          <cell r="C4985" t="str">
            <v>莊廉琯</v>
          </cell>
          <cell r="J4985">
            <v>45551</v>
          </cell>
          <cell r="K4985">
            <v>8</v>
          </cell>
        </row>
        <row r="4986">
          <cell r="C4986" t="str">
            <v>莊廉琯</v>
          </cell>
          <cell r="J4986">
            <v>45552</v>
          </cell>
          <cell r="K4986">
            <v>8</v>
          </cell>
        </row>
        <row r="4987">
          <cell r="C4987" t="str">
            <v>莊廉琯</v>
          </cell>
          <cell r="F4987" t="str">
            <v>F200201S1</v>
          </cell>
          <cell r="J4987">
            <v>45553</v>
          </cell>
          <cell r="K4987">
            <v>8.5</v>
          </cell>
        </row>
        <row r="4988">
          <cell r="C4988" t="str">
            <v>莊廉琯</v>
          </cell>
          <cell r="J4988">
            <v>45554</v>
          </cell>
          <cell r="K4988">
            <v>5.5</v>
          </cell>
        </row>
        <row r="4989">
          <cell r="C4989" t="str">
            <v>莊廉琯</v>
          </cell>
          <cell r="J4989">
            <v>45554</v>
          </cell>
          <cell r="K4989">
            <v>2.5</v>
          </cell>
        </row>
        <row r="4990">
          <cell r="C4990" t="str">
            <v>莊廉琯</v>
          </cell>
          <cell r="J4990">
            <v>45555</v>
          </cell>
          <cell r="K4990">
            <v>2</v>
          </cell>
        </row>
        <row r="4991">
          <cell r="C4991" t="str">
            <v>莊廉琯</v>
          </cell>
          <cell r="F4991" t="str">
            <v>M240201R1</v>
          </cell>
          <cell r="J4991">
            <v>45555</v>
          </cell>
          <cell r="K4991">
            <v>6</v>
          </cell>
        </row>
        <row r="4992">
          <cell r="C4992" t="str">
            <v>莊廉琯</v>
          </cell>
          <cell r="F4992" t="str">
            <v>M240702C1</v>
          </cell>
          <cell r="J4992">
            <v>45558</v>
          </cell>
          <cell r="K4992">
            <v>8</v>
          </cell>
        </row>
        <row r="4993">
          <cell r="C4993" t="str">
            <v>莊廉琯</v>
          </cell>
          <cell r="F4993" t="str">
            <v>M240702C1</v>
          </cell>
          <cell r="J4993">
            <v>45559</v>
          </cell>
          <cell r="K4993">
            <v>2.5</v>
          </cell>
        </row>
        <row r="4994">
          <cell r="C4994" t="str">
            <v>莊廉琯</v>
          </cell>
          <cell r="F4994" t="str">
            <v>M240705R1</v>
          </cell>
          <cell r="J4994">
            <v>45559</v>
          </cell>
          <cell r="K4994">
            <v>2.5</v>
          </cell>
        </row>
        <row r="4995">
          <cell r="C4995" t="str">
            <v>莊廉琯</v>
          </cell>
          <cell r="F4995" t="str">
            <v>M240201R1</v>
          </cell>
          <cell r="J4995">
            <v>45559</v>
          </cell>
          <cell r="K4995">
            <v>3</v>
          </cell>
        </row>
        <row r="4996">
          <cell r="C4996" t="str">
            <v>莊廉琯</v>
          </cell>
          <cell r="J4996">
            <v>45560</v>
          </cell>
          <cell r="K4996">
            <v>4.5</v>
          </cell>
        </row>
        <row r="4997">
          <cell r="C4997" t="str">
            <v>莊廉琯</v>
          </cell>
          <cell r="J4997">
            <v>45560</v>
          </cell>
          <cell r="K4997">
            <v>1</v>
          </cell>
        </row>
        <row r="4998">
          <cell r="C4998" t="str">
            <v>莊廉琯</v>
          </cell>
          <cell r="F4998" t="str">
            <v>M240201R1</v>
          </cell>
          <cell r="J4998">
            <v>45560</v>
          </cell>
          <cell r="K4998">
            <v>2.5</v>
          </cell>
        </row>
        <row r="4999">
          <cell r="C4999" t="str">
            <v>莊廉琯</v>
          </cell>
          <cell r="J4999">
            <v>45561</v>
          </cell>
          <cell r="K4999">
            <v>4.5</v>
          </cell>
        </row>
        <row r="5000">
          <cell r="C5000" t="str">
            <v>莊廉琯</v>
          </cell>
          <cell r="F5000" t="str">
            <v>M240201R1</v>
          </cell>
          <cell r="J5000">
            <v>45561</v>
          </cell>
          <cell r="K5000">
            <v>3.5</v>
          </cell>
        </row>
        <row r="5001">
          <cell r="C5001" t="str">
            <v>莊廉琯</v>
          </cell>
          <cell r="F5001" t="str">
            <v>M240201R1</v>
          </cell>
          <cell r="J5001">
            <v>45562</v>
          </cell>
          <cell r="K5001">
            <v>8</v>
          </cell>
        </row>
        <row r="5002">
          <cell r="C5002" t="str">
            <v>莊廉琯</v>
          </cell>
          <cell r="J5002">
            <v>45565</v>
          </cell>
          <cell r="K5002">
            <v>3</v>
          </cell>
        </row>
        <row r="5003">
          <cell r="C5003" t="str">
            <v>莊廉琯</v>
          </cell>
          <cell r="F5003" t="str">
            <v>M240702C1</v>
          </cell>
          <cell r="J5003">
            <v>45565</v>
          </cell>
          <cell r="K5003">
            <v>5</v>
          </cell>
        </row>
        <row r="5004">
          <cell r="C5004" t="str">
            <v>莊廉琯</v>
          </cell>
          <cell r="J5004">
            <v>45566</v>
          </cell>
          <cell r="K5004">
            <v>3.5</v>
          </cell>
        </row>
        <row r="5005">
          <cell r="C5005" t="str">
            <v>莊廉琯</v>
          </cell>
          <cell r="F5005" t="str">
            <v>M240702C1</v>
          </cell>
          <cell r="J5005">
            <v>45566</v>
          </cell>
          <cell r="K5005">
            <v>3.5</v>
          </cell>
        </row>
        <row r="5006">
          <cell r="C5006" t="str">
            <v>莊廉琯</v>
          </cell>
          <cell r="F5006" t="str">
            <v>M240201R1</v>
          </cell>
          <cell r="J5006">
            <v>45566</v>
          </cell>
          <cell r="K5006">
            <v>1</v>
          </cell>
        </row>
        <row r="5007">
          <cell r="C5007" t="str">
            <v>莊廉琯</v>
          </cell>
          <cell r="J5007">
            <v>45567</v>
          </cell>
          <cell r="K5007">
            <v>8</v>
          </cell>
        </row>
        <row r="5008">
          <cell r="C5008" t="str">
            <v>莊廉琯</v>
          </cell>
          <cell r="J5008">
            <v>45568</v>
          </cell>
          <cell r="K5008">
            <v>8</v>
          </cell>
        </row>
        <row r="5009">
          <cell r="C5009" t="str">
            <v>莊廉琯</v>
          </cell>
          <cell r="J5009">
            <v>45569</v>
          </cell>
          <cell r="K5009">
            <v>4</v>
          </cell>
        </row>
        <row r="5010">
          <cell r="C5010" t="str">
            <v>莊廉琯</v>
          </cell>
          <cell r="F5010" t="str">
            <v>M240201R1</v>
          </cell>
          <cell r="J5010">
            <v>45569</v>
          </cell>
          <cell r="K5010">
            <v>4</v>
          </cell>
        </row>
        <row r="5011">
          <cell r="C5011" t="str">
            <v>莊廉琯</v>
          </cell>
          <cell r="F5011" t="str">
            <v>M240702C1</v>
          </cell>
          <cell r="J5011">
            <v>45572</v>
          </cell>
          <cell r="K5011">
            <v>8</v>
          </cell>
        </row>
        <row r="5012">
          <cell r="C5012" t="str">
            <v>莊廉琯</v>
          </cell>
          <cell r="J5012">
            <v>45573</v>
          </cell>
          <cell r="K5012">
            <v>4.5</v>
          </cell>
        </row>
        <row r="5013">
          <cell r="C5013" t="str">
            <v>莊廉琯</v>
          </cell>
          <cell r="F5013" t="str">
            <v>M240201R1</v>
          </cell>
          <cell r="J5013">
            <v>45573</v>
          </cell>
          <cell r="K5013">
            <v>3.5</v>
          </cell>
        </row>
        <row r="5014">
          <cell r="C5014" t="str">
            <v>莊廉琯</v>
          </cell>
          <cell r="J5014">
            <v>45574</v>
          </cell>
          <cell r="K5014">
            <v>1.5</v>
          </cell>
        </row>
        <row r="5015">
          <cell r="C5015" t="str">
            <v>莊廉琯</v>
          </cell>
          <cell r="F5015" t="str">
            <v>M240702C1</v>
          </cell>
          <cell r="J5015">
            <v>45574</v>
          </cell>
          <cell r="K5015">
            <v>2</v>
          </cell>
        </row>
        <row r="5016">
          <cell r="C5016" t="str">
            <v>莊廉琯</v>
          </cell>
          <cell r="F5016" t="str">
            <v>M240702C1</v>
          </cell>
          <cell r="J5016">
            <v>45574</v>
          </cell>
          <cell r="K5016">
            <v>3.5</v>
          </cell>
        </row>
        <row r="5017">
          <cell r="C5017" t="str">
            <v>莊廉琯</v>
          </cell>
          <cell r="F5017" t="str">
            <v>M240201R1</v>
          </cell>
          <cell r="J5017">
            <v>45574</v>
          </cell>
          <cell r="K5017">
            <v>1</v>
          </cell>
        </row>
        <row r="5018">
          <cell r="C5018" t="str">
            <v>莊廉琯</v>
          </cell>
          <cell r="F5018" t="str">
            <v>M240702C1</v>
          </cell>
          <cell r="J5018">
            <v>45579</v>
          </cell>
          <cell r="K5018">
            <v>8</v>
          </cell>
        </row>
        <row r="5019">
          <cell r="C5019" t="str">
            <v>莊廉琯</v>
          </cell>
          <cell r="F5019" t="str">
            <v>F200201S1</v>
          </cell>
          <cell r="J5019">
            <v>45580</v>
          </cell>
          <cell r="K5019">
            <v>8</v>
          </cell>
        </row>
        <row r="5020">
          <cell r="C5020" t="str">
            <v>莊廉琯</v>
          </cell>
          <cell r="J5020">
            <v>45581</v>
          </cell>
          <cell r="K5020">
            <v>2</v>
          </cell>
        </row>
        <row r="5021">
          <cell r="C5021" t="str">
            <v>莊廉琯</v>
          </cell>
          <cell r="F5021" t="str">
            <v>M240201R1</v>
          </cell>
          <cell r="J5021">
            <v>45581</v>
          </cell>
          <cell r="K5021">
            <v>3.5</v>
          </cell>
        </row>
        <row r="5022">
          <cell r="C5022" t="str">
            <v>莊廉琯</v>
          </cell>
          <cell r="F5022" t="str">
            <v>M240201R1</v>
          </cell>
          <cell r="J5022">
            <v>45581</v>
          </cell>
          <cell r="K5022">
            <v>2.5</v>
          </cell>
        </row>
        <row r="5023">
          <cell r="C5023" t="str">
            <v>莊廉琯</v>
          </cell>
          <cell r="J5023">
            <v>45582</v>
          </cell>
          <cell r="K5023">
            <v>8</v>
          </cell>
        </row>
        <row r="5024">
          <cell r="C5024" t="str">
            <v>莊廉琯</v>
          </cell>
          <cell r="J5024">
            <v>45583</v>
          </cell>
          <cell r="K5024">
            <v>8</v>
          </cell>
        </row>
        <row r="5025">
          <cell r="C5025" t="str">
            <v>莊廉琯</v>
          </cell>
          <cell r="J5025">
            <v>45586</v>
          </cell>
          <cell r="K5025">
            <v>8</v>
          </cell>
        </row>
        <row r="5026">
          <cell r="C5026" t="str">
            <v>莊廉琯</v>
          </cell>
          <cell r="J5026">
            <v>45587</v>
          </cell>
          <cell r="K5026">
            <v>3.5</v>
          </cell>
        </row>
        <row r="5027">
          <cell r="C5027" t="str">
            <v>莊廉琯</v>
          </cell>
          <cell r="J5027">
            <v>45587</v>
          </cell>
          <cell r="K5027">
            <v>1.5</v>
          </cell>
        </row>
        <row r="5028">
          <cell r="C5028" t="str">
            <v>莊廉琯</v>
          </cell>
          <cell r="F5028" t="str">
            <v>M240201R1</v>
          </cell>
          <cell r="J5028">
            <v>45587</v>
          </cell>
          <cell r="K5028">
            <v>3</v>
          </cell>
        </row>
        <row r="5029">
          <cell r="C5029" t="str">
            <v>莊廉琯</v>
          </cell>
          <cell r="J5029">
            <v>45588</v>
          </cell>
          <cell r="K5029">
            <v>1</v>
          </cell>
        </row>
        <row r="5030">
          <cell r="C5030" t="str">
            <v>莊廉琯</v>
          </cell>
          <cell r="F5030" t="str">
            <v>M240302R1</v>
          </cell>
          <cell r="J5030">
            <v>45588</v>
          </cell>
          <cell r="K5030">
            <v>2</v>
          </cell>
        </row>
        <row r="5031">
          <cell r="C5031" t="str">
            <v>莊廉琯</v>
          </cell>
          <cell r="J5031">
            <v>45588</v>
          </cell>
          <cell r="K5031">
            <v>3.5</v>
          </cell>
        </row>
        <row r="5032">
          <cell r="C5032" t="str">
            <v>莊廉琯</v>
          </cell>
          <cell r="J5032">
            <v>45588</v>
          </cell>
          <cell r="K5032">
            <v>1.5</v>
          </cell>
        </row>
        <row r="5033">
          <cell r="C5033" t="str">
            <v>莊廉琯</v>
          </cell>
          <cell r="F5033" t="str">
            <v>F200201S1</v>
          </cell>
          <cell r="J5033">
            <v>45589</v>
          </cell>
          <cell r="K5033">
            <v>8</v>
          </cell>
        </row>
        <row r="5034">
          <cell r="C5034" t="str">
            <v>莊廉琯</v>
          </cell>
          <cell r="F5034" t="str">
            <v>M240302R1</v>
          </cell>
          <cell r="J5034">
            <v>45590</v>
          </cell>
          <cell r="K5034">
            <v>3.5</v>
          </cell>
        </row>
        <row r="5035">
          <cell r="C5035" t="str">
            <v>莊廉琯</v>
          </cell>
          <cell r="F5035" t="str">
            <v>M240702C1</v>
          </cell>
          <cell r="J5035">
            <v>45590</v>
          </cell>
          <cell r="K5035">
            <v>5.5</v>
          </cell>
        </row>
        <row r="5036">
          <cell r="C5036" t="str">
            <v>莊廉琯</v>
          </cell>
          <cell r="J5036">
            <v>45593</v>
          </cell>
          <cell r="K5036">
            <v>3.5</v>
          </cell>
        </row>
        <row r="5037">
          <cell r="C5037" t="str">
            <v>莊廉琯</v>
          </cell>
          <cell r="F5037" t="str">
            <v>M240702C1</v>
          </cell>
          <cell r="J5037">
            <v>45593</v>
          </cell>
          <cell r="K5037">
            <v>6.5</v>
          </cell>
        </row>
        <row r="5038">
          <cell r="C5038" t="str">
            <v>莊廉琯</v>
          </cell>
          <cell r="F5038" t="str">
            <v>M240702C1</v>
          </cell>
          <cell r="J5038">
            <v>45594</v>
          </cell>
          <cell r="K5038">
            <v>10</v>
          </cell>
        </row>
        <row r="5039">
          <cell r="C5039" t="str">
            <v>莊廉琯</v>
          </cell>
          <cell r="F5039" t="str">
            <v>M240702C1</v>
          </cell>
          <cell r="J5039">
            <v>45595</v>
          </cell>
          <cell r="K5039">
            <v>8</v>
          </cell>
        </row>
        <row r="5040">
          <cell r="C5040" t="str">
            <v>莊廉琯</v>
          </cell>
          <cell r="J5040">
            <v>45596</v>
          </cell>
          <cell r="K5040">
            <v>8</v>
          </cell>
        </row>
        <row r="5041">
          <cell r="C5041" t="str">
            <v>莊廉琯</v>
          </cell>
          <cell r="F5041" t="str">
            <v>F200201S1</v>
          </cell>
          <cell r="J5041">
            <v>45597</v>
          </cell>
          <cell r="K5041">
            <v>3</v>
          </cell>
        </row>
        <row r="5042">
          <cell r="C5042" t="str">
            <v>莊廉琯</v>
          </cell>
          <cell r="J5042">
            <v>45597</v>
          </cell>
          <cell r="K5042">
            <v>1.5</v>
          </cell>
        </row>
        <row r="5043">
          <cell r="C5043" t="str">
            <v>莊廉琯</v>
          </cell>
          <cell r="J5043">
            <v>45597</v>
          </cell>
          <cell r="K5043">
            <v>1</v>
          </cell>
        </row>
        <row r="5044">
          <cell r="C5044" t="str">
            <v>莊廉琯</v>
          </cell>
          <cell r="F5044" t="str">
            <v>M240702C1</v>
          </cell>
          <cell r="J5044">
            <v>45597</v>
          </cell>
          <cell r="K5044">
            <v>2.5</v>
          </cell>
        </row>
        <row r="5045">
          <cell r="C5045" t="str">
            <v>莊廉琯</v>
          </cell>
          <cell r="J5045">
            <v>45600</v>
          </cell>
          <cell r="K5045">
            <v>8</v>
          </cell>
        </row>
        <row r="5046">
          <cell r="C5046" t="str">
            <v>莊廉琯</v>
          </cell>
          <cell r="J5046">
            <v>45601</v>
          </cell>
          <cell r="K5046">
            <v>8</v>
          </cell>
        </row>
        <row r="5047">
          <cell r="C5047" t="str">
            <v>莊廉琯</v>
          </cell>
          <cell r="J5047">
            <v>45602</v>
          </cell>
          <cell r="K5047">
            <v>8</v>
          </cell>
        </row>
        <row r="5048">
          <cell r="C5048" t="str">
            <v>莊廉琯</v>
          </cell>
          <cell r="F5048" t="str">
            <v>M240201R1</v>
          </cell>
          <cell r="J5048">
            <v>45607</v>
          </cell>
          <cell r="K5048">
            <v>8</v>
          </cell>
        </row>
        <row r="5049">
          <cell r="C5049" t="str">
            <v>莊廉琯</v>
          </cell>
          <cell r="F5049" t="str">
            <v>F200201S1</v>
          </cell>
          <cell r="J5049">
            <v>45608</v>
          </cell>
          <cell r="K5049">
            <v>7</v>
          </cell>
        </row>
        <row r="5050">
          <cell r="C5050" t="str">
            <v>莊廉琯</v>
          </cell>
          <cell r="F5050" t="str">
            <v>M240703R1</v>
          </cell>
          <cell r="J5050">
            <v>45608</v>
          </cell>
          <cell r="K5050">
            <v>1</v>
          </cell>
        </row>
        <row r="5051">
          <cell r="C5051" t="str">
            <v>莊廉琯</v>
          </cell>
          <cell r="J5051">
            <v>45609</v>
          </cell>
          <cell r="K5051">
            <v>2.5</v>
          </cell>
        </row>
        <row r="5052">
          <cell r="C5052" t="str">
            <v>莊廉琯</v>
          </cell>
          <cell r="J5052">
            <v>45609</v>
          </cell>
          <cell r="K5052">
            <v>1</v>
          </cell>
        </row>
        <row r="5053">
          <cell r="C5053" t="str">
            <v>莊廉琯</v>
          </cell>
          <cell r="J5053">
            <v>45609</v>
          </cell>
          <cell r="K5053">
            <v>1</v>
          </cell>
        </row>
        <row r="5054">
          <cell r="C5054" t="str">
            <v>莊廉琯</v>
          </cell>
          <cell r="F5054" t="str">
            <v>M240703R1</v>
          </cell>
          <cell r="J5054">
            <v>45609</v>
          </cell>
          <cell r="K5054">
            <v>3.5</v>
          </cell>
        </row>
        <row r="5055">
          <cell r="C5055" t="str">
            <v>莊廉琯</v>
          </cell>
          <cell r="F5055" t="str">
            <v>M240703R1</v>
          </cell>
          <cell r="J5055">
            <v>45610</v>
          </cell>
          <cell r="K5055">
            <v>8</v>
          </cell>
        </row>
        <row r="5056">
          <cell r="C5056" t="str">
            <v>莊廉琯</v>
          </cell>
          <cell r="F5056" t="str">
            <v>M240703R1</v>
          </cell>
          <cell r="J5056">
            <v>45611</v>
          </cell>
          <cell r="K5056">
            <v>4.5</v>
          </cell>
        </row>
        <row r="5057">
          <cell r="C5057" t="str">
            <v>莊廉琯</v>
          </cell>
          <cell r="F5057" t="str">
            <v>M240703R1</v>
          </cell>
          <cell r="J5057">
            <v>45614</v>
          </cell>
          <cell r="K5057">
            <v>8</v>
          </cell>
        </row>
        <row r="5058">
          <cell r="C5058" t="str">
            <v>莊廉琯</v>
          </cell>
          <cell r="F5058" t="str">
            <v>M240703R1</v>
          </cell>
          <cell r="J5058">
            <v>45615</v>
          </cell>
          <cell r="K5058">
            <v>8</v>
          </cell>
        </row>
        <row r="5059">
          <cell r="C5059" t="str">
            <v>莊廉琯</v>
          </cell>
          <cell r="J5059">
            <v>45616</v>
          </cell>
          <cell r="K5059">
            <v>0.5</v>
          </cell>
        </row>
        <row r="5060">
          <cell r="C5060" t="str">
            <v>莊廉琯</v>
          </cell>
          <cell r="F5060" t="str">
            <v>M240703R1</v>
          </cell>
          <cell r="J5060">
            <v>45616</v>
          </cell>
          <cell r="K5060">
            <v>7.5</v>
          </cell>
        </row>
        <row r="5061">
          <cell r="C5061" t="str">
            <v>莊廉琯</v>
          </cell>
          <cell r="J5061">
            <v>45691</v>
          </cell>
          <cell r="K5061">
            <v>4</v>
          </cell>
        </row>
        <row r="5062">
          <cell r="C5062" t="str">
            <v>莊廉琯</v>
          </cell>
          <cell r="F5062" t="str">
            <v>M240302R1</v>
          </cell>
          <cell r="J5062">
            <v>45691</v>
          </cell>
          <cell r="K5062">
            <v>4</v>
          </cell>
        </row>
        <row r="5063">
          <cell r="C5063" t="str">
            <v>莊廉琯</v>
          </cell>
          <cell r="J5063">
            <v>45692</v>
          </cell>
          <cell r="K5063">
            <v>2</v>
          </cell>
        </row>
        <row r="5064">
          <cell r="C5064" t="str">
            <v>莊廉琯</v>
          </cell>
          <cell r="F5064" t="str">
            <v>M240302R1</v>
          </cell>
          <cell r="J5064">
            <v>45692</v>
          </cell>
          <cell r="K5064">
            <v>1.5</v>
          </cell>
        </row>
        <row r="5065">
          <cell r="C5065" t="str">
            <v>莊廉琯</v>
          </cell>
          <cell r="F5065" t="str">
            <v>M240302R1</v>
          </cell>
          <cell r="J5065">
            <v>45692</v>
          </cell>
          <cell r="K5065">
            <v>4.5</v>
          </cell>
        </row>
        <row r="5066">
          <cell r="C5066" t="str">
            <v>莊廉琯</v>
          </cell>
          <cell r="J5066">
            <v>45693</v>
          </cell>
          <cell r="K5066">
            <v>8</v>
          </cell>
        </row>
        <row r="5067">
          <cell r="C5067" t="str">
            <v>莊廉琯</v>
          </cell>
          <cell r="J5067">
            <v>45694</v>
          </cell>
          <cell r="K5067">
            <v>8</v>
          </cell>
        </row>
        <row r="5068">
          <cell r="C5068" t="str">
            <v>莊廉琯</v>
          </cell>
          <cell r="J5068">
            <v>45695</v>
          </cell>
          <cell r="K5068">
            <v>8</v>
          </cell>
        </row>
        <row r="5069">
          <cell r="C5069" t="str">
            <v>莊廉琯</v>
          </cell>
          <cell r="J5069">
            <v>45696</v>
          </cell>
          <cell r="K5069">
            <v>8</v>
          </cell>
        </row>
        <row r="5070">
          <cell r="C5070" t="str">
            <v>莊廉琯</v>
          </cell>
          <cell r="F5070" t="str">
            <v>M240201R1</v>
          </cell>
          <cell r="J5070">
            <v>45698</v>
          </cell>
          <cell r="K5070">
            <v>3.5</v>
          </cell>
        </row>
        <row r="5071">
          <cell r="C5071" t="str">
            <v>莊廉琯</v>
          </cell>
          <cell r="J5071">
            <v>45698</v>
          </cell>
          <cell r="K5071">
            <v>4.5</v>
          </cell>
        </row>
        <row r="5072">
          <cell r="C5072" t="str">
            <v>莊廉琯</v>
          </cell>
          <cell r="J5072">
            <v>45699</v>
          </cell>
          <cell r="K5072">
            <v>4</v>
          </cell>
        </row>
        <row r="5073">
          <cell r="C5073" t="str">
            <v>莊廉琯</v>
          </cell>
          <cell r="F5073" t="str">
            <v>M240704R1</v>
          </cell>
          <cell r="J5073">
            <v>45699</v>
          </cell>
          <cell r="K5073">
            <v>4</v>
          </cell>
        </row>
        <row r="5074">
          <cell r="C5074" t="str">
            <v>莊廉琯</v>
          </cell>
          <cell r="J5074">
            <v>45700</v>
          </cell>
          <cell r="K5074">
            <v>4</v>
          </cell>
        </row>
        <row r="5075">
          <cell r="C5075" t="str">
            <v>莊廉琯</v>
          </cell>
          <cell r="F5075" t="str">
            <v>M240704R1</v>
          </cell>
          <cell r="J5075">
            <v>45700</v>
          </cell>
          <cell r="K5075">
            <v>4</v>
          </cell>
        </row>
        <row r="5076">
          <cell r="C5076" t="str">
            <v>莊廉琯</v>
          </cell>
          <cell r="J5076">
            <v>45701</v>
          </cell>
          <cell r="K5076">
            <v>3.5</v>
          </cell>
        </row>
        <row r="5077">
          <cell r="C5077" t="str">
            <v>莊廉琯</v>
          </cell>
          <cell r="F5077" t="str">
            <v>M240201R1</v>
          </cell>
          <cell r="J5077">
            <v>45701</v>
          </cell>
          <cell r="K5077">
            <v>4.5</v>
          </cell>
        </row>
        <row r="5078">
          <cell r="C5078" t="str">
            <v>莊廉琯</v>
          </cell>
          <cell r="J5078">
            <v>45702</v>
          </cell>
          <cell r="K5078">
            <v>8</v>
          </cell>
        </row>
        <row r="5079">
          <cell r="C5079" t="str">
            <v>莊廉琯</v>
          </cell>
          <cell r="F5079" t="str">
            <v>M240701C1</v>
          </cell>
          <cell r="J5079">
            <v>45705</v>
          </cell>
          <cell r="K5079">
            <v>8</v>
          </cell>
        </row>
        <row r="5080">
          <cell r="C5080" t="str">
            <v>莊廉琯</v>
          </cell>
          <cell r="F5080" t="str">
            <v>M240201R1</v>
          </cell>
          <cell r="J5080">
            <v>45706</v>
          </cell>
          <cell r="K5080">
            <v>4</v>
          </cell>
        </row>
        <row r="5081">
          <cell r="C5081" t="str">
            <v>莊廉琯</v>
          </cell>
          <cell r="F5081" t="str">
            <v>M240701C1</v>
          </cell>
          <cell r="J5081">
            <v>45706</v>
          </cell>
          <cell r="K5081">
            <v>4</v>
          </cell>
        </row>
        <row r="5082">
          <cell r="C5082" t="str">
            <v>莊廉琯</v>
          </cell>
          <cell r="F5082" t="str">
            <v>M240201R1</v>
          </cell>
          <cell r="J5082">
            <v>45707</v>
          </cell>
          <cell r="K5082">
            <v>4</v>
          </cell>
        </row>
        <row r="5083">
          <cell r="C5083" t="str">
            <v>莊廉琯</v>
          </cell>
          <cell r="F5083" t="str">
            <v>M240701C1</v>
          </cell>
          <cell r="J5083">
            <v>45707</v>
          </cell>
          <cell r="K5083">
            <v>4</v>
          </cell>
        </row>
        <row r="5084">
          <cell r="C5084" t="str">
            <v>莊廉琯</v>
          </cell>
          <cell r="F5084" t="str">
            <v>M240701C1</v>
          </cell>
          <cell r="J5084">
            <v>45708</v>
          </cell>
          <cell r="K5084">
            <v>8</v>
          </cell>
        </row>
        <row r="5085">
          <cell r="C5085" t="str">
            <v>莊廉琯</v>
          </cell>
          <cell r="F5085" t="str">
            <v>M240701C1</v>
          </cell>
          <cell r="J5085">
            <v>45709</v>
          </cell>
          <cell r="K5085">
            <v>8</v>
          </cell>
        </row>
        <row r="5086">
          <cell r="C5086" t="str">
            <v>莊廉琯</v>
          </cell>
          <cell r="J5086">
            <v>45712</v>
          </cell>
          <cell r="K5086">
            <v>4.5</v>
          </cell>
        </row>
        <row r="5087">
          <cell r="C5087" t="str">
            <v>莊廉琯</v>
          </cell>
          <cell r="F5087" t="str">
            <v>M240701C1</v>
          </cell>
          <cell r="J5087">
            <v>45712</v>
          </cell>
          <cell r="K5087">
            <v>3.5</v>
          </cell>
        </row>
        <row r="5088">
          <cell r="C5088" t="str">
            <v>莊廉琯</v>
          </cell>
          <cell r="F5088" t="str">
            <v>M240703R1</v>
          </cell>
          <cell r="J5088">
            <v>45713</v>
          </cell>
          <cell r="K5088">
            <v>4.5</v>
          </cell>
        </row>
        <row r="5089">
          <cell r="C5089" t="str">
            <v>莊廉琯</v>
          </cell>
          <cell r="F5089" t="str">
            <v>M240701C1</v>
          </cell>
          <cell r="J5089">
            <v>45713</v>
          </cell>
          <cell r="K5089">
            <v>3.5</v>
          </cell>
        </row>
        <row r="5090">
          <cell r="C5090" t="str">
            <v>莊廉琯</v>
          </cell>
          <cell r="J5090">
            <v>45714</v>
          </cell>
          <cell r="K5090">
            <v>3.5</v>
          </cell>
        </row>
        <row r="5091">
          <cell r="C5091" t="str">
            <v>莊廉琯</v>
          </cell>
          <cell r="F5091" t="str">
            <v>M240703R1</v>
          </cell>
          <cell r="J5091">
            <v>45714</v>
          </cell>
          <cell r="K5091">
            <v>4.5</v>
          </cell>
        </row>
        <row r="5092">
          <cell r="C5092" t="str">
            <v>莊廉琯</v>
          </cell>
          <cell r="J5092">
            <v>45719</v>
          </cell>
          <cell r="K5092">
            <v>8</v>
          </cell>
        </row>
        <row r="5093">
          <cell r="C5093" t="str">
            <v>莊廉琯</v>
          </cell>
          <cell r="F5093" t="str">
            <v>M240703R1</v>
          </cell>
          <cell r="J5093">
            <v>45720</v>
          </cell>
          <cell r="K5093">
            <v>8</v>
          </cell>
        </row>
        <row r="5094">
          <cell r="C5094" t="str">
            <v>莊廉琯</v>
          </cell>
          <cell r="F5094" t="str">
            <v>M240703R1</v>
          </cell>
          <cell r="J5094">
            <v>45721</v>
          </cell>
          <cell r="K5094">
            <v>8</v>
          </cell>
        </row>
        <row r="5095">
          <cell r="C5095" t="str">
            <v>莊廉琯</v>
          </cell>
          <cell r="F5095" t="str">
            <v>M240703R1</v>
          </cell>
          <cell r="J5095">
            <v>45722</v>
          </cell>
          <cell r="K5095">
            <v>8</v>
          </cell>
        </row>
        <row r="5096">
          <cell r="C5096" t="str">
            <v>莊廉琯</v>
          </cell>
          <cell r="F5096" t="str">
            <v>M240703R1</v>
          </cell>
          <cell r="J5096">
            <v>45723</v>
          </cell>
          <cell r="K5096">
            <v>8</v>
          </cell>
        </row>
        <row r="5097">
          <cell r="C5097" t="str">
            <v>莊廉琯</v>
          </cell>
          <cell r="F5097" t="str">
            <v>M240703R1</v>
          </cell>
          <cell r="J5097">
            <v>45726</v>
          </cell>
          <cell r="K5097">
            <v>8</v>
          </cell>
        </row>
        <row r="5098">
          <cell r="C5098" t="str">
            <v>莊廉琯</v>
          </cell>
          <cell r="F5098" t="str">
            <v>M240703R1</v>
          </cell>
          <cell r="J5098">
            <v>45727</v>
          </cell>
          <cell r="K5098">
            <v>8</v>
          </cell>
        </row>
        <row r="5099">
          <cell r="C5099" t="str">
            <v>莊廉琯</v>
          </cell>
          <cell r="F5099" t="str">
            <v>M240703R1</v>
          </cell>
          <cell r="J5099">
            <v>45728</v>
          </cell>
          <cell r="K5099">
            <v>8</v>
          </cell>
        </row>
        <row r="5100">
          <cell r="C5100" t="str">
            <v>莊廉琯</v>
          </cell>
          <cell r="F5100" t="str">
            <v>M240703R1</v>
          </cell>
          <cell r="J5100">
            <v>45729</v>
          </cell>
          <cell r="K5100">
            <v>8</v>
          </cell>
        </row>
        <row r="5101">
          <cell r="C5101" t="str">
            <v>莊廉琯</v>
          </cell>
          <cell r="F5101" t="str">
            <v>M240703R1</v>
          </cell>
          <cell r="J5101">
            <v>45730</v>
          </cell>
          <cell r="K5101">
            <v>8</v>
          </cell>
        </row>
        <row r="5102">
          <cell r="C5102" t="str">
            <v>莊廉琯</v>
          </cell>
          <cell r="F5102" t="str">
            <v>M240703R1</v>
          </cell>
          <cell r="J5102">
            <v>45733</v>
          </cell>
          <cell r="K5102">
            <v>8</v>
          </cell>
        </row>
        <row r="5103">
          <cell r="C5103" t="str">
            <v>莊廉琯</v>
          </cell>
          <cell r="J5103">
            <v>45734</v>
          </cell>
          <cell r="K5103">
            <v>2</v>
          </cell>
        </row>
        <row r="5104">
          <cell r="C5104" t="str">
            <v>莊廉琯</v>
          </cell>
          <cell r="F5104" t="str">
            <v>M240703R1</v>
          </cell>
          <cell r="J5104">
            <v>45734</v>
          </cell>
          <cell r="K5104">
            <v>6</v>
          </cell>
        </row>
        <row r="5105">
          <cell r="C5105" t="str">
            <v>莊廉琯</v>
          </cell>
          <cell r="F5105" t="str">
            <v>M240703R1</v>
          </cell>
          <cell r="J5105">
            <v>45735</v>
          </cell>
          <cell r="K5105">
            <v>9</v>
          </cell>
        </row>
        <row r="5106">
          <cell r="C5106" t="str">
            <v>莊廉琯</v>
          </cell>
          <cell r="F5106" t="str">
            <v>M240703R1</v>
          </cell>
          <cell r="J5106">
            <v>45736</v>
          </cell>
          <cell r="K5106">
            <v>8</v>
          </cell>
        </row>
        <row r="5107">
          <cell r="C5107" t="str">
            <v>莊廉琯</v>
          </cell>
          <cell r="F5107" t="str">
            <v>M240703R1</v>
          </cell>
          <cell r="J5107">
            <v>45740</v>
          </cell>
          <cell r="K5107">
            <v>8</v>
          </cell>
        </row>
        <row r="5108">
          <cell r="C5108" t="str">
            <v>莊廉琯</v>
          </cell>
          <cell r="F5108" t="str">
            <v>M240703R1</v>
          </cell>
          <cell r="J5108">
            <v>45741</v>
          </cell>
          <cell r="K5108">
            <v>8</v>
          </cell>
        </row>
        <row r="5109">
          <cell r="C5109" t="str">
            <v>莊廉琯</v>
          </cell>
          <cell r="F5109" t="str">
            <v>M240703R1</v>
          </cell>
          <cell r="J5109">
            <v>45742</v>
          </cell>
          <cell r="K5109">
            <v>8</v>
          </cell>
        </row>
        <row r="5110">
          <cell r="C5110" t="str">
            <v>莊廉琯</v>
          </cell>
          <cell r="F5110" t="str">
            <v>M240703R1</v>
          </cell>
          <cell r="J5110">
            <v>45743</v>
          </cell>
          <cell r="K5110">
            <v>8</v>
          </cell>
        </row>
        <row r="5111">
          <cell r="C5111" t="str">
            <v>莊廉琯</v>
          </cell>
          <cell r="F5111" t="str">
            <v>M240703R1</v>
          </cell>
          <cell r="J5111">
            <v>45744</v>
          </cell>
          <cell r="K5111">
            <v>8</v>
          </cell>
        </row>
        <row r="5112">
          <cell r="C5112" t="str">
            <v>莊廉琯</v>
          </cell>
          <cell r="F5112" t="str">
            <v>M240703R1</v>
          </cell>
          <cell r="J5112">
            <v>45747</v>
          </cell>
          <cell r="K5112">
            <v>2</v>
          </cell>
        </row>
        <row r="5113">
          <cell r="C5113" t="str">
            <v>莊廉琯</v>
          </cell>
          <cell r="F5113" t="str">
            <v>M240703R1</v>
          </cell>
          <cell r="J5113">
            <v>45747</v>
          </cell>
          <cell r="K5113">
            <v>6</v>
          </cell>
        </row>
        <row r="5114">
          <cell r="C5114" t="str">
            <v>莊廉琯</v>
          </cell>
          <cell r="F5114" t="str">
            <v>M240703R1</v>
          </cell>
          <cell r="J5114">
            <v>45748</v>
          </cell>
          <cell r="K5114">
            <v>8</v>
          </cell>
        </row>
        <row r="5115">
          <cell r="C5115" t="str">
            <v>莊廉琯</v>
          </cell>
          <cell r="F5115" t="str">
            <v>M240703R1</v>
          </cell>
          <cell r="J5115">
            <v>45749</v>
          </cell>
          <cell r="K5115">
            <v>8</v>
          </cell>
        </row>
        <row r="5116">
          <cell r="C5116" t="str">
            <v>莊廉琯</v>
          </cell>
          <cell r="F5116" t="str">
            <v>M240703R1</v>
          </cell>
          <cell r="J5116">
            <v>45754</v>
          </cell>
          <cell r="K5116">
            <v>8</v>
          </cell>
        </row>
        <row r="5117">
          <cell r="C5117" t="str">
            <v>莊廉琯</v>
          </cell>
          <cell r="J5117">
            <v>45755</v>
          </cell>
          <cell r="K5117">
            <v>4.5</v>
          </cell>
        </row>
        <row r="5118">
          <cell r="C5118" t="str">
            <v>莊廉琯</v>
          </cell>
          <cell r="F5118" t="str">
            <v>M240703R1</v>
          </cell>
          <cell r="J5118">
            <v>45755</v>
          </cell>
          <cell r="K5118">
            <v>3.5</v>
          </cell>
        </row>
        <row r="5119">
          <cell r="C5119" t="str">
            <v>莊廉琯</v>
          </cell>
          <cell r="J5119">
            <v>45756</v>
          </cell>
          <cell r="K5119">
            <v>1</v>
          </cell>
        </row>
        <row r="5120">
          <cell r="C5120" t="str">
            <v>莊廉琯</v>
          </cell>
          <cell r="F5120" t="str">
            <v>M240703R1</v>
          </cell>
          <cell r="J5120">
            <v>45756</v>
          </cell>
          <cell r="K5120">
            <v>2.5</v>
          </cell>
        </row>
        <row r="5121">
          <cell r="C5121" t="str">
            <v>莊廉琯</v>
          </cell>
          <cell r="F5121" t="str">
            <v>M240703R1</v>
          </cell>
          <cell r="J5121">
            <v>45756</v>
          </cell>
          <cell r="K5121">
            <v>4.5</v>
          </cell>
        </row>
        <row r="5122">
          <cell r="C5122" t="str">
            <v>莊廉琯</v>
          </cell>
          <cell r="J5122">
            <v>45757</v>
          </cell>
          <cell r="K5122">
            <v>8</v>
          </cell>
        </row>
        <row r="5123">
          <cell r="C5123" t="str">
            <v>莊廉琯</v>
          </cell>
          <cell r="F5123" t="str">
            <v>M240703R1</v>
          </cell>
          <cell r="J5123">
            <v>45758</v>
          </cell>
          <cell r="K5123">
            <v>8</v>
          </cell>
        </row>
        <row r="5124">
          <cell r="C5124" t="str">
            <v>莊廉琯</v>
          </cell>
          <cell r="F5124" t="str">
            <v>M240703R1</v>
          </cell>
          <cell r="J5124">
            <v>45761</v>
          </cell>
          <cell r="K5124">
            <v>8</v>
          </cell>
        </row>
        <row r="5125">
          <cell r="C5125" t="str">
            <v>莊廉琯</v>
          </cell>
          <cell r="F5125" t="str">
            <v>M240703R1</v>
          </cell>
          <cell r="J5125">
            <v>45762</v>
          </cell>
          <cell r="K5125">
            <v>8</v>
          </cell>
        </row>
        <row r="5126">
          <cell r="C5126" t="str">
            <v>莊廉琯</v>
          </cell>
          <cell r="F5126" t="str">
            <v>M240703R1</v>
          </cell>
          <cell r="J5126">
            <v>45763</v>
          </cell>
          <cell r="K5126">
            <v>8</v>
          </cell>
        </row>
        <row r="5127">
          <cell r="C5127" t="str">
            <v>莊廉琯</v>
          </cell>
          <cell r="J5127">
            <v>45764</v>
          </cell>
          <cell r="K5127">
            <v>8</v>
          </cell>
        </row>
        <row r="5128">
          <cell r="C5128" t="str">
            <v>莊廉琯</v>
          </cell>
          <cell r="J5128">
            <v>45765</v>
          </cell>
          <cell r="K5128">
            <v>8</v>
          </cell>
        </row>
        <row r="5129">
          <cell r="C5129" t="str">
            <v>莊廉琯</v>
          </cell>
          <cell r="J5129">
            <v>45768</v>
          </cell>
          <cell r="K5129">
            <v>8</v>
          </cell>
        </row>
        <row r="5130">
          <cell r="C5130" t="str">
            <v>莊廉琯</v>
          </cell>
          <cell r="J5130">
            <v>45769</v>
          </cell>
          <cell r="K5130">
            <v>8</v>
          </cell>
        </row>
        <row r="5131">
          <cell r="C5131" t="str">
            <v>莊廉琯</v>
          </cell>
          <cell r="J5131">
            <v>45770</v>
          </cell>
          <cell r="K5131">
            <v>5.5</v>
          </cell>
        </row>
        <row r="5132">
          <cell r="C5132" t="str">
            <v>莊廉琯</v>
          </cell>
          <cell r="F5132" t="str">
            <v>M240703R1</v>
          </cell>
          <cell r="J5132">
            <v>45770</v>
          </cell>
          <cell r="K5132">
            <v>2.5</v>
          </cell>
        </row>
        <row r="5133">
          <cell r="C5133" t="str">
            <v>莊廉琯</v>
          </cell>
          <cell r="J5133">
            <v>45771</v>
          </cell>
          <cell r="K5133">
            <v>5.5</v>
          </cell>
        </row>
        <row r="5134">
          <cell r="C5134" t="str">
            <v>莊廉琯</v>
          </cell>
          <cell r="F5134" t="str">
            <v>M240703R1</v>
          </cell>
          <cell r="J5134">
            <v>45771</v>
          </cell>
          <cell r="K5134">
            <v>3.5</v>
          </cell>
        </row>
        <row r="5135">
          <cell r="C5135" t="str">
            <v>莊廉琯</v>
          </cell>
          <cell r="F5135" t="str">
            <v>M240703R1</v>
          </cell>
          <cell r="J5135">
            <v>45772</v>
          </cell>
          <cell r="K5135">
            <v>8</v>
          </cell>
        </row>
        <row r="5136">
          <cell r="C5136" t="str">
            <v>莊廉琯</v>
          </cell>
          <cell r="F5136" t="str">
            <v>M240703R1</v>
          </cell>
          <cell r="J5136">
            <v>45775</v>
          </cell>
          <cell r="K5136">
            <v>8</v>
          </cell>
        </row>
        <row r="5137">
          <cell r="C5137" t="str">
            <v>莊廉琯</v>
          </cell>
          <cell r="J5137">
            <v>45776</v>
          </cell>
          <cell r="K5137">
            <v>8</v>
          </cell>
        </row>
        <row r="5138">
          <cell r="C5138" t="str">
            <v>莊廉琯</v>
          </cell>
          <cell r="F5138" t="str">
            <v>M240703R1</v>
          </cell>
          <cell r="J5138">
            <v>45777</v>
          </cell>
          <cell r="K5138">
            <v>8</v>
          </cell>
        </row>
        <row r="5139">
          <cell r="C5139" t="str">
            <v>莊廉琯</v>
          </cell>
          <cell r="J5139">
            <v>45779</v>
          </cell>
          <cell r="K5139">
            <v>8</v>
          </cell>
        </row>
        <row r="5140">
          <cell r="C5140" t="str">
            <v>莊廉琯</v>
          </cell>
          <cell r="F5140" t="str">
            <v>M240703R1</v>
          </cell>
          <cell r="J5140">
            <v>45782</v>
          </cell>
          <cell r="K5140">
            <v>8</v>
          </cell>
        </row>
        <row r="5141">
          <cell r="C5141" t="str">
            <v>莊廉琯</v>
          </cell>
          <cell r="F5141" t="str">
            <v>M240703R1</v>
          </cell>
          <cell r="J5141">
            <v>45783</v>
          </cell>
          <cell r="K5141">
            <v>4</v>
          </cell>
        </row>
        <row r="5142">
          <cell r="C5142" t="str">
            <v>莊廉琯</v>
          </cell>
          <cell r="F5142" t="str">
            <v>M240703R1</v>
          </cell>
          <cell r="J5142">
            <v>45783</v>
          </cell>
          <cell r="K5142">
            <v>4</v>
          </cell>
        </row>
        <row r="5143">
          <cell r="C5143" t="str">
            <v>莊廉琯</v>
          </cell>
          <cell r="F5143" t="str">
            <v>M240703R1</v>
          </cell>
          <cell r="J5143">
            <v>45784</v>
          </cell>
          <cell r="K5143">
            <v>8</v>
          </cell>
        </row>
        <row r="5144">
          <cell r="C5144" t="str">
            <v>莊廉琯</v>
          </cell>
          <cell r="F5144" t="str">
            <v>M240703R1</v>
          </cell>
          <cell r="J5144">
            <v>45785</v>
          </cell>
          <cell r="K5144">
            <v>8</v>
          </cell>
        </row>
        <row r="5145">
          <cell r="C5145" t="str">
            <v>莊廉琯</v>
          </cell>
          <cell r="F5145" t="str">
            <v>M240703R1</v>
          </cell>
          <cell r="J5145">
            <v>45786</v>
          </cell>
          <cell r="K5145">
            <v>4.5</v>
          </cell>
        </row>
        <row r="5146">
          <cell r="C5146" t="str">
            <v>莊廉琯</v>
          </cell>
          <cell r="F5146" t="str">
            <v>M240703R1</v>
          </cell>
          <cell r="J5146">
            <v>45786</v>
          </cell>
          <cell r="K5146">
            <v>3.5</v>
          </cell>
        </row>
        <row r="5147">
          <cell r="C5147" t="str">
            <v>莊廉琯</v>
          </cell>
          <cell r="J5147">
            <v>45789</v>
          </cell>
          <cell r="K5147">
            <v>4.5</v>
          </cell>
        </row>
        <row r="5148">
          <cell r="C5148" t="str">
            <v>莊廉琯</v>
          </cell>
          <cell r="F5148" t="str">
            <v>M240703R1</v>
          </cell>
          <cell r="J5148">
            <v>45789</v>
          </cell>
          <cell r="K5148">
            <v>3.5</v>
          </cell>
        </row>
        <row r="5149">
          <cell r="C5149" t="str">
            <v>莊廉琯</v>
          </cell>
          <cell r="J5149">
            <v>45790</v>
          </cell>
          <cell r="K5149">
            <v>8</v>
          </cell>
        </row>
        <row r="5150">
          <cell r="C5150" t="str">
            <v>莊廉琯</v>
          </cell>
          <cell r="F5150" t="str">
            <v>M240703R1</v>
          </cell>
          <cell r="J5150">
            <v>45791</v>
          </cell>
          <cell r="K5150">
            <v>8</v>
          </cell>
        </row>
        <row r="5151">
          <cell r="C5151" t="str">
            <v>莊廉琯</v>
          </cell>
          <cell r="J5151">
            <v>45792</v>
          </cell>
          <cell r="K5151">
            <v>8</v>
          </cell>
        </row>
        <row r="5152">
          <cell r="C5152" t="str">
            <v>莊廉琯</v>
          </cell>
          <cell r="J5152">
            <v>45793</v>
          </cell>
          <cell r="K5152">
            <v>5.5</v>
          </cell>
        </row>
        <row r="5153">
          <cell r="C5153" t="str">
            <v>莊廉琯</v>
          </cell>
          <cell r="J5153">
            <v>45793</v>
          </cell>
          <cell r="K5153">
            <v>1.5</v>
          </cell>
        </row>
        <row r="5154">
          <cell r="C5154" t="str">
            <v>莊廉琯</v>
          </cell>
          <cell r="J5154">
            <v>45793</v>
          </cell>
          <cell r="K5154">
            <v>1</v>
          </cell>
        </row>
        <row r="5155">
          <cell r="C5155" t="str">
            <v>莊廉琯</v>
          </cell>
          <cell r="J5155">
            <v>45796</v>
          </cell>
          <cell r="K5155">
            <v>8</v>
          </cell>
        </row>
        <row r="5156">
          <cell r="C5156" t="str">
            <v>莊廉琯</v>
          </cell>
          <cell r="F5156" t="str">
            <v>M240703R1</v>
          </cell>
          <cell r="J5156">
            <v>45797</v>
          </cell>
          <cell r="K5156">
            <v>8</v>
          </cell>
        </row>
        <row r="5157">
          <cell r="C5157" t="str">
            <v>莊廉琯</v>
          </cell>
          <cell r="J5157">
            <v>45798</v>
          </cell>
          <cell r="K5157">
            <v>3.5</v>
          </cell>
        </row>
        <row r="5158">
          <cell r="C5158" t="str">
            <v>莊廉琯</v>
          </cell>
          <cell r="F5158" t="str">
            <v>M240703R1</v>
          </cell>
          <cell r="J5158">
            <v>45798</v>
          </cell>
          <cell r="K5158">
            <v>4.5</v>
          </cell>
        </row>
        <row r="5159">
          <cell r="C5159" t="str">
            <v>莊廉琯</v>
          </cell>
          <cell r="J5159">
            <v>45799</v>
          </cell>
          <cell r="K5159">
            <v>8</v>
          </cell>
        </row>
        <row r="5160">
          <cell r="C5160" t="str">
            <v>莊廉琯</v>
          </cell>
          <cell r="J5160">
            <v>45800</v>
          </cell>
          <cell r="K5160">
            <v>8</v>
          </cell>
        </row>
        <row r="5161">
          <cell r="C5161" t="str">
            <v>莊廉琯</v>
          </cell>
          <cell r="J5161">
            <v>45803</v>
          </cell>
          <cell r="K5161">
            <v>4.5</v>
          </cell>
        </row>
        <row r="5162">
          <cell r="C5162" t="str">
            <v>莊廉琯</v>
          </cell>
          <cell r="F5162" t="str">
            <v>M240703R1</v>
          </cell>
          <cell r="J5162">
            <v>45803</v>
          </cell>
          <cell r="K5162">
            <v>3.5</v>
          </cell>
        </row>
        <row r="5163">
          <cell r="C5163" t="str">
            <v>莊廉琯</v>
          </cell>
          <cell r="J5163">
            <v>45804</v>
          </cell>
          <cell r="K5163">
            <v>8</v>
          </cell>
        </row>
        <row r="5164">
          <cell r="C5164" t="str">
            <v>莊廉琯</v>
          </cell>
          <cell r="J5164">
            <v>45805</v>
          </cell>
          <cell r="K5164">
            <v>6</v>
          </cell>
        </row>
        <row r="5165">
          <cell r="C5165" t="str">
            <v>莊廉琯</v>
          </cell>
          <cell r="F5165" t="str">
            <v>M240703R1</v>
          </cell>
          <cell r="J5165">
            <v>45805</v>
          </cell>
          <cell r="K5165">
            <v>2</v>
          </cell>
        </row>
        <row r="5166">
          <cell r="C5166" t="str">
            <v>莊廉琯</v>
          </cell>
          <cell r="J5166">
            <v>45806</v>
          </cell>
          <cell r="K5166">
            <v>4.5</v>
          </cell>
        </row>
        <row r="5167">
          <cell r="C5167" t="str">
            <v>莊廉琯</v>
          </cell>
          <cell r="F5167" t="str">
            <v>M240703R1</v>
          </cell>
          <cell r="J5167">
            <v>45806</v>
          </cell>
          <cell r="K5167">
            <v>3.5</v>
          </cell>
        </row>
        <row r="5168">
          <cell r="C5168" t="str">
            <v>莊廉琯</v>
          </cell>
          <cell r="J5168">
            <v>45810</v>
          </cell>
          <cell r="K5168">
            <v>2</v>
          </cell>
        </row>
        <row r="5169">
          <cell r="C5169" t="str">
            <v>莊廉琯</v>
          </cell>
          <cell r="F5169" t="str">
            <v>M240703R1</v>
          </cell>
          <cell r="J5169">
            <v>45810</v>
          </cell>
          <cell r="K5169">
            <v>6</v>
          </cell>
        </row>
        <row r="5170">
          <cell r="C5170" t="str">
            <v>莊廉琯</v>
          </cell>
          <cell r="J5170">
            <v>45811</v>
          </cell>
          <cell r="K5170">
            <v>8</v>
          </cell>
        </row>
        <row r="5171">
          <cell r="C5171" t="str">
            <v>莊廉琯</v>
          </cell>
          <cell r="F5171" t="str">
            <v>D241001R1</v>
          </cell>
          <cell r="J5171">
            <v>45812</v>
          </cell>
          <cell r="K5171">
            <v>4.5</v>
          </cell>
        </row>
        <row r="5172">
          <cell r="C5172" t="str">
            <v>莊廉琯</v>
          </cell>
          <cell r="J5172">
            <v>45812</v>
          </cell>
          <cell r="K5172">
            <v>3.5</v>
          </cell>
        </row>
        <row r="5173">
          <cell r="C5173" t="str">
            <v>莊廉琯</v>
          </cell>
          <cell r="F5173" t="str">
            <v>D241001R1</v>
          </cell>
          <cell r="J5173">
            <v>45813</v>
          </cell>
          <cell r="K5173">
            <v>8</v>
          </cell>
        </row>
        <row r="5174">
          <cell r="C5174" t="str">
            <v>莊廉琯</v>
          </cell>
          <cell r="J5174">
            <v>45814</v>
          </cell>
          <cell r="K5174">
            <v>8</v>
          </cell>
        </row>
        <row r="5175">
          <cell r="C5175" t="str">
            <v>莊廉琯</v>
          </cell>
          <cell r="J5175">
            <v>45817</v>
          </cell>
          <cell r="K5175">
            <v>8</v>
          </cell>
        </row>
        <row r="5176">
          <cell r="C5176" t="str">
            <v>莊廉琯</v>
          </cell>
          <cell r="F5176" t="str">
            <v>M240703R1</v>
          </cell>
          <cell r="J5176">
            <v>45818</v>
          </cell>
          <cell r="K5176">
            <v>8</v>
          </cell>
        </row>
        <row r="5177">
          <cell r="C5177" t="str">
            <v>莊廉琯</v>
          </cell>
          <cell r="J5177">
            <v>45819</v>
          </cell>
          <cell r="K5177">
            <v>8</v>
          </cell>
        </row>
        <row r="5178">
          <cell r="C5178" t="str">
            <v>莊廉琯</v>
          </cell>
          <cell r="J5178">
            <v>45820</v>
          </cell>
          <cell r="K5178">
            <v>8</v>
          </cell>
        </row>
        <row r="5179">
          <cell r="C5179" t="str">
            <v>莊廉琯</v>
          </cell>
          <cell r="J5179">
            <v>45821</v>
          </cell>
          <cell r="K5179">
            <v>8</v>
          </cell>
        </row>
        <row r="5180">
          <cell r="C5180" t="str">
            <v>莊廉琯</v>
          </cell>
          <cell r="J5180">
            <v>45824</v>
          </cell>
          <cell r="K5180">
            <v>8</v>
          </cell>
        </row>
        <row r="5181">
          <cell r="C5181" t="str">
            <v>莊廉琯</v>
          </cell>
          <cell r="J5181">
            <v>45825</v>
          </cell>
          <cell r="K5181">
            <v>8</v>
          </cell>
        </row>
        <row r="5182">
          <cell r="C5182" t="str">
            <v>莊廉琯</v>
          </cell>
          <cell r="J5182">
            <v>45826</v>
          </cell>
          <cell r="K5182">
            <v>1</v>
          </cell>
        </row>
        <row r="5183">
          <cell r="C5183" t="str">
            <v>莊廉琯</v>
          </cell>
          <cell r="J5183">
            <v>45826</v>
          </cell>
          <cell r="K5183">
            <v>1</v>
          </cell>
        </row>
        <row r="5184">
          <cell r="C5184" t="str">
            <v>莊廉琯</v>
          </cell>
          <cell r="F5184" t="str">
            <v>M240703R1</v>
          </cell>
          <cell r="J5184">
            <v>45826</v>
          </cell>
          <cell r="K5184">
            <v>2.5</v>
          </cell>
        </row>
        <row r="5185">
          <cell r="C5185" t="str">
            <v>莊廉琯</v>
          </cell>
          <cell r="F5185" t="str">
            <v>M240703R1</v>
          </cell>
          <cell r="J5185">
            <v>45826</v>
          </cell>
          <cell r="K5185">
            <v>3.5</v>
          </cell>
        </row>
        <row r="5186">
          <cell r="C5186" t="str">
            <v>莊廉琯</v>
          </cell>
          <cell r="J5186">
            <v>45827</v>
          </cell>
          <cell r="K5186">
            <v>2</v>
          </cell>
        </row>
        <row r="5187">
          <cell r="C5187" t="str">
            <v>莊廉琯</v>
          </cell>
          <cell r="J5187">
            <v>45827</v>
          </cell>
          <cell r="K5187">
            <v>1.5</v>
          </cell>
        </row>
        <row r="5188">
          <cell r="C5188" t="str">
            <v>莊廉琯</v>
          </cell>
          <cell r="F5188" t="str">
            <v>M240701C1</v>
          </cell>
          <cell r="J5188">
            <v>45827</v>
          </cell>
          <cell r="K5188">
            <v>2</v>
          </cell>
        </row>
        <row r="5189">
          <cell r="C5189" t="str">
            <v>莊廉琯</v>
          </cell>
          <cell r="F5189" t="str">
            <v>D250501R1</v>
          </cell>
          <cell r="J5189">
            <v>45827</v>
          </cell>
          <cell r="K5189">
            <v>2.5</v>
          </cell>
        </row>
        <row r="5190">
          <cell r="C5190" t="str">
            <v>莊廉琯</v>
          </cell>
          <cell r="F5190" t="str">
            <v>D250501R1</v>
          </cell>
          <cell r="J5190">
            <v>45828</v>
          </cell>
          <cell r="K5190">
            <v>3.5</v>
          </cell>
        </row>
        <row r="5191">
          <cell r="C5191" t="str">
            <v>莊廉琯</v>
          </cell>
          <cell r="F5191" t="str">
            <v>M240701C1</v>
          </cell>
          <cell r="J5191">
            <v>45828</v>
          </cell>
          <cell r="K5191">
            <v>4.5</v>
          </cell>
        </row>
        <row r="5192">
          <cell r="C5192" t="str">
            <v>莊廉琯</v>
          </cell>
          <cell r="F5192" t="str">
            <v>M240701C1</v>
          </cell>
          <cell r="J5192">
            <v>45831</v>
          </cell>
          <cell r="K5192">
            <v>8</v>
          </cell>
        </row>
        <row r="5193">
          <cell r="C5193" t="str">
            <v>莊廉琯</v>
          </cell>
          <cell r="F5193" t="str">
            <v>D250501R1</v>
          </cell>
          <cell r="J5193">
            <v>45832</v>
          </cell>
          <cell r="K5193">
            <v>8</v>
          </cell>
        </row>
        <row r="5194">
          <cell r="C5194" t="str">
            <v>莊廉琯</v>
          </cell>
          <cell r="J5194">
            <v>45833</v>
          </cell>
          <cell r="K5194">
            <v>8</v>
          </cell>
        </row>
        <row r="5195">
          <cell r="C5195" t="str">
            <v>莊廉琯</v>
          </cell>
          <cell r="J5195">
            <v>45834</v>
          </cell>
          <cell r="K5195">
            <v>1.5</v>
          </cell>
        </row>
        <row r="5196">
          <cell r="C5196" t="str">
            <v>莊廉琯</v>
          </cell>
          <cell r="F5196" t="str">
            <v>M240703R1</v>
          </cell>
          <cell r="J5196">
            <v>45834</v>
          </cell>
          <cell r="K5196">
            <v>6.5</v>
          </cell>
        </row>
        <row r="5197">
          <cell r="C5197" t="str">
            <v>莊廉琯</v>
          </cell>
          <cell r="F5197" t="str">
            <v>M240703R1</v>
          </cell>
          <cell r="J5197">
            <v>45835</v>
          </cell>
          <cell r="K5197">
            <v>8</v>
          </cell>
        </row>
        <row r="5198">
          <cell r="C5198" t="str">
            <v>莊廉琯</v>
          </cell>
          <cell r="J5198">
            <v>45838</v>
          </cell>
          <cell r="K5198">
            <v>3.5</v>
          </cell>
        </row>
        <row r="5199">
          <cell r="C5199" t="str">
            <v>莊廉琯</v>
          </cell>
          <cell r="F5199" t="str">
            <v>M240703R1</v>
          </cell>
          <cell r="J5199">
            <v>45838</v>
          </cell>
          <cell r="K5199">
            <v>3</v>
          </cell>
        </row>
        <row r="5200">
          <cell r="C5200" t="str">
            <v>莊廉琯</v>
          </cell>
          <cell r="F5200" t="str">
            <v>M240703R1</v>
          </cell>
          <cell r="J5200">
            <v>45838</v>
          </cell>
          <cell r="K5200">
            <v>1.5</v>
          </cell>
        </row>
        <row r="5201">
          <cell r="C5201" t="str">
            <v>莊廉琯</v>
          </cell>
          <cell r="F5201" t="str">
            <v>M240703R1</v>
          </cell>
          <cell r="J5201">
            <v>45839</v>
          </cell>
          <cell r="K5201">
            <v>8</v>
          </cell>
        </row>
        <row r="5202">
          <cell r="C5202" t="str">
            <v>莊廉琯</v>
          </cell>
          <cell r="F5202" t="str">
            <v>M240703R1</v>
          </cell>
          <cell r="J5202">
            <v>45840</v>
          </cell>
          <cell r="K5202">
            <v>8</v>
          </cell>
        </row>
        <row r="5203">
          <cell r="C5203" t="str">
            <v>莊廉琯</v>
          </cell>
          <cell r="F5203" t="str">
            <v>M240703R1</v>
          </cell>
          <cell r="J5203">
            <v>45841</v>
          </cell>
          <cell r="K5203">
            <v>8</v>
          </cell>
        </row>
        <row r="5204">
          <cell r="C5204" t="str">
            <v>莊廉琯</v>
          </cell>
          <cell r="J5204">
            <v>45842</v>
          </cell>
          <cell r="K5204">
            <v>3.5</v>
          </cell>
        </row>
        <row r="5205">
          <cell r="C5205" t="str">
            <v>莊廉琯</v>
          </cell>
          <cell r="F5205" t="str">
            <v>M240703R1</v>
          </cell>
          <cell r="J5205">
            <v>45842</v>
          </cell>
          <cell r="K5205">
            <v>4.5</v>
          </cell>
        </row>
        <row r="5206">
          <cell r="C5206" t="str">
            <v>莊廉琯</v>
          </cell>
          <cell r="F5206" t="str">
            <v>M240703R1</v>
          </cell>
          <cell r="J5206">
            <v>45845</v>
          </cell>
          <cell r="K5206">
            <v>8</v>
          </cell>
        </row>
        <row r="5207">
          <cell r="C5207" t="str">
            <v>莊廉琯</v>
          </cell>
          <cell r="F5207" t="str">
            <v>M240703R1</v>
          </cell>
          <cell r="J5207">
            <v>45846</v>
          </cell>
          <cell r="K5207">
            <v>3.5</v>
          </cell>
        </row>
        <row r="5208">
          <cell r="C5208" t="str">
            <v>莊廉琯</v>
          </cell>
          <cell r="F5208" t="str">
            <v>D250501R1</v>
          </cell>
          <cell r="J5208">
            <v>45846</v>
          </cell>
          <cell r="K5208">
            <v>5.5</v>
          </cell>
        </row>
        <row r="5209">
          <cell r="C5209" t="str">
            <v>莊廉琯</v>
          </cell>
          <cell r="F5209" t="str">
            <v>M240703R1</v>
          </cell>
          <cell r="J5209">
            <v>45847</v>
          </cell>
          <cell r="K5209">
            <v>2</v>
          </cell>
        </row>
        <row r="5210">
          <cell r="C5210" t="str">
            <v>莊廉琯</v>
          </cell>
          <cell r="F5210" t="str">
            <v>D250501R1</v>
          </cell>
          <cell r="J5210">
            <v>45847</v>
          </cell>
          <cell r="K5210">
            <v>7</v>
          </cell>
        </row>
        <row r="5211">
          <cell r="C5211" t="str">
            <v>莊廉琯</v>
          </cell>
          <cell r="F5211" t="str">
            <v>D250501R1</v>
          </cell>
          <cell r="J5211">
            <v>45848</v>
          </cell>
          <cell r="K5211">
            <v>4</v>
          </cell>
        </row>
        <row r="5212">
          <cell r="C5212" t="str">
            <v>莊廉琯</v>
          </cell>
          <cell r="F5212" t="str">
            <v>M240703R1</v>
          </cell>
          <cell r="J5212">
            <v>45848</v>
          </cell>
          <cell r="K5212">
            <v>4</v>
          </cell>
        </row>
        <row r="5213">
          <cell r="C5213" t="str">
            <v>莊廉琯</v>
          </cell>
          <cell r="F5213" t="str">
            <v>M240703R1</v>
          </cell>
          <cell r="J5213">
            <v>45849</v>
          </cell>
          <cell r="K5213">
            <v>8</v>
          </cell>
        </row>
        <row r="5214">
          <cell r="C5214" t="str">
            <v>莊廉琯</v>
          </cell>
          <cell r="J5214">
            <v>45852</v>
          </cell>
          <cell r="K5214">
            <v>8</v>
          </cell>
        </row>
        <row r="5215">
          <cell r="C5215" t="str">
            <v>莊廉琯</v>
          </cell>
          <cell r="J5215">
            <v>45853</v>
          </cell>
          <cell r="K5215">
            <v>8</v>
          </cell>
        </row>
        <row r="5216">
          <cell r="C5216" t="str">
            <v>莊廉琯</v>
          </cell>
          <cell r="J5216">
            <v>45854</v>
          </cell>
          <cell r="K5216">
            <v>8</v>
          </cell>
        </row>
        <row r="5217">
          <cell r="C5217" t="str">
            <v>莊廉琯</v>
          </cell>
          <cell r="F5217" t="str">
            <v>M240703R1</v>
          </cell>
          <cell r="J5217">
            <v>45855</v>
          </cell>
          <cell r="K5217">
            <v>8</v>
          </cell>
        </row>
        <row r="5218">
          <cell r="C5218" t="str">
            <v>莊廉琯</v>
          </cell>
          <cell r="F5218" t="str">
            <v>M240703R1</v>
          </cell>
          <cell r="J5218">
            <v>45856</v>
          </cell>
          <cell r="K5218">
            <v>8</v>
          </cell>
        </row>
        <row r="5219">
          <cell r="C5219" t="str">
            <v>莊廉琯</v>
          </cell>
          <cell r="J5219">
            <v>45859</v>
          </cell>
          <cell r="K5219">
            <v>3.5</v>
          </cell>
        </row>
        <row r="5220">
          <cell r="C5220" t="str">
            <v>莊廉琯</v>
          </cell>
          <cell r="J5220">
            <v>45859</v>
          </cell>
          <cell r="K5220">
            <v>4.5</v>
          </cell>
        </row>
        <row r="5221">
          <cell r="C5221" t="str">
            <v>莊廉琯</v>
          </cell>
          <cell r="J5221">
            <v>45860</v>
          </cell>
          <cell r="K5221">
            <v>8</v>
          </cell>
        </row>
        <row r="5222">
          <cell r="C5222" t="str">
            <v>莊廉琯</v>
          </cell>
          <cell r="J5222">
            <v>45861</v>
          </cell>
          <cell r="K5222">
            <v>3.5</v>
          </cell>
        </row>
        <row r="5223">
          <cell r="C5223" t="str">
            <v>莊廉琯</v>
          </cell>
          <cell r="J5223">
            <v>45861</v>
          </cell>
          <cell r="K5223">
            <v>4.5</v>
          </cell>
        </row>
        <row r="5224">
          <cell r="C5224" t="str">
            <v>莊廉琯</v>
          </cell>
          <cell r="F5224" t="str">
            <v>M240701C1</v>
          </cell>
          <cell r="J5224">
            <v>45862</v>
          </cell>
          <cell r="K5224">
            <v>8</v>
          </cell>
        </row>
        <row r="5225">
          <cell r="C5225" t="str">
            <v>莊廉琯</v>
          </cell>
          <cell r="J5225">
            <v>45863</v>
          </cell>
          <cell r="K5225">
            <v>8</v>
          </cell>
        </row>
        <row r="5226">
          <cell r="C5226" t="str">
            <v>莊廉琯</v>
          </cell>
          <cell r="J5226">
            <v>45866</v>
          </cell>
          <cell r="K5226">
            <v>8</v>
          </cell>
        </row>
        <row r="5227">
          <cell r="C5227" t="str">
            <v>莊廉琯</v>
          </cell>
          <cell r="J5227">
            <v>45867</v>
          </cell>
          <cell r="K5227">
            <v>8</v>
          </cell>
        </row>
        <row r="5228">
          <cell r="C5228" t="str">
            <v>莊廉琯</v>
          </cell>
          <cell r="J5228">
            <v>45868</v>
          </cell>
          <cell r="K5228">
            <v>8</v>
          </cell>
        </row>
        <row r="5229">
          <cell r="C5229" t="str">
            <v>莊廉琯</v>
          </cell>
          <cell r="J5229">
            <v>45869</v>
          </cell>
          <cell r="K5229">
            <v>4.5</v>
          </cell>
        </row>
        <row r="5230">
          <cell r="C5230" t="str">
            <v>莊廉琯</v>
          </cell>
          <cell r="J5230">
            <v>45869</v>
          </cell>
          <cell r="K5230">
            <v>3.5</v>
          </cell>
        </row>
        <row r="5231">
          <cell r="C5231" t="str">
            <v>莊廉琯</v>
          </cell>
          <cell r="J5231">
            <v>45870</v>
          </cell>
          <cell r="K5231">
            <v>4.5</v>
          </cell>
        </row>
        <row r="5232">
          <cell r="C5232" t="str">
            <v>莊廉琯</v>
          </cell>
          <cell r="J5232">
            <v>45870</v>
          </cell>
          <cell r="K5232">
            <v>3.5</v>
          </cell>
        </row>
        <row r="5233">
          <cell r="C5233" t="str">
            <v>莊廉琯</v>
          </cell>
          <cell r="J5233">
            <v>45873</v>
          </cell>
          <cell r="K5233">
            <v>8</v>
          </cell>
        </row>
        <row r="5234">
          <cell r="C5234" t="str">
            <v>莊廉琯</v>
          </cell>
          <cell r="J5234">
            <v>45874</v>
          </cell>
          <cell r="K5234">
            <v>3.5</v>
          </cell>
        </row>
        <row r="5235">
          <cell r="C5235" t="str">
            <v>莊廉琯</v>
          </cell>
          <cell r="F5235" t="str">
            <v>M240703R1</v>
          </cell>
          <cell r="J5235">
            <v>45874</v>
          </cell>
          <cell r="K5235">
            <v>4.5</v>
          </cell>
        </row>
        <row r="5236">
          <cell r="C5236" t="str">
            <v>莊廉琯</v>
          </cell>
          <cell r="J5236">
            <v>45875</v>
          </cell>
          <cell r="K5236">
            <v>4.5</v>
          </cell>
        </row>
        <row r="5237">
          <cell r="C5237" t="str">
            <v>莊廉琯</v>
          </cell>
          <cell r="J5237">
            <v>45875</v>
          </cell>
          <cell r="K5237">
            <v>2</v>
          </cell>
        </row>
        <row r="5238">
          <cell r="C5238" t="str">
            <v>莊廉琯</v>
          </cell>
          <cell r="J5238">
            <v>45875</v>
          </cell>
          <cell r="K5238">
            <v>1.5</v>
          </cell>
        </row>
        <row r="5239">
          <cell r="C5239" t="str">
            <v>莊廉琯</v>
          </cell>
          <cell r="J5239">
            <v>45876</v>
          </cell>
          <cell r="K5239">
            <v>8</v>
          </cell>
        </row>
        <row r="5240">
          <cell r="C5240" t="str">
            <v>莊廉琯</v>
          </cell>
          <cell r="J5240">
            <v>45877</v>
          </cell>
          <cell r="K5240">
            <v>8</v>
          </cell>
        </row>
        <row r="5241">
          <cell r="C5241" t="str">
            <v>莊廉琯</v>
          </cell>
          <cell r="J5241">
            <v>45880</v>
          </cell>
          <cell r="K5241">
            <v>4.5</v>
          </cell>
        </row>
        <row r="5242">
          <cell r="C5242" t="str">
            <v>莊廉琯</v>
          </cell>
          <cell r="J5242">
            <v>45880</v>
          </cell>
          <cell r="K5242">
            <v>3.5</v>
          </cell>
        </row>
        <row r="5243">
          <cell r="C5243" t="str">
            <v>莊廉琯</v>
          </cell>
          <cell r="J5243">
            <v>45881</v>
          </cell>
          <cell r="K5243">
            <v>3.5</v>
          </cell>
        </row>
        <row r="5244">
          <cell r="C5244" t="str">
            <v>莊廉琯</v>
          </cell>
          <cell r="J5244">
            <v>45881</v>
          </cell>
          <cell r="K5244">
            <v>2.5</v>
          </cell>
        </row>
        <row r="5245">
          <cell r="C5245" t="str">
            <v>莊廉琯</v>
          </cell>
          <cell r="J5245">
            <v>45881</v>
          </cell>
          <cell r="K5245">
            <v>2</v>
          </cell>
        </row>
        <row r="5246">
          <cell r="C5246" t="str">
            <v>莊廉琯</v>
          </cell>
          <cell r="J5246">
            <v>45882</v>
          </cell>
          <cell r="K5246">
            <v>3.5</v>
          </cell>
        </row>
        <row r="5247">
          <cell r="C5247" t="str">
            <v>莊廉琯</v>
          </cell>
          <cell r="J5247">
            <v>45882</v>
          </cell>
          <cell r="K5247">
            <v>4.5</v>
          </cell>
        </row>
        <row r="5248">
          <cell r="C5248" t="str">
            <v>莊廉琯</v>
          </cell>
          <cell r="J5248">
            <v>45883</v>
          </cell>
          <cell r="K5248">
            <v>1</v>
          </cell>
        </row>
        <row r="5249">
          <cell r="C5249" t="str">
            <v>莊廉琯</v>
          </cell>
          <cell r="J5249">
            <v>45883</v>
          </cell>
          <cell r="K5249">
            <v>1</v>
          </cell>
        </row>
        <row r="5250">
          <cell r="C5250" t="str">
            <v>莊廉琯</v>
          </cell>
          <cell r="J5250">
            <v>45883</v>
          </cell>
          <cell r="K5250">
            <v>6</v>
          </cell>
        </row>
        <row r="5251">
          <cell r="C5251" t="str">
            <v>莊廉琯</v>
          </cell>
          <cell r="J5251">
            <v>45884</v>
          </cell>
          <cell r="K5251">
            <v>2</v>
          </cell>
        </row>
        <row r="5252">
          <cell r="C5252" t="str">
            <v>莊廉琯</v>
          </cell>
          <cell r="J5252">
            <v>45884</v>
          </cell>
          <cell r="K5252">
            <v>7</v>
          </cell>
        </row>
        <row r="5253">
          <cell r="C5253" t="str">
            <v>莊廉琯</v>
          </cell>
          <cell r="J5253">
            <v>45887</v>
          </cell>
          <cell r="K5253">
            <v>4.5</v>
          </cell>
        </row>
        <row r="5254">
          <cell r="C5254" t="str">
            <v>莊廉琯</v>
          </cell>
          <cell r="F5254" t="str">
            <v>D250501R1</v>
          </cell>
          <cell r="J5254">
            <v>45887</v>
          </cell>
          <cell r="K5254">
            <v>3.5</v>
          </cell>
        </row>
        <row r="5255">
          <cell r="C5255" t="str">
            <v>莊廉琯</v>
          </cell>
          <cell r="J5255">
            <v>45888</v>
          </cell>
          <cell r="K5255">
            <v>3.5</v>
          </cell>
        </row>
        <row r="5256">
          <cell r="C5256" t="str">
            <v>莊廉琯</v>
          </cell>
          <cell r="J5256">
            <v>45888</v>
          </cell>
          <cell r="K5256">
            <v>4.5</v>
          </cell>
        </row>
        <row r="5257">
          <cell r="C5257" t="str">
            <v>莊廉琯</v>
          </cell>
          <cell r="J5257">
            <v>45889</v>
          </cell>
          <cell r="K5257">
            <v>8</v>
          </cell>
        </row>
        <row r="5258">
          <cell r="C5258" t="str">
            <v>莊廉琯</v>
          </cell>
          <cell r="J5258">
            <v>45890</v>
          </cell>
          <cell r="K5258">
            <v>6</v>
          </cell>
        </row>
        <row r="5259">
          <cell r="C5259" t="str">
            <v>莊廉琯</v>
          </cell>
          <cell r="J5259">
            <v>45890</v>
          </cell>
          <cell r="K5259">
            <v>2</v>
          </cell>
        </row>
        <row r="5260">
          <cell r="C5260" t="str">
            <v>莊廉琯</v>
          </cell>
          <cell r="J5260">
            <v>45891</v>
          </cell>
          <cell r="K5260">
            <v>4.5</v>
          </cell>
        </row>
        <row r="5261">
          <cell r="C5261" t="str">
            <v>莊廉琯</v>
          </cell>
          <cell r="J5261">
            <v>45891</v>
          </cell>
          <cell r="K5261">
            <v>3.5</v>
          </cell>
        </row>
        <row r="5262">
          <cell r="C5262" t="str">
            <v>莊廉琯</v>
          </cell>
          <cell r="J5262">
            <v>45894</v>
          </cell>
          <cell r="K5262">
            <v>1.5</v>
          </cell>
        </row>
        <row r="5263">
          <cell r="C5263" t="str">
            <v>莊廉琯</v>
          </cell>
          <cell r="J5263">
            <v>45894</v>
          </cell>
          <cell r="K5263">
            <v>6.5</v>
          </cell>
        </row>
        <row r="5264">
          <cell r="C5264" t="str">
            <v>莊廉琯</v>
          </cell>
          <cell r="J5264">
            <v>45895</v>
          </cell>
          <cell r="K5264">
            <v>4</v>
          </cell>
        </row>
        <row r="5265">
          <cell r="C5265" t="str">
            <v>莊廉琯</v>
          </cell>
          <cell r="J5265">
            <v>45895</v>
          </cell>
          <cell r="K5265">
            <v>4</v>
          </cell>
        </row>
        <row r="5266">
          <cell r="C5266" t="str">
            <v>莊廉琯</v>
          </cell>
          <cell r="J5266">
            <v>45896</v>
          </cell>
          <cell r="K5266">
            <v>4</v>
          </cell>
        </row>
        <row r="5267">
          <cell r="C5267" t="str">
            <v>莊廉琯</v>
          </cell>
          <cell r="F5267" t="str">
            <v>M240703R1</v>
          </cell>
          <cell r="J5267">
            <v>45896</v>
          </cell>
          <cell r="K5267">
            <v>4</v>
          </cell>
        </row>
        <row r="5268">
          <cell r="C5268" t="str">
            <v>莊廉琯</v>
          </cell>
          <cell r="J5268">
            <v>45897</v>
          </cell>
          <cell r="K5268">
            <v>3</v>
          </cell>
        </row>
        <row r="5269">
          <cell r="C5269" t="str">
            <v>莊廉琯</v>
          </cell>
          <cell r="J5269">
            <v>45897</v>
          </cell>
          <cell r="K5269">
            <v>1</v>
          </cell>
        </row>
        <row r="5270">
          <cell r="C5270" t="str">
            <v>莊廉琯</v>
          </cell>
          <cell r="F5270" t="str">
            <v>D250702R1</v>
          </cell>
          <cell r="J5270">
            <v>45897</v>
          </cell>
          <cell r="K5270">
            <v>4</v>
          </cell>
        </row>
        <row r="5271">
          <cell r="C5271" t="str">
            <v>莊廉琯</v>
          </cell>
          <cell r="F5271" t="str">
            <v>M240703R1</v>
          </cell>
          <cell r="J5271">
            <v>45898</v>
          </cell>
          <cell r="K5271">
            <v>8</v>
          </cell>
        </row>
        <row r="5272">
          <cell r="C5272" t="str">
            <v>莊廉琯</v>
          </cell>
          <cell r="J5272">
            <v>45901</v>
          </cell>
          <cell r="K5272">
            <v>8</v>
          </cell>
        </row>
        <row r="5273">
          <cell r="C5273" t="str">
            <v>莊廉琯</v>
          </cell>
          <cell r="J5273">
            <v>45902</v>
          </cell>
          <cell r="K5273">
            <v>8</v>
          </cell>
        </row>
        <row r="5274">
          <cell r="C5274" t="str">
            <v>莊廉琯</v>
          </cell>
          <cell r="J5274">
            <v>45903</v>
          </cell>
          <cell r="K5274">
            <v>8</v>
          </cell>
        </row>
        <row r="5275">
          <cell r="C5275" t="str">
            <v>莊廉琯</v>
          </cell>
          <cell r="J5275">
            <v>45904</v>
          </cell>
          <cell r="K5275">
            <v>2.5</v>
          </cell>
        </row>
        <row r="5276">
          <cell r="C5276" t="str">
            <v>莊廉琯</v>
          </cell>
          <cell r="F5276" t="str">
            <v>D250702R1</v>
          </cell>
          <cell r="J5276">
            <v>45904</v>
          </cell>
          <cell r="K5276">
            <v>5.5</v>
          </cell>
        </row>
        <row r="5277">
          <cell r="C5277" t="str">
            <v>莊廉琯</v>
          </cell>
          <cell r="J5277">
            <v>45905</v>
          </cell>
          <cell r="K5277">
            <v>3.5</v>
          </cell>
        </row>
        <row r="5278">
          <cell r="C5278" t="str">
            <v>莊廉琯</v>
          </cell>
          <cell r="F5278" t="str">
            <v>M240703R1</v>
          </cell>
          <cell r="J5278">
            <v>45905</v>
          </cell>
          <cell r="K5278">
            <v>4.5</v>
          </cell>
        </row>
        <row r="5279">
          <cell r="C5279" t="str">
            <v>莊廉琯</v>
          </cell>
          <cell r="J5279">
            <v>45908</v>
          </cell>
          <cell r="K5279">
            <v>1.5</v>
          </cell>
        </row>
        <row r="5280">
          <cell r="C5280" t="str">
            <v>莊廉琯</v>
          </cell>
          <cell r="J5280">
            <v>45908</v>
          </cell>
          <cell r="K5280">
            <v>6.5</v>
          </cell>
        </row>
        <row r="5281">
          <cell r="C5281" t="str">
            <v>莊廉琯</v>
          </cell>
          <cell r="F5281" t="str">
            <v>M240703R1</v>
          </cell>
          <cell r="J5281">
            <v>45909</v>
          </cell>
          <cell r="K5281">
            <v>2</v>
          </cell>
        </row>
        <row r="5282">
          <cell r="C5282" t="str">
            <v>莊廉琯</v>
          </cell>
          <cell r="J5282">
            <v>45909</v>
          </cell>
          <cell r="K5282">
            <v>6</v>
          </cell>
        </row>
        <row r="5283">
          <cell r="C5283" t="str">
            <v>莊廉琯</v>
          </cell>
          <cell r="J5283">
            <v>45910</v>
          </cell>
          <cell r="K5283">
            <v>1</v>
          </cell>
        </row>
        <row r="5284">
          <cell r="C5284" t="str">
            <v>莊廉琯</v>
          </cell>
          <cell r="J5284">
            <v>45910</v>
          </cell>
          <cell r="K5284">
            <v>1</v>
          </cell>
        </row>
        <row r="5285">
          <cell r="C5285" t="str">
            <v>莊廉琯</v>
          </cell>
          <cell r="F5285" t="str">
            <v>M240703R1</v>
          </cell>
          <cell r="J5285">
            <v>45910</v>
          </cell>
          <cell r="K5285">
            <v>4.5</v>
          </cell>
        </row>
        <row r="5286">
          <cell r="C5286" t="str">
            <v>莊廉琯</v>
          </cell>
          <cell r="J5286">
            <v>45910</v>
          </cell>
          <cell r="K5286">
            <v>1.5</v>
          </cell>
        </row>
        <row r="5287">
          <cell r="C5287" t="str">
            <v>莊廉琯</v>
          </cell>
          <cell r="F5287" t="str">
            <v>M240703R1</v>
          </cell>
          <cell r="J5287">
            <v>45911</v>
          </cell>
          <cell r="K5287">
            <v>5.5</v>
          </cell>
        </row>
        <row r="5288">
          <cell r="C5288" t="str">
            <v>莊廉琯</v>
          </cell>
          <cell r="J5288">
            <v>45911</v>
          </cell>
          <cell r="K5288">
            <v>2.5</v>
          </cell>
        </row>
        <row r="5289">
          <cell r="C5289" t="str">
            <v>莊廉琯</v>
          </cell>
          <cell r="J5289">
            <v>45912</v>
          </cell>
          <cell r="K5289">
            <v>4.5</v>
          </cell>
        </row>
        <row r="5290">
          <cell r="C5290" t="str">
            <v>莊廉琯</v>
          </cell>
          <cell r="F5290" t="str">
            <v>M240703R1</v>
          </cell>
          <cell r="J5290">
            <v>45912</v>
          </cell>
          <cell r="K5290">
            <v>3.5</v>
          </cell>
        </row>
        <row r="5291">
          <cell r="C5291" t="str">
            <v>莊廉琯</v>
          </cell>
          <cell r="J5291">
            <v>45915</v>
          </cell>
          <cell r="K5291">
            <v>8</v>
          </cell>
        </row>
        <row r="5292">
          <cell r="C5292" t="str">
            <v>莊廉琯</v>
          </cell>
          <cell r="J5292">
            <v>45916</v>
          </cell>
          <cell r="K5292">
            <v>8</v>
          </cell>
        </row>
        <row r="5293">
          <cell r="C5293" t="str">
            <v>莊廉琯</v>
          </cell>
          <cell r="J5293">
            <v>45917</v>
          </cell>
          <cell r="K5293">
            <v>5</v>
          </cell>
        </row>
        <row r="5294">
          <cell r="C5294" t="str">
            <v>莊廉琯</v>
          </cell>
          <cell r="J5294">
            <v>45917</v>
          </cell>
          <cell r="K5294">
            <v>1</v>
          </cell>
        </row>
        <row r="5295">
          <cell r="C5295" t="str">
            <v>莊廉琯</v>
          </cell>
          <cell r="J5295">
            <v>45917</v>
          </cell>
          <cell r="K5295">
            <v>2</v>
          </cell>
        </row>
        <row r="5296">
          <cell r="C5296" t="str">
            <v>莊廉琯</v>
          </cell>
          <cell r="J5296">
            <v>45918</v>
          </cell>
          <cell r="K5296">
            <v>3</v>
          </cell>
        </row>
        <row r="5297">
          <cell r="C5297" t="str">
            <v>莊廉琯</v>
          </cell>
          <cell r="J5297">
            <v>45918</v>
          </cell>
          <cell r="K5297">
            <v>5</v>
          </cell>
        </row>
        <row r="5298">
          <cell r="C5298" t="str">
            <v>莊廉琯</v>
          </cell>
          <cell r="J5298">
            <v>45919</v>
          </cell>
          <cell r="K5298">
            <v>8</v>
          </cell>
        </row>
        <row r="5299">
          <cell r="C5299" t="str">
            <v>莊廉琯</v>
          </cell>
          <cell r="J5299">
            <v>45922</v>
          </cell>
          <cell r="K5299">
            <v>6.5</v>
          </cell>
        </row>
        <row r="5300">
          <cell r="C5300" t="str">
            <v>莊廉琯</v>
          </cell>
          <cell r="J5300">
            <v>45922</v>
          </cell>
          <cell r="K5300">
            <v>1.5</v>
          </cell>
        </row>
        <row r="5301">
          <cell r="C5301" t="str">
            <v>莊廉琯</v>
          </cell>
          <cell r="J5301">
            <v>45923</v>
          </cell>
          <cell r="K5301">
            <v>2</v>
          </cell>
        </row>
        <row r="5302">
          <cell r="C5302" t="str">
            <v>莊廉琯</v>
          </cell>
          <cell r="J5302">
            <v>45923</v>
          </cell>
          <cell r="K5302">
            <v>4</v>
          </cell>
        </row>
        <row r="5303">
          <cell r="C5303" t="str">
            <v>莊廉琯</v>
          </cell>
          <cell r="J5303">
            <v>45923</v>
          </cell>
          <cell r="K5303">
            <v>2</v>
          </cell>
        </row>
        <row r="5304">
          <cell r="C5304" t="str">
            <v>莊廉琯</v>
          </cell>
          <cell r="J5304">
            <v>45924</v>
          </cell>
          <cell r="K5304">
            <v>4.5</v>
          </cell>
        </row>
        <row r="5305">
          <cell r="C5305" t="str">
            <v>莊廉琯</v>
          </cell>
          <cell r="J5305">
            <v>45924</v>
          </cell>
          <cell r="K5305">
            <v>3.5</v>
          </cell>
        </row>
        <row r="5306">
          <cell r="C5306" t="str">
            <v>莊廉琯</v>
          </cell>
          <cell r="J5306">
            <v>45925</v>
          </cell>
          <cell r="K5306">
            <v>8</v>
          </cell>
        </row>
        <row r="5307">
          <cell r="C5307" t="str">
            <v>莊廉琯</v>
          </cell>
          <cell r="J5307">
            <v>45926</v>
          </cell>
          <cell r="K5307">
            <v>8</v>
          </cell>
        </row>
        <row r="5308">
          <cell r="C5308" t="str">
            <v>莊廉琯</v>
          </cell>
          <cell r="J5308">
            <v>45930</v>
          </cell>
          <cell r="K5308">
            <v>1.5</v>
          </cell>
        </row>
        <row r="5309">
          <cell r="C5309" t="str">
            <v>莊廉琯</v>
          </cell>
          <cell r="J5309">
            <v>45930</v>
          </cell>
          <cell r="K5309">
            <v>3</v>
          </cell>
        </row>
        <row r="5310">
          <cell r="C5310" t="str">
            <v>莊廉琯</v>
          </cell>
          <cell r="J5310">
            <v>45931</v>
          </cell>
          <cell r="K5310">
            <v>1</v>
          </cell>
        </row>
        <row r="5311">
          <cell r="C5311" t="str">
            <v>莊廉琯</v>
          </cell>
          <cell r="J5311">
            <v>45931</v>
          </cell>
          <cell r="K5311">
            <v>7</v>
          </cell>
        </row>
        <row r="5312">
          <cell r="C5312" t="str">
            <v>莊廉琯</v>
          </cell>
          <cell r="J5312">
            <v>45932</v>
          </cell>
          <cell r="K5312">
            <v>8</v>
          </cell>
        </row>
        <row r="5313">
          <cell r="C5313" t="str">
            <v>莊廉琯</v>
          </cell>
          <cell r="J5313">
            <v>45933</v>
          </cell>
          <cell r="K5313">
            <v>8</v>
          </cell>
        </row>
        <row r="5314">
          <cell r="C5314" t="str">
            <v>莊廉琯</v>
          </cell>
          <cell r="F5314" t="str">
            <v>D250501R1</v>
          </cell>
          <cell r="J5314">
            <v>45937</v>
          </cell>
          <cell r="K5314">
            <v>3.5</v>
          </cell>
        </row>
        <row r="5315">
          <cell r="C5315" t="str">
            <v>莊廉琯</v>
          </cell>
          <cell r="J5315">
            <v>45937</v>
          </cell>
          <cell r="K5315">
            <v>4.5</v>
          </cell>
        </row>
        <row r="5316">
          <cell r="C5316" t="str">
            <v>莊廉琯</v>
          </cell>
          <cell r="J5316">
            <v>45938</v>
          </cell>
          <cell r="K5316">
            <v>2.5</v>
          </cell>
        </row>
        <row r="5317">
          <cell r="C5317" t="str">
            <v>莊廉琯</v>
          </cell>
          <cell r="F5317" t="str">
            <v>D250501R1</v>
          </cell>
          <cell r="J5317">
            <v>45938</v>
          </cell>
          <cell r="K5317">
            <v>4.5</v>
          </cell>
        </row>
        <row r="5318">
          <cell r="C5318" t="str">
            <v>莊廉琯</v>
          </cell>
          <cell r="J5318">
            <v>45938</v>
          </cell>
          <cell r="K5318">
            <v>1</v>
          </cell>
        </row>
        <row r="5319">
          <cell r="C5319" t="str">
            <v>莊廉琯</v>
          </cell>
          <cell r="F5319" t="str">
            <v>D250803R1</v>
          </cell>
          <cell r="J5319">
            <v>45939</v>
          </cell>
          <cell r="K5319">
            <v>4.5</v>
          </cell>
        </row>
        <row r="5320">
          <cell r="C5320" t="str">
            <v>莊廉琯</v>
          </cell>
          <cell r="F5320" t="str">
            <v>D250501R1</v>
          </cell>
          <cell r="J5320">
            <v>45939</v>
          </cell>
          <cell r="K5320">
            <v>3.5</v>
          </cell>
        </row>
        <row r="5321">
          <cell r="C5321" t="str">
            <v>莊廉琯</v>
          </cell>
          <cell r="F5321" t="str">
            <v>D250501R1</v>
          </cell>
          <cell r="J5321">
            <v>45943</v>
          </cell>
          <cell r="K5321">
            <v>8</v>
          </cell>
        </row>
        <row r="5322">
          <cell r="C5322" t="str">
            <v>莊廉琯</v>
          </cell>
          <cell r="J5322">
            <v>45944</v>
          </cell>
          <cell r="K5322">
            <v>3.5</v>
          </cell>
        </row>
        <row r="5323">
          <cell r="C5323" t="str">
            <v>莊廉琯</v>
          </cell>
          <cell r="F5323" t="str">
            <v>D250803R1</v>
          </cell>
          <cell r="J5323">
            <v>45944</v>
          </cell>
          <cell r="K5323">
            <v>4.5</v>
          </cell>
        </row>
        <row r="5324">
          <cell r="C5324" t="str">
            <v>莊廉琯</v>
          </cell>
          <cell r="J5324">
            <v>45945</v>
          </cell>
          <cell r="K5324">
            <v>3.5</v>
          </cell>
        </row>
        <row r="5325">
          <cell r="C5325" t="str">
            <v>莊廉琯</v>
          </cell>
          <cell r="F5325" t="str">
            <v>D250803R1</v>
          </cell>
          <cell r="J5325">
            <v>45945</v>
          </cell>
          <cell r="K5325">
            <v>4.5</v>
          </cell>
        </row>
        <row r="5326">
          <cell r="C5326" t="str">
            <v>莊廉琯</v>
          </cell>
          <cell r="F5326" t="str">
            <v>D250803R1</v>
          </cell>
          <cell r="J5326">
            <v>45946</v>
          </cell>
          <cell r="K5326">
            <v>4.5</v>
          </cell>
        </row>
        <row r="5327">
          <cell r="C5327" t="str">
            <v>莊廉琯</v>
          </cell>
          <cell r="J5327">
            <v>45946</v>
          </cell>
          <cell r="K5327">
            <v>3.5</v>
          </cell>
        </row>
        <row r="5328">
          <cell r="C5328" t="str">
            <v>莊廉琯</v>
          </cell>
          <cell r="J5328">
            <v>45947</v>
          </cell>
          <cell r="K5328">
            <v>3</v>
          </cell>
        </row>
        <row r="5329">
          <cell r="C5329" t="str">
            <v>莊廉琯</v>
          </cell>
          <cell r="J5329">
            <v>45947</v>
          </cell>
          <cell r="K5329">
            <v>1.5</v>
          </cell>
        </row>
        <row r="5330">
          <cell r="C5330" t="str">
            <v>莊廉琯</v>
          </cell>
          <cell r="J5330">
            <v>45947</v>
          </cell>
          <cell r="K5330">
            <v>3.5</v>
          </cell>
        </row>
        <row r="5331">
          <cell r="C5331" t="str">
            <v>莊廉琯</v>
          </cell>
          <cell r="J5331">
            <v>45950</v>
          </cell>
          <cell r="K5331">
            <v>3</v>
          </cell>
        </row>
        <row r="5332">
          <cell r="C5332" t="str">
            <v>莊廉琯</v>
          </cell>
          <cell r="J5332">
            <v>45950</v>
          </cell>
          <cell r="K5332">
            <v>1</v>
          </cell>
        </row>
        <row r="5333">
          <cell r="C5333" t="str">
            <v>莊廉琯</v>
          </cell>
          <cell r="J5333">
            <v>45950</v>
          </cell>
          <cell r="K5333">
            <v>4</v>
          </cell>
        </row>
        <row r="5334">
          <cell r="C5334" t="str">
            <v>莊廉琯</v>
          </cell>
          <cell r="F5334" t="str">
            <v>D250803R1</v>
          </cell>
          <cell r="J5334">
            <v>45951</v>
          </cell>
          <cell r="K5334">
            <v>4.5</v>
          </cell>
        </row>
        <row r="5335">
          <cell r="C5335" t="str">
            <v>莊廉琯</v>
          </cell>
          <cell r="J5335">
            <v>45951</v>
          </cell>
          <cell r="K5335">
            <v>3.5</v>
          </cell>
        </row>
        <row r="5336">
          <cell r="C5336" t="str">
            <v>莊廉琯</v>
          </cell>
          <cell r="J5336">
            <v>45952</v>
          </cell>
          <cell r="K5336">
            <v>8</v>
          </cell>
        </row>
        <row r="5337">
          <cell r="C5337" t="str">
            <v>莊廉琯</v>
          </cell>
          <cell r="J5337">
            <v>45953</v>
          </cell>
          <cell r="K5337">
            <v>4.5</v>
          </cell>
        </row>
        <row r="5338">
          <cell r="C5338" t="str">
            <v>莊廉琯</v>
          </cell>
          <cell r="F5338" t="str">
            <v>K250501R1</v>
          </cell>
          <cell r="J5338">
            <v>45953</v>
          </cell>
          <cell r="K5338">
            <v>3.5</v>
          </cell>
        </row>
        <row r="5339">
          <cell r="C5339" t="str">
            <v>莊廉琯</v>
          </cell>
          <cell r="J5339">
            <v>45957</v>
          </cell>
          <cell r="K5339">
            <v>8</v>
          </cell>
        </row>
        <row r="5340">
          <cell r="C5340" t="str">
            <v>莊廉琯</v>
          </cell>
          <cell r="F5340" t="str">
            <v>K250501R1</v>
          </cell>
          <cell r="J5340">
            <v>45958</v>
          </cell>
          <cell r="K5340">
            <v>3.5</v>
          </cell>
        </row>
        <row r="5341">
          <cell r="C5341" t="str">
            <v>莊廉琯</v>
          </cell>
          <cell r="F5341" t="str">
            <v>D250803R1</v>
          </cell>
          <cell r="J5341">
            <v>45958</v>
          </cell>
          <cell r="K5341">
            <v>4.5</v>
          </cell>
        </row>
        <row r="5342">
          <cell r="C5342" t="str">
            <v>莊廉琯</v>
          </cell>
          <cell r="F5342" t="str">
            <v>K250501R1</v>
          </cell>
          <cell r="J5342">
            <v>45959</v>
          </cell>
          <cell r="K5342">
            <v>3.5</v>
          </cell>
        </row>
        <row r="5343">
          <cell r="C5343" t="str">
            <v>莊廉琯</v>
          </cell>
          <cell r="F5343" t="str">
            <v>D250803R1</v>
          </cell>
          <cell r="J5343">
            <v>45959</v>
          </cell>
          <cell r="K5343">
            <v>4.5</v>
          </cell>
        </row>
        <row r="5344">
          <cell r="C5344" t="str">
            <v>莊廉琯</v>
          </cell>
          <cell r="J5344">
            <v>45960</v>
          </cell>
          <cell r="K5344">
            <v>2.5</v>
          </cell>
        </row>
        <row r="5345">
          <cell r="C5345" t="str">
            <v>莊廉琯</v>
          </cell>
          <cell r="F5345" t="str">
            <v>D250803R1</v>
          </cell>
          <cell r="J5345">
            <v>45960</v>
          </cell>
          <cell r="K5345">
            <v>4.5</v>
          </cell>
        </row>
        <row r="5346">
          <cell r="C5346" t="str">
            <v>莊廉琯</v>
          </cell>
          <cell r="J5346">
            <v>45960</v>
          </cell>
          <cell r="K5346">
            <v>1</v>
          </cell>
        </row>
        <row r="5347">
          <cell r="C5347" t="str">
            <v>莊廉琯</v>
          </cell>
          <cell r="F5347" t="str">
            <v>K250501R1</v>
          </cell>
          <cell r="J5347">
            <v>45961</v>
          </cell>
          <cell r="K5347">
            <v>9</v>
          </cell>
        </row>
        <row r="5348">
          <cell r="C5348" t="str">
            <v>莊廉琯</v>
          </cell>
          <cell r="J5348">
            <v>45964</v>
          </cell>
          <cell r="K5348">
            <v>8</v>
          </cell>
        </row>
        <row r="5349">
          <cell r="C5349" t="str">
            <v>莊廉琯</v>
          </cell>
          <cell r="J5349">
            <v>45965</v>
          </cell>
          <cell r="K5349">
            <v>1</v>
          </cell>
        </row>
        <row r="5350">
          <cell r="C5350" t="str">
            <v>莊廉琯</v>
          </cell>
          <cell r="J5350">
            <v>45965</v>
          </cell>
          <cell r="K5350">
            <v>3.5</v>
          </cell>
        </row>
        <row r="5351">
          <cell r="C5351" t="str">
            <v>莊廉琯</v>
          </cell>
          <cell r="F5351" t="str">
            <v>D250803R1</v>
          </cell>
          <cell r="J5351">
            <v>45965</v>
          </cell>
          <cell r="K5351">
            <v>3.5</v>
          </cell>
        </row>
        <row r="5352">
          <cell r="C5352" t="str">
            <v>莊廉琯</v>
          </cell>
          <cell r="J5352">
            <v>45966</v>
          </cell>
          <cell r="K5352">
            <v>1</v>
          </cell>
        </row>
        <row r="5353">
          <cell r="C5353" t="str">
            <v>莊廉琯</v>
          </cell>
          <cell r="F5353" t="str">
            <v>K250501R1</v>
          </cell>
          <cell r="J5353">
            <v>45966</v>
          </cell>
          <cell r="K5353">
            <v>3.5</v>
          </cell>
        </row>
        <row r="5354">
          <cell r="C5354" t="str">
            <v>莊廉琯</v>
          </cell>
          <cell r="F5354" t="str">
            <v>D250803R1</v>
          </cell>
          <cell r="J5354">
            <v>45966</v>
          </cell>
          <cell r="K5354">
            <v>4.5</v>
          </cell>
        </row>
        <row r="5355">
          <cell r="C5355" t="str">
            <v>莊廉琯</v>
          </cell>
          <cell r="J5355">
            <v>45967</v>
          </cell>
          <cell r="K5355">
            <v>4</v>
          </cell>
        </row>
        <row r="5356">
          <cell r="C5356" t="str">
            <v>莊廉琯</v>
          </cell>
          <cell r="J5356">
            <v>45967</v>
          </cell>
          <cell r="K5356">
            <v>4</v>
          </cell>
        </row>
        <row r="5357">
          <cell r="C5357" t="str">
            <v>莊廉琯</v>
          </cell>
          <cell r="J5357">
            <v>45968</v>
          </cell>
          <cell r="K5357">
            <v>1</v>
          </cell>
        </row>
        <row r="5358">
          <cell r="C5358" t="str">
            <v>莊廉琯</v>
          </cell>
          <cell r="J5358">
            <v>45968</v>
          </cell>
          <cell r="K5358">
            <v>7</v>
          </cell>
        </row>
        <row r="5359">
          <cell r="C5359" t="str">
            <v>莊廉琯</v>
          </cell>
          <cell r="F5359" t="str">
            <v>K250501R1</v>
          </cell>
          <cell r="J5359">
            <v>45971</v>
          </cell>
          <cell r="K5359">
            <v>3.5</v>
          </cell>
        </row>
        <row r="5360">
          <cell r="C5360" t="str">
            <v>莊廉琯</v>
          </cell>
          <cell r="J5360">
            <v>45971</v>
          </cell>
          <cell r="K5360">
            <v>4.5</v>
          </cell>
        </row>
        <row r="5361">
          <cell r="C5361" t="str">
            <v>莊廉琯</v>
          </cell>
          <cell r="J5361">
            <v>45972</v>
          </cell>
          <cell r="K5361">
            <v>2</v>
          </cell>
        </row>
        <row r="5362">
          <cell r="C5362" t="str">
            <v>莊廉琯</v>
          </cell>
          <cell r="J5362">
            <v>45972</v>
          </cell>
          <cell r="K5362">
            <v>6</v>
          </cell>
        </row>
        <row r="5363">
          <cell r="C5363" t="str">
            <v>莊廉琯</v>
          </cell>
          <cell r="J5363">
            <v>45973</v>
          </cell>
          <cell r="K5363">
            <v>6</v>
          </cell>
        </row>
        <row r="5364">
          <cell r="C5364" t="str">
            <v>莊廉琯</v>
          </cell>
          <cell r="F5364" t="str">
            <v>D250803R1</v>
          </cell>
          <cell r="J5364">
            <v>45973</v>
          </cell>
          <cell r="K5364">
            <v>2</v>
          </cell>
        </row>
        <row r="5365">
          <cell r="C5365" t="str">
            <v>莊廉琯</v>
          </cell>
          <cell r="J5365">
            <v>45974</v>
          </cell>
          <cell r="K5365">
            <v>8</v>
          </cell>
        </row>
        <row r="5366">
          <cell r="C5366" t="str">
            <v>莊廉琯</v>
          </cell>
          <cell r="J5366">
            <v>45975</v>
          </cell>
          <cell r="K5366">
            <v>4.5</v>
          </cell>
        </row>
        <row r="5367">
          <cell r="C5367" t="str">
            <v>莊廉琯</v>
          </cell>
          <cell r="J5367">
            <v>45975</v>
          </cell>
          <cell r="K5367">
            <v>3.5</v>
          </cell>
        </row>
        <row r="5368">
          <cell r="C5368" t="str">
            <v>莊廉琯</v>
          </cell>
          <cell r="J5368">
            <v>45978</v>
          </cell>
          <cell r="K5368">
            <v>3.5</v>
          </cell>
        </row>
        <row r="5369">
          <cell r="C5369" t="str">
            <v>莊廉琯</v>
          </cell>
          <cell r="J5369">
            <v>45978</v>
          </cell>
          <cell r="K5369">
            <v>4.5</v>
          </cell>
        </row>
        <row r="5370">
          <cell r="C5370" t="str">
            <v>莊廉琯</v>
          </cell>
          <cell r="J5370">
            <v>45979</v>
          </cell>
          <cell r="K5370">
            <v>3.5</v>
          </cell>
        </row>
        <row r="5371">
          <cell r="C5371" t="str">
            <v>莊廉琯</v>
          </cell>
          <cell r="J5371">
            <v>45979</v>
          </cell>
          <cell r="K5371">
            <v>4.5</v>
          </cell>
        </row>
        <row r="5372">
          <cell r="C5372" t="str">
            <v>莊廉琯</v>
          </cell>
          <cell r="J5372">
            <v>45980</v>
          </cell>
          <cell r="K5372">
            <v>9.5</v>
          </cell>
        </row>
        <row r="5373">
          <cell r="C5373" t="str">
            <v>莊廉琯</v>
          </cell>
          <cell r="F5373" t="str">
            <v>K250501R1</v>
          </cell>
          <cell r="J5373">
            <v>45981</v>
          </cell>
          <cell r="K5373">
            <v>8</v>
          </cell>
        </row>
        <row r="5374">
          <cell r="C5374" t="str">
            <v>莊廉琯</v>
          </cell>
          <cell r="F5374" t="str">
            <v>K250501R1</v>
          </cell>
          <cell r="J5374">
            <v>45982</v>
          </cell>
          <cell r="K5374">
            <v>8</v>
          </cell>
        </row>
        <row r="5375">
          <cell r="C5375" t="str">
            <v>莊廉琯</v>
          </cell>
          <cell r="J5375">
            <v>45985</v>
          </cell>
          <cell r="K5375">
            <v>8</v>
          </cell>
        </row>
        <row r="5376">
          <cell r="C5376" t="str">
            <v>莊廉琯</v>
          </cell>
          <cell r="F5376" t="str">
            <v>K250501R1</v>
          </cell>
          <cell r="J5376">
            <v>45986</v>
          </cell>
          <cell r="K5376">
            <v>8</v>
          </cell>
        </row>
        <row r="5377">
          <cell r="C5377" t="str">
            <v>莊廉琯</v>
          </cell>
          <cell r="F5377" t="str">
            <v>K250501R1</v>
          </cell>
          <cell r="J5377">
            <v>45987</v>
          </cell>
          <cell r="K5377">
            <v>9</v>
          </cell>
        </row>
        <row r="5378">
          <cell r="C5378" t="str">
            <v>莊廉琯</v>
          </cell>
          <cell r="F5378" t="str">
            <v>K250501R1</v>
          </cell>
          <cell r="J5378">
            <v>45988</v>
          </cell>
          <cell r="K5378">
            <v>7</v>
          </cell>
        </row>
        <row r="5379">
          <cell r="C5379" t="str">
            <v>莊廉琯</v>
          </cell>
          <cell r="J5379">
            <v>45988</v>
          </cell>
          <cell r="K5379">
            <v>1</v>
          </cell>
        </row>
        <row r="5380">
          <cell r="C5380" t="str">
            <v>莊廉琯</v>
          </cell>
          <cell r="F5380" t="str">
            <v>K250501R1</v>
          </cell>
          <cell r="J5380">
            <v>45989</v>
          </cell>
          <cell r="K5380">
            <v>8</v>
          </cell>
        </row>
        <row r="5381">
          <cell r="C5381" t="str">
            <v>莊廉琯</v>
          </cell>
          <cell r="F5381" t="str">
            <v>K250501R1</v>
          </cell>
          <cell r="J5381">
            <v>45992</v>
          </cell>
          <cell r="K5381">
            <v>8</v>
          </cell>
        </row>
        <row r="5382">
          <cell r="C5382" t="str">
            <v>莊廉琯</v>
          </cell>
          <cell r="J5382">
            <v>45993</v>
          </cell>
          <cell r="K5382">
            <v>8</v>
          </cell>
        </row>
        <row r="5383">
          <cell r="C5383" t="str">
            <v>莊廉琯</v>
          </cell>
          <cell r="J5383">
            <v>45994</v>
          </cell>
          <cell r="K5383">
            <v>8</v>
          </cell>
        </row>
        <row r="5384">
          <cell r="C5384" t="str">
            <v>莊廉琯</v>
          </cell>
          <cell r="F5384" t="str">
            <v>K250501R1</v>
          </cell>
          <cell r="J5384">
            <v>45995</v>
          </cell>
          <cell r="K5384">
            <v>4.5</v>
          </cell>
        </row>
        <row r="5385">
          <cell r="C5385" t="str">
            <v>莊廉琯</v>
          </cell>
          <cell r="F5385" t="str">
            <v>M251001R1</v>
          </cell>
          <cell r="J5385">
            <v>45995</v>
          </cell>
          <cell r="K5385">
            <v>3.5</v>
          </cell>
        </row>
        <row r="5386">
          <cell r="C5386" t="str">
            <v>莊廉琯</v>
          </cell>
          <cell r="F5386" t="str">
            <v>K250501R1</v>
          </cell>
          <cell r="J5386">
            <v>45996</v>
          </cell>
          <cell r="K5386">
            <v>8</v>
          </cell>
        </row>
        <row r="5387">
          <cell r="C5387" t="str">
            <v>莊廉琯</v>
          </cell>
          <cell r="F5387" t="str">
            <v>K250501R1</v>
          </cell>
          <cell r="J5387">
            <v>45999</v>
          </cell>
          <cell r="K5387">
            <v>8</v>
          </cell>
        </row>
        <row r="5388">
          <cell r="C5388" t="str">
            <v>莊廉琯</v>
          </cell>
          <cell r="J5388">
            <v>46000</v>
          </cell>
          <cell r="K5388">
            <v>8</v>
          </cell>
        </row>
        <row r="5389">
          <cell r="C5389" t="str">
            <v>莊廉琯</v>
          </cell>
          <cell r="J5389">
            <v>46001</v>
          </cell>
          <cell r="K5389">
            <v>3.5</v>
          </cell>
        </row>
        <row r="5390">
          <cell r="C5390" t="str">
            <v>莊廉琯</v>
          </cell>
          <cell r="F5390" t="str">
            <v>K250501R1</v>
          </cell>
          <cell r="J5390">
            <v>46001</v>
          </cell>
          <cell r="K5390">
            <v>4.5</v>
          </cell>
        </row>
        <row r="5391">
          <cell r="C5391" t="str">
            <v>莊廉琯</v>
          </cell>
          <cell r="J5391">
            <v>46002</v>
          </cell>
          <cell r="K5391">
            <v>8</v>
          </cell>
        </row>
        <row r="5392">
          <cell r="C5392" t="str">
            <v>莊廉琯</v>
          </cell>
          <cell r="F5392" t="str">
            <v>K250501R1</v>
          </cell>
          <cell r="J5392">
            <v>46003</v>
          </cell>
          <cell r="K5392">
            <v>3.5</v>
          </cell>
        </row>
        <row r="5393">
          <cell r="C5393" t="str">
            <v>莊廉琯</v>
          </cell>
          <cell r="J5393">
            <v>46003</v>
          </cell>
          <cell r="K5393">
            <v>4.5</v>
          </cell>
        </row>
        <row r="5394">
          <cell r="C5394" t="str">
            <v>莊廉琯</v>
          </cell>
          <cell r="J5394">
            <v>46006</v>
          </cell>
          <cell r="K5394">
            <v>2</v>
          </cell>
        </row>
        <row r="5395">
          <cell r="C5395" t="str">
            <v>莊廉琯</v>
          </cell>
          <cell r="F5395" t="str">
            <v>K250501R2</v>
          </cell>
          <cell r="J5395">
            <v>46006</v>
          </cell>
          <cell r="K5395">
            <v>6</v>
          </cell>
        </row>
        <row r="5396">
          <cell r="C5396" t="str">
            <v>莊廉琯</v>
          </cell>
          <cell r="F5396" t="str">
            <v>M251001R1</v>
          </cell>
          <cell r="J5396">
            <v>46007</v>
          </cell>
          <cell r="K5396">
            <v>2</v>
          </cell>
        </row>
        <row r="5397">
          <cell r="C5397" t="str">
            <v>莊廉琯</v>
          </cell>
          <cell r="J5397">
            <v>46007</v>
          </cell>
          <cell r="K5397">
            <v>6</v>
          </cell>
        </row>
        <row r="5398">
          <cell r="C5398" t="str">
            <v>莊廉琯</v>
          </cell>
          <cell r="J5398">
            <v>46008</v>
          </cell>
          <cell r="K5398">
            <v>2</v>
          </cell>
        </row>
        <row r="5399">
          <cell r="C5399" t="str">
            <v>莊廉琯</v>
          </cell>
          <cell r="J5399">
            <v>46008</v>
          </cell>
          <cell r="K5399">
            <v>4</v>
          </cell>
        </row>
        <row r="5400">
          <cell r="C5400" t="str">
            <v>莊廉琯</v>
          </cell>
          <cell r="F5400" t="str">
            <v>K250501R2</v>
          </cell>
          <cell r="J5400">
            <v>46008</v>
          </cell>
          <cell r="K5400">
            <v>2</v>
          </cell>
        </row>
        <row r="5401">
          <cell r="C5401" t="str">
            <v>莊廉琯</v>
          </cell>
          <cell r="J5401">
            <v>46009</v>
          </cell>
          <cell r="K5401">
            <v>5</v>
          </cell>
        </row>
        <row r="5402">
          <cell r="C5402" t="str">
            <v>莊廉琯</v>
          </cell>
          <cell r="F5402" t="str">
            <v>K250501R2</v>
          </cell>
          <cell r="J5402">
            <v>46009</v>
          </cell>
          <cell r="K5402">
            <v>2</v>
          </cell>
        </row>
        <row r="5403">
          <cell r="C5403" t="str">
            <v>莊廉琯</v>
          </cell>
          <cell r="J5403">
            <v>46009</v>
          </cell>
          <cell r="K5403">
            <v>1</v>
          </cell>
        </row>
        <row r="5404">
          <cell r="C5404" t="str">
            <v>莊廉琯</v>
          </cell>
          <cell r="J5404">
            <v>46010</v>
          </cell>
          <cell r="K5404">
            <v>8</v>
          </cell>
        </row>
        <row r="5405">
          <cell r="C5405" t="str">
            <v>莊廉琯</v>
          </cell>
          <cell r="F5405" t="str">
            <v>M251001R1</v>
          </cell>
          <cell r="J5405">
            <v>46013</v>
          </cell>
          <cell r="K5405">
            <v>8</v>
          </cell>
        </row>
        <row r="5406">
          <cell r="C5406" t="str">
            <v>莊廉琯</v>
          </cell>
          <cell r="F5406" t="str">
            <v>K250501R2</v>
          </cell>
          <cell r="J5406">
            <v>46014</v>
          </cell>
          <cell r="K5406">
            <v>4.5</v>
          </cell>
        </row>
        <row r="5407">
          <cell r="C5407" t="str">
            <v>莊廉琯</v>
          </cell>
          <cell r="F5407" t="str">
            <v>M251001R1</v>
          </cell>
          <cell r="J5407">
            <v>46014</v>
          </cell>
          <cell r="K5407">
            <v>3.5</v>
          </cell>
        </row>
        <row r="5408">
          <cell r="C5408" t="str">
            <v>莊廉琯</v>
          </cell>
          <cell r="J5408">
            <v>46015</v>
          </cell>
          <cell r="K5408">
            <v>1.5</v>
          </cell>
        </row>
        <row r="5409">
          <cell r="C5409" t="str">
            <v>莊廉琯</v>
          </cell>
          <cell r="F5409" t="str">
            <v>M251001R1</v>
          </cell>
          <cell r="J5409">
            <v>46015</v>
          </cell>
          <cell r="K5409">
            <v>6.5</v>
          </cell>
        </row>
        <row r="5410">
          <cell r="C5410" t="str">
            <v>莊廉琯</v>
          </cell>
          <cell r="J5410">
            <v>46017</v>
          </cell>
          <cell r="K5410">
            <v>8</v>
          </cell>
        </row>
        <row r="5411">
          <cell r="C5411" t="str">
            <v>莊廉琯</v>
          </cell>
          <cell r="J5411">
            <v>46020</v>
          </cell>
          <cell r="K5411">
            <v>8</v>
          </cell>
        </row>
        <row r="5412">
          <cell r="C5412" t="str">
            <v>莊廉琯</v>
          </cell>
          <cell r="F5412" t="str">
            <v>K250501R2</v>
          </cell>
          <cell r="J5412">
            <v>46021</v>
          </cell>
          <cell r="K5412">
            <v>3</v>
          </cell>
        </row>
        <row r="5413">
          <cell r="C5413" t="str">
            <v>莊廉琯</v>
          </cell>
          <cell r="F5413" t="str">
            <v>M251001R1</v>
          </cell>
          <cell r="J5413">
            <v>46021</v>
          </cell>
          <cell r="K5413">
            <v>5</v>
          </cell>
        </row>
        <row r="5414">
          <cell r="C5414" t="str">
            <v>莊廉琯</v>
          </cell>
          <cell r="F5414" t="str">
            <v>M251001R1</v>
          </cell>
          <cell r="J5414">
            <v>46022</v>
          </cell>
          <cell r="K5414">
            <v>4</v>
          </cell>
        </row>
        <row r="5415">
          <cell r="C5415" t="str">
            <v>莊廉琯</v>
          </cell>
          <cell r="F5415" t="str">
            <v>M251001R1</v>
          </cell>
          <cell r="J5415">
            <v>46022</v>
          </cell>
          <cell r="K5415">
            <v>4</v>
          </cell>
        </row>
        <row r="5416">
          <cell r="C5416" t="str">
            <v>莊廉琯</v>
          </cell>
          <cell r="J5416">
            <v>46024</v>
          </cell>
          <cell r="K5416">
            <v>8</v>
          </cell>
        </row>
        <row r="5417">
          <cell r="C5417" t="str">
            <v>莊廉琯</v>
          </cell>
          <cell r="F5417" t="str">
            <v>K250501R2</v>
          </cell>
          <cell r="J5417">
            <v>46027</v>
          </cell>
          <cell r="K5417">
            <v>8</v>
          </cell>
        </row>
        <row r="5418">
          <cell r="C5418" t="str">
            <v>莊廉琯</v>
          </cell>
          <cell r="F5418" t="str">
            <v>K250501R2</v>
          </cell>
          <cell r="J5418">
            <v>46028</v>
          </cell>
          <cell r="K5418">
            <v>8</v>
          </cell>
        </row>
        <row r="5419">
          <cell r="C5419" t="str">
            <v>莊廉琯</v>
          </cell>
          <cell r="F5419" t="str">
            <v>K250501R2</v>
          </cell>
          <cell r="J5419">
            <v>46029</v>
          </cell>
          <cell r="K5419">
            <v>8</v>
          </cell>
        </row>
        <row r="5420">
          <cell r="C5420" t="str">
            <v>莊廉琯</v>
          </cell>
          <cell r="J5420">
            <v>46030</v>
          </cell>
          <cell r="K5420">
            <v>2</v>
          </cell>
        </row>
        <row r="5421">
          <cell r="C5421" t="str">
            <v>莊廉琯</v>
          </cell>
          <cell r="F5421" t="str">
            <v>K250501R2</v>
          </cell>
          <cell r="J5421">
            <v>46030</v>
          </cell>
          <cell r="K5421">
            <v>6</v>
          </cell>
        </row>
        <row r="5422">
          <cell r="C5422" t="str">
            <v>莊廉琯</v>
          </cell>
          <cell r="J5422">
            <v>46031</v>
          </cell>
          <cell r="K5422">
            <v>8</v>
          </cell>
        </row>
        <row r="5423">
          <cell r="C5423" t="str">
            <v>莊廉琯</v>
          </cell>
          <cell r="F5423" t="str">
            <v>K250501R2</v>
          </cell>
          <cell r="J5423">
            <v>46034</v>
          </cell>
          <cell r="K5423">
            <v>9.5</v>
          </cell>
        </row>
        <row r="5424">
          <cell r="C5424" t="str">
            <v>莊廉琯</v>
          </cell>
          <cell r="F5424" t="str">
            <v>K250501R2</v>
          </cell>
          <cell r="J5424">
            <v>46035</v>
          </cell>
          <cell r="K5424">
            <v>7</v>
          </cell>
        </row>
        <row r="5425">
          <cell r="C5425" t="str">
            <v>莊廉琯</v>
          </cell>
          <cell r="J5425">
            <v>46035</v>
          </cell>
          <cell r="K5425">
            <v>1</v>
          </cell>
        </row>
        <row r="5426">
          <cell r="C5426" t="str">
            <v>莊廉琯</v>
          </cell>
          <cell r="F5426" t="str">
            <v>K250501R2</v>
          </cell>
          <cell r="J5426">
            <v>46036</v>
          </cell>
          <cell r="K5426">
            <v>7</v>
          </cell>
        </row>
        <row r="5427">
          <cell r="C5427" t="str">
            <v>莊廉琯</v>
          </cell>
          <cell r="J5427">
            <v>46036</v>
          </cell>
          <cell r="K5427">
            <v>1</v>
          </cell>
        </row>
        <row r="5428">
          <cell r="C5428" t="str">
            <v>莊廉琯</v>
          </cell>
          <cell r="F5428" t="str">
            <v>K250501R2</v>
          </cell>
          <cell r="J5428">
            <v>46037</v>
          </cell>
          <cell r="K5428">
            <v>4</v>
          </cell>
        </row>
        <row r="5429">
          <cell r="C5429" t="str">
            <v>莊廉琯</v>
          </cell>
          <cell r="F5429" t="str">
            <v>K250501R2</v>
          </cell>
          <cell r="J5429">
            <v>46037</v>
          </cell>
          <cell r="K5429">
            <v>4</v>
          </cell>
        </row>
        <row r="5430">
          <cell r="C5430" t="str">
            <v>莊廉琯</v>
          </cell>
          <cell r="F5430" t="str">
            <v>K250501R2</v>
          </cell>
          <cell r="J5430">
            <v>46038</v>
          </cell>
          <cell r="K5430">
            <v>8</v>
          </cell>
        </row>
        <row r="5431">
          <cell r="C5431" t="str">
            <v>莊廉琯</v>
          </cell>
          <cell r="J5431">
            <v>46041</v>
          </cell>
          <cell r="K5431">
            <v>2</v>
          </cell>
        </row>
        <row r="5432">
          <cell r="C5432" t="str">
            <v>莊廉琯</v>
          </cell>
          <cell r="F5432" t="str">
            <v>K250501R2</v>
          </cell>
          <cell r="J5432">
            <v>46041</v>
          </cell>
          <cell r="K5432">
            <v>6</v>
          </cell>
        </row>
        <row r="5433">
          <cell r="C5433" t="str">
            <v>莊廉琯</v>
          </cell>
          <cell r="J5433">
            <v>46042</v>
          </cell>
          <cell r="K5433">
            <v>1</v>
          </cell>
        </row>
        <row r="5434">
          <cell r="C5434" t="str">
            <v>莊廉琯</v>
          </cell>
          <cell r="J5434">
            <v>46042</v>
          </cell>
          <cell r="K5434">
            <v>4</v>
          </cell>
        </row>
        <row r="5435">
          <cell r="C5435" t="str">
            <v>莊廉琯</v>
          </cell>
          <cell r="J5435">
            <v>46042</v>
          </cell>
          <cell r="K5435">
            <v>1.5</v>
          </cell>
        </row>
        <row r="5436">
          <cell r="C5436" t="str">
            <v>莊廉琯</v>
          </cell>
          <cell r="F5436" t="str">
            <v>K250501R2</v>
          </cell>
          <cell r="J5436">
            <v>46042</v>
          </cell>
          <cell r="K5436">
            <v>1.5</v>
          </cell>
        </row>
        <row r="5437">
          <cell r="C5437" t="str">
            <v>莊廉琯</v>
          </cell>
          <cell r="F5437" t="str">
            <v>K250501R2</v>
          </cell>
          <cell r="J5437">
            <v>46043</v>
          </cell>
          <cell r="K5437">
            <v>8</v>
          </cell>
        </row>
        <row r="5438">
          <cell r="C5438" t="str">
            <v>莊廉琯</v>
          </cell>
          <cell r="J5438">
            <v>46044</v>
          </cell>
          <cell r="K5438">
            <v>4</v>
          </cell>
        </row>
        <row r="5439">
          <cell r="C5439" t="str">
            <v>莊廉琯</v>
          </cell>
          <cell r="F5439" t="str">
            <v>K250501R2</v>
          </cell>
          <cell r="J5439">
            <v>46044</v>
          </cell>
          <cell r="K5439">
            <v>4</v>
          </cell>
        </row>
        <row r="5440">
          <cell r="C5440" t="str">
            <v>莊廉琯</v>
          </cell>
          <cell r="F5440" t="str">
            <v>M251001R1</v>
          </cell>
          <cell r="J5440">
            <v>46045</v>
          </cell>
          <cell r="K5440">
            <v>5</v>
          </cell>
        </row>
        <row r="5441">
          <cell r="C5441" t="str">
            <v>莊廉琯</v>
          </cell>
          <cell r="F5441" t="str">
            <v>K250501R2</v>
          </cell>
          <cell r="J5441">
            <v>46045</v>
          </cell>
          <cell r="K5441">
            <v>3</v>
          </cell>
        </row>
        <row r="5442">
          <cell r="C5442" t="str">
            <v>莊廉琯</v>
          </cell>
          <cell r="J5442">
            <v>46048</v>
          </cell>
          <cell r="K5442">
            <v>4</v>
          </cell>
        </row>
        <row r="5443">
          <cell r="C5443" t="str">
            <v>莊廉琯</v>
          </cell>
          <cell r="F5443" t="str">
            <v>K250501R2</v>
          </cell>
          <cell r="J5443">
            <v>46048</v>
          </cell>
          <cell r="K5443">
            <v>4</v>
          </cell>
        </row>
        <row r="5444">
          <cell r="C5444" t="str">
            <v>莊廉琯</v>
          </cell>
          <cell r="F5444" t="str">
            <v>M251001R1</v>
          </cell>
          <cell r="J5444">
            <v>46049</v>
          </cell>
          <cell r="K5444">
            <v>2</v>
          </cell>
        </row>
        <row r="5445">
          <cell r="C5445" t="str">
            <v>莊廉琯</v>
          </cell>
          <cell r="F5445" t="str">
            <v>K250501R2</v>
          </cell>
          <cell r="J5445">
            <v>46049</v>
          </cell>
          <cell r="K5445">
            <v>6</v>
          </cell>
        </row>
        <row r="5446">
          <cell r="C5446" t="str">
            <v>莊廉琯</v>
          </cell>
          <cell r="J5446">
            <v>46050</v>
          </cell>
          <cell r="K5446">
            <v>4</v>
          </cell>
        </row>
        <row r="5447">
          <cell r="C5447" t="str">
            <v>莊廉琯</v>
          </cell>
          <cell r="F5447" t="str">
            <v>K250501R2</v>
          </cell>
          <cell r="J5447">
            <v>46050</v>
          </cell>
          <cell r="K5447">
            <v>4</v>
          </cell>
        </row>
        <row r="5448">
          <cell r="C5448" t="str">
            <v>莊廉琯</v>
          </cell>
          <cell r="F5448" t="str">
            <v>K250501R2</v>
          </cell>
          <cell r="J5448">
            <v>46051</v>
          </cell>
          <cell r="K5448">
            <v>4</v>
          </cell>
        </row>
        <row r="5449">
          <cell r="C5449" t="str">
            <v>莊廉琯</v>
          </cell>
          <cell r="F5449" t="str">
            <v>M251001R1</v>
          </cell>
          <cell r="J5449">
            <v>46051</v>
          </cell>
          <cell r="K5449">
            <v>4</v>
          </cell>
        </row>
        <row r="5450">
          <cell r="C5450" t="str">
            <v>莊廉琯</v>
          </cell>
          <cell r="F5450" t="str">
            <v>M251001R1</v>
          </cell>
          <cell r="J5450">
            <v>46052</v>
          </cell>
          <cell r="K5450">
            <v>8</v>
          </cell>
        </row>
        <row r="5451">
          <cell r="C5451" t="str">
            <v>莊廉琯</v>
          </cell>
          <cell r="F5451" t="str">
            <v>M251001R1</v>
          </cell>
          <cell r="J5451">
            <v>46055</v>
          </cell>
          <cell r="K5451">
            <v>8</v>
          </cell>
        </row>
        <row r="5452">
          <cell r="C5452" t="str">
            <v>莊廉琯</v>
          </cell>
          <cell r="F5452" t="str">
            <v>M251001R1</v>
          </cell>
          <cell r="J5452">
            <v>46056</v>
          </cell>
          <cell r="K5452">
            <v>8</v>
          </cell>
        </row>
        <row r="5453">
          <cell r="C5453" t="str">
            <v>莊廉琯</v>
          </cell>
          <cell r="F5453" t="str">
            <v>M251001R1</v>
          </cell>
          <cell r="J5453">
            <v>46057</v>
          </cell>
          <cell r="K5453">
            <v>8</v>
          </cell>
        </row>
        <row r="5454">
          <cell r="C5454" t="str">
            <v>莊廉琯</v>
          </cell>
          <cell r="J5454">
            <v>46058</v>
          </cell>
          <cell r="K5454">
            <v>1.5</v>
          </cell>
        </row>
        <row r="5455">
          <cell r="C5455" t="str">
            <v>莊廉琯</v>
          </cell>
          <cell r="F5455" t="str">
            <v>M251001R1</v>
          </cell>
          <cell r="J5455">
            <v>46058</v>
          </cell>
          <cell r="K5455">
            <v>7.5</v>
          </cell>
        </row>
        <row r="5456">
          <cell r="C5456" t="str">
            <v>莊廉琯</v>
          </cell>
          <cell r="J5456">
            <v>46059</v>
          </cell>
          <cell r="K5456">
            <v>1.5</v>
          </cell>
        </row>
        <row r="5457">
          <cell r="C5457" t="str">
            <v>莊廉琯</v>
          </cell>
          <cell r="F5457" t="str">
            <v>M251001R1</v>
          </cell>
          <cell r="J5457">
            <v>46059</v>
          </cell>
          <cell r="K5457">
            <v>2.5</v>
          </cell>
        </row>
        <row r="5458">
          <cell r="C5458" t="str">
            <v>莊廉琯</v>
          </cell>
          <cell r="F5458" t="str">
            <v>K250501R2</v>
          </cell>
          <cell r="J5458">
            <v>46059</v>
          </cell>
          <cell r="K5458">
            <v>4</v>
          </cell>
        </row>
        <row r="5459">
          <cell r="C5459" t="str">
            <v>莊廉琯</v>
          </cell>
          <cell r="F5459" t="str">
            <v>M251001R1</v>
          </cell>
          <cell r="J5459">
            <v>46062</v>
          </cell>
          <cell r="K5459">
            <v>3</v>
          </cell>
        </row>
        <row r="5460">
          <cell r="C5460" t="str">
            <v>莊廉琯</v>
          </cell>
          <cell r="F5460" t="str">
            <v>M251001R1</v>
          </cell>
          <cell r="J5460">
            <v>46062</v>
          </cell>
          <cell r="K5460">
            <v>5</v>
          </cell>
        </row>
        <row r="5461">
          <cell r="C5461" t="str">
            <v>莊廉琯</v>
          </cell>
          <cell r="F5461" t="str">
            <v>M251001R1</v>
          </cell>
          <cell r="J5461">
            <v>46063</v>
          </cell>
          <cell r="K5461">
            <v>8</v>
          </cell>
        </row>
        <row r="5462">
          <cell r="C5462" t="str">
            <v>莊廉琯</v>
          </cell>
          <cell r="F5462" t="str">
            <v>M251001R1</v>
          </cell>
          <cell r="J5462">
            <v>46064</v>
          </cell>
          <cell r="K5462">
            <v>3.5</v>
          </cell>
        </row>
        <row r="5463">
          <cell r="C5463" t="str">
            <v>莊廉琯</v>
          </cell>
          <cell r="F5463" t="str">
            <v>M251001R1</v>
          </cell>
          <cell r="J5463">
            <v>46064</v>
          </cell>
          <cell r="K5463">
            <v>4.5</v>
          </cell>
        </row>
        <row r="5464">
          <cell r="C5464" t="str">
            <v>莊廉琯</v>
          </cell>
          <cell r="J5464">
            <v>46076</v>
          </cell>
          <cell r="K5464">
            <v>8</v>
          </cell>
        </row>
        <row r="5465">
          <cell r="C5465" t="str">
            <v>莊廉琯</v>
          </cell>
          <cell r="J5465">
            <v>46077</v>
          </cell>
          <cell r="K5465">
            <v>8</v>
          </cell>
        </row>
        <row r="5466">
          <cell r="C5466" t="str">
            <v>莊廉琯</v>
          </cell>
          <cell r="J5466">
            <v>46078</v>
          </cell>
          <cell r="K5466">
            <v>8</v>
          </cell>
        </row>
        <row r="5467">
          <cell r="C5467" t="str">
            <v>莊廉琯</v>
          </cell>
          <cell r="J5467">
            <v>46079</v>
          </cell>
          <cell r="K5467">
            <v>8</v>
          </cell>
        </row>
        <row r="5468">
          <cell r="C5468" t="str">
            <v>莊廉琯</v>
          </cell>
          <cell r="J5468">
            <v>46083</v>
          </cell>
          <cell r="K5468">
            <v>8</v>
          </cell>
        </row>
        <row r="5469">
          <cell r="C5469" t="str">
            <v>莊廉琯</v>
          </cell>
          <cell r="F5469" t="str">
            <v>M251001R1</v>
          </cell>
          <cell r="J5469">
            <v>46084</v>
          </cell>
          <cell r="K5469">
            <v>8</v>
          </cell>
        </row>
        <row r="5470">
          <cell r="C5470" t="str">
            <v>莊廉琯</v>
          </cell>
          <cell r="F5470" t="str">
            <v>M251001R1</v>
          </cell>
          <cell r="J5470">
            <v>46085</v>
          </cell>
          <cell r="K5470">
            <v>8</v>
          </cell>
        </row>
        <row r="5471">
          <cell r="C5471" t="str">
            <v>莊廉琯</v>
          </cell>
          <cell r="F5471" t="str">
            <v>M251001R1</v>
          </cell>
          <cell r="J5471">
            <v>46086</v>
          </cell>
          <cell r="K5471">
            <v>8</v>
          </cell>
        </row>
        <row r="5472">
          <cell r="C5472" t="str">
            <v>莊廉琯</v>
          </cell>
          <cell r="F5472" t="str">
            <v>M251001R1</v>
          </cell>
          <cell r="J5472">
            <v>46087</v>
          </cell>
          <cell r="K5472">
            <v>8</v>
          </cell>
        </row>
        <row r="5473">
          <cell r="C5473" t="str">
            <v>莊廉琯</v>
          </cell>
          <cell r="J5473">
            <v>46090</v>
          </cell>
          <cell r="K5473">
            <v>8</v>
          </cell>
        </row>
        <row r="5474">
          <cell r="C5474" t="str">
            <v>莊廉琯</v>
          </cell>
          <cell r="F5474" t="str">
            <v>K250501R2</v>
          </cell>
          <cell r="J5474">
            <v>46091</v>
          </cell>
          <cell r="K5474">
            <v>8</v>
          </cell>
        </row>
        <row r="5475">
          <cell r="C5475" t="str">
            <v>莊廉琯</v>
          </cell>
          <cell r="F5475" t="str">
            <v>K250501R2</v>
          </cell>
          <cell r="J5475">
            <v>46092</v>
          </cell>
          <cell r="K5475">
            <v>8</v>
          </cell>
        </row>
        <row r="5476">
          <cell r="C5476" t="str">
            <v>莊廉琯</v>
          </cell>
          <cell r="F5476" t="str">
            <v>K250501R2</v>
          </cell>
          <cell r="J5476">
            <v>46093</v>
          </cell>
          <cell r="K5476">
            <v>8</v>
          </cell>
        </row>
        <row r="5477">
          <cell r="C5477" t="str">
            <v>莊廉琯</v>
          </cell>
          <cell r="J5477">
            <v>46094</v>
          </cell>
          <cell r="K5477">
            <v>8</v>
          </cell>
        </row>
        <row r="5478">
          <cell r="C5478" t="str">
            <v>莊廉琯</v>
          </cell>
          <cell r="J5478">
            <v>46097</v>
          </cell>
          <cell r="K5478">
            <v>8</v>
          </cell>
        </row>
        <row r="5479">
          <cell r="C5479" t="str">
            <v>莊廉琯</v>
          </cell>
          <cell r="J5479">
            <v>46098</v>
          </cell>
          <cell r="K5479">
            <v>4</v>
          </cell>
        </row>
        <row r="5480">
          <cell r="C5480" t="str">
            <v>莊廉琯</v>
          </cell>
          <cell r="F5480" t="str">
            <v>K250501R2</v>
          </cell>
          <cell r="J5480">
            <v>46098</v>
          </cell>
          <cell r="K5480">
            <v>4</v>
          </cell>
        </row>
        <row r="5481">
          <cell r="C5481" t="str">
            <v>莊廉琯</v>
          </cell>
          <cell r="J5481">
            <v>46099</v>
          </cell>
          <cell r="K5481">
            <v>1</v>
          </cell>
        </row>
        <row r="5482">
          <cell r="C5482" t="str">
            <v>莊廉琯</v>
          </cell>
          <cell r="F5482" t="str">
            <v>M251001R1</v>
          </cell>
          <cell r="J5482">
            <v>46099</v>
          </cell>
          <cell r="K5482">
            <v>7</v>
          </cell>
        </row>
        <row r="5483">
          <cell r="C5483" t="str">
            <v>莊廉琯</v>
          </cell>
          <cell r="J5483">
            <v>46100</v>
          </cell>
          <cell r="K5483">
            <v>8</v>
          </cell>
        </row>
        <row r="5484">
          <cell r="C5484" t="str">
            <v>莊廉琯</v>
          </cell>
          <cell r="J5484">
            <v>46100</v>
          </cell>
          <cell r="K5484">
            <v>1</v>
          </cell>
        </row>
        <row r="5485">
          <cell r="C5485" t="str">
            <v>莊廉琯</v>
          </cell>
          <cell r="J5485">
            <v>46101</v>
          </cell>
          <cell r="K5485">
            <v>3.5</v>
          </cell>
        </row>
        <row r="5486">
          <cell r="C5486" t="str">
            <v>莊廉琯</v>
          </cell>
          <cell r="J5486">
            <v>46101</v>
          </cell>
          <cell r="K5486">
            <v>4.5</v>
          </cell>
        </row>
        <row r="5487">
          <cell r="C5487" t="str">
            <v>莊廉琯</v>
          </cell>
          <cell r="J5487">
            <v>46104</v>
          </cell>
          <cell r="K5487">
            <v>4</v>
          </cell>
        </row>
        <row r="5488">
          <cell r="C5488" t="str">
            <v>莊廉琯</v>
          </cell>
          <cell r="F5488" t="str">
            <v>M251001R1</v>
          </cell>
          <cell r="J5488">
            <v>46104</v>
          </cell>
          <cell r="K5488">
            <v>2</v>
          </cell>
        </row>
        <row r="5489">
          <cell r="C5489" t="str">
            <v>莊廉琯</v>
          </cell>
          <cell r="F5489" t="str">
            <v>M251001R1</v>
          </cell>
          <cell r="J5489">
            <v>46104</v>
          </cell>
          <cell r="K5489">
            <v>2</v>
          </cell>
        </row>
        <row r="5490">
          <cell r="C5490" t="str">
            <v>莊廉琯</v>
          </cell>
          <cell r="J5490">
            <v>46105</v>
          </cell>
          <cell r="K5490">
            <v>6</v>
          </cell>
        </row>
        <row r="5491">
          <cell r="C5491" t="str">
            <v>莊廉琯</v>
          </cell>
          <cell r="F5491" t="str">
            <v>K250501R2</v>
          </cell>
          <cell r="J5491">
            <v>46105</v>
          </cell>
          <cell r="K5491">
            <v>2</v>
          </cell>
        </row>
        <row r="5492">
          <cell r="C5492" t="str">
            <v>莊廉琯</v>
          </cell>
          <cell r="J5492">
            <v>46106</v>
          </cell>
          <cell r="K5492">
            <v>8</v>
          </cell>
        </row>
        <row r="5493">
          <cell r="C5493" t="str">
            <v>莊廉琯</v>
          </cell>
          <cell r="F5493" t="str">
            <v>M251001R1</v>
          </cell>
          <cell r="J5493">
            <v>46107</v>
          </cell>
          <cell r="K5493">
            <v>4</v>
          </cell>
        </row>
        <row r="5494">
          <cell r="C5494" t="str">
            <v>莊廉琯</v>
          </cell>
          <cell r="F5494" t="str">
            <v>K250501R2</v>
          </cell>
          <cell r="J5494">
            <v>46107</v>
          </cell>
          <cell r="K5494">
            <v>4</v>
          </cell>
        </row>
        <row r="5495">
          <cell r="C5495" t="str">
            <v>莊廉琯</v>
          </cell>
          <cell r="F5495" t="str">
            <v>K250501R2</v>
          </cell>
          <cell r="J5495">
            <v>46108</v>
          </cell>
          <cell r="K5495">
            <v>8</v>
          </cell>
        </row>
        <row r="5496">
          <cell r="C5496" t="str">
            <v>莊廉琯</v>
          </cell>
          <cell r="J5496">
            <v>46111</v>
          </cell>
          <cell r="K5496">
            <v>3.5</v>
          </cell>
        </row>
        <row r="5497">
          <cell r="C5497" t="str">
            <v>莊廉琯</v>
          </cell>
          <cell r="F5497" t="str">
            <v>K250501R2</v>
          </cell>
          <cell r="J5497">
            <v>46111</v>
          </cell>
          <cell r="K5497">
            <v>2.5</v>
          </cell>
        </row>
        <row r="5498">
          <cell r="C5498" t="str">
            <v>莊廉琯</v>
          </cell>
          <cell r="F5498" t="str">
            <v>K250501R2</v>
          </cell>
          <cell r="J5498">
            <v>46111</v>
          </cell>
          <cell r="K5498">
            <v>2</v>
          </cell>
        </row>
        <row r="5499">
          <cell r="C5499" t="str">
            <v>莊廉琯</v>
          </cell>
          <cell r="F5499" t="str">
            <v>M251001R1</v>
          </cell>
          <cell r="J5499">
            <v>46112</v>
          </cell>
          <cell r="K5499">
            <v>6</v>
          </cell>
        </row>
        <row r="5500">
          <cell r="C5500" t="str">
            <v>莊廉琯</v>
          </cell>
          <cell r="F5500" t="str">
            <v>K250501R2</v>
          </cell>
          <cell r="J5500">
            <v>46112</v>
          </cell>
          <cell r="K5500">
            <v>2</v>
          </cell>
        </row>
        <row r="5501">
          <cell r="C5501" t="str">
            <v>莊廉琯</v>
          </cell>
          <cell r="F5501" t="str">
            <v>M251001R1</v>
          </cell>
          <cell r="J5501">
            <v>46113</v>
          </cell>
          <cell r="K5501">
            <v>6</v>
          </cell>
        </row>
        <row r="5502">
          <cell r="C5502" t="str">
            <v>莊廉琯</v>
          </cell>
          <cell r="F5502" t="str">
            <v>K250501R2</v>
          </cell>
          <cell r="J5502">
            <v>46113</v>
          </cell>
          <cell r="K5502">
            <v>2</v>
          </cell>
        </row>
        <row r="5503">
          <cell r="C5503" t="str">
            <v>莊廉琯</v>
          </cell>
          <cell r="F5503" t="str">
            <v>M251001R1</v>
          </cell>
          <cell r="J5503">
            <v>46114</v>
          </cell>
          <cell r="K5503">
            <v>6</v>
          </cell>
        </row>
        <row r="5504">
          <cell r="C5504" t="str">
            <v>莊廉琯</v>
          </cell>
          <cell r="F5504" t="str">
            <v>M251001R1</v>
          </cell>
          <cell r="J5504">
            <v>46114</v>
          </cell>
          <cell r="K5504">
            <v>1</v>
          </cell>
        </row>
        <row r="5505">
          <cell r="C5505" t="str">
            <v>莊廉琯</v>
          </cell>
          <cell r="F5505" t="str">
            <v>M251001R1</v>
          </cell>
          <cell r="J5505">
            <v>46114</v>
          </cell>
          <cell r="K5505">
            <v>1</v>
          </cell>
        </row>
        <row r="5506">
          <cell r="C5506" t="str">
            <v>莊廉琯</v>
          </cell>
          <cell r="J5506">
            <v>46119</v>
          </cell>
          <cell r="K5506">
            <v>8</v>
          </cell>
        </row>
        <row r="5507">
          <cell r="C5507" t="str">
            <v>莊廉琯</v>
          </cell>
          <cell r="J5507">
            <v>46120</v>
          </cell>
          <cell r="K5507">
            <v>3.5</v>
          </cell>
        </row>
        <row r="5508">
          <cell r="C5508" t="str">
            <v>莊廉琯</v>
          </cell>
          <cell r="F5508" t="str">
            <v>M251001R1</v>
          </cell>
          <cell r="J5508">
            <v>46120</v>
          </cell>
          <cell r="K5508">
            <v>2.5</v>
          </cell>
        </row>
        <row r="5509">
          <cell r="C5509" t="str">
            <v>莊廉琯</v>
          </cell>
          <cell r="F5509" t="str">
            <v>M251001R1</v>
          </cell>
          <cell r="J5509">
            <v>46120</v>
          </cell>
          <cell r="K5509">
            <v>2</v>
          </cell>
        </row>
        <row r="5510">
          <cell r="C5510" t="str">
            <v>莊廉琯</v>
          </cell>
          <cell r="F5510" t="str">
            <v>M251001R1</v>
          </cell>
          <cell r="J5510">
            <v>46121</v>
          </cell>
          <cell r="K5510">
            <v>4.5</v>
          </cell>
        </row>
        <row r="5511">
          <cell r="C5511" t="str">
            <v>莊廉琯</v>
          </cell>
          <cell r="F5511" t="str">
            <v>K250501R2</v>
          </cell>
          <cell r="J5511">
            <v>46121</v>
          </cell>
          <cell r="K5511">
            <v>3.5</v>
          </cell>
        </row>
        <row r="5512">
          <cell r="C5512" t="str">
            <v>莊廉琯</v>
          </cell>
          <cell r="F5512" t="str">
            <v>K250501R2</v>
          </cell>
          <cell r="J5512">
            <v>46122</v>
          </cell>
          <cell r="K5512">
            <v>8</v>
          </cell>
        </row>
        <row r="5513">
          <cell r="C5513" t="str">
            <v>莊廉琯</v>
          </cell>
          <cell r="J5513">
            <v>46125</v>
          </cell>
          <cell r="K5513">
            <v>4.5</v>
          </cell>
        </row>
        <row r="5514">
          <cell r="C5514" t="str">
            <v>莊廉琯</v>
          </cell>
          <cell r="F5514" t="str">
            <v>K250501R2</v>
          </cell>
          <cell r="J5514">
            <v>46125</v>
          </cell>
          <cell r="K5514">
            <v>3.5</v>
          </cell>
        </row>
        <row r="5515">
          <cell r="C5515" t="str">
            <v>莊廉琯</v>
          </cell>
          <cell r="F5515" t="str">
            <v>M251001R1</v>
          </cell>
          <cell r="J5515">
            <v>46126</v>
          </cell>
          <cell r="K5515">
            <v>5.5</v>
          </cell>
        </row>
        <row r="5516">
          <cell r="C5516" t="str">
            <v>莊廉琯</v>
          </cell>
          <cell r="F5516" t="str">
            <v>K250501R2</v>
          </cell>
          <cell r="J5516">
            <v>46126</v>
          </cell>
          <cell r="K5516">
            <v>2.5</v>
          </cell>
        </row>
        <row r="5517">
          <cell r="C5517" t="str">
            <v>莊廉琯</v>
          </cell>
          <cell r="J5517">
            <v>46127</v>
          </cell>
          <cell r="K5517">
            <v>4</v>
          </cell>
        </row>
        <row r="5518">
          <cell r="C5518" t="str">
            <v>莊廉琯</v>
          </cell>
          <cell r="F5518" t="str">
            <v>K250501R2</v>
          </cell>
          <cell r="J5518">
            <v>46127</v>
          </cell>
          <cell r="K5518">
            <v>4</v>
          </cell>
        </row>
        <row r="5519">
          <cell r="C5519" t="str">
            <v>莊廉琯</v>
          </cell>
          <cell r="J5519">
            <v>46128</v>
          </cell>
          <cell r="K5519">
            <v>8</v>
          </cell>
        </row>
        <row r="5520">
          <cell r="C5520" t="str">
            <v>莊廉琯</v>
          </cell>
          <cell r="J5520">
            <v>46129</v>
          </cell>
          <cell r="K5520">
            <v>3.5</v>
          </cell>
        </row>
        <row r="5521">
          <cell r="C5521" t="str">
            <v>莊廉琯</v>
          </cell>
          <cell r="F5521" t="str">
            <v>K250501R2</v>
          </cell>
          <cell r="J5521">
            <v>46129</v>
          </cell>
          <cell r="K5521">
            <v>4.5</v>
          </cell>
        </row>
        <row r="5522">
          <cell r="C5522" t="str">
            <v>莊廉琯</v>
          </cell>
          <cell r="F5522" t="str">
            <v>M251001R1</v>
          </cell>
          <cell r="J5522">
            <v>46132</v>
          </cell>
          <cell r="K5522">
            <v>4.5</v>
          </cell>
        </row>
        <row r="5523">
          <cell r="C5523" t="str">
            <v>莊廉琯</v>
          </cell>
          <cell r="F5523" t="str">
            <v>K250501R2</v>
          </cell>
          <cell r="J5523">
            <v>46132</v>
          </cell>
          <cell r="K5523">
            <v>3.5</v>
          </cell>
        </row>
        <row r="5524">
          <cell r="C5524" t="str">
            <v>莊廉琯</v>
          </cell>
          <cell r="F5524" t="str">
            <v>M251001R1</v>
          </cell>
          <cell r="J5524">
            <v>46133</v>
          </cell>
          <cell r="K5524">
            <v>5.5</v>
          </cell>
        </row>
        <row r="5525">
          <cell r="C5525" t="str">
            <v>莊廉琯</v>
          </cell>
          <cell r="F5525" t="str">
            <v>K250501R2</v>
          </cell>
          <cell r="J5525">
            <v>46133</v>
          </cell>
          <cell r="K5525">
            <v>2.5</v>
          </cell>
        </row>
        <row r="5526">
          <cell r="C5526" t="str">
            <v>莊廉琯</v>
          </cell>
          <cell r="J5526">
            <v>46134</v>
          </cell>
          <cell r="K5526">
            <v>2</v>
          </cell>
        </row>
        <row r="5527">
          <cell r="C5527" t="str">
            <v>莊廉琯</v>
          </cell>
          <cell r="F5527" t="str">
            <v>K250501R2</v>
          </cell>
          <cell r="J5527">
            <v>46134</v>
          </cell>
          <cell r="K5527">
            <v>2.5</v>
          </cell>
        </row>
        <row r="5528">
          <cell r="C5528" t="str">
            <v>莊廉琯</v>
          </cell>
          <cell r="F5528" t="str">
            <v>K250501R2</v>
          </cell>
          <cell r="J5528">
            <v>46134</v>
          </cell>
          <cell r="K5528">
            <v>3.5</v>
          </cell>
        </row>
        <row r="5529">
          <cell r="C5529" t="str">
            <v>莊廉琯</v>
          </cell>
          <cell r="J5529">
            <v>46135</v>
          </cell>
          <cell r="K5529">
            <v>8</v>
          </cell>
        </row>
        <row r="5530">
          <cell r="C5530" t="str">
            <v>莊廉琯</v>
          </cell>
          <cell r="F5530" t="str">
            <v>M251001R1</v>
          </cell>
          <cell r="J5530">
            <v>46136</v>
          </cell>
          <cell r="K5530">
            <v>3.5</v>
          </cell>
        </row>
        <row r="5531">
          <cell r="C5531" t="str">
            <v>莊廉琯</v>
          </cell>
          <cell r="F5531" t="str">
            <v>K250501R2</v>
          </cell>
          <cell r="J5531">
            <v>46136</v>
          </cell>
          <cell r="K5531">
            <v>4.5</v>
          </cell>
        </row>
        <row r="5532">
          <cell r="C5532" t="str">
            <v>莊廉琯</v>
          </cell>
          <cell r="J5532">
            <v>46139</v>
          </cell>
          <cell r="K5532">
            <v>3.5</v>
          </cell>
        </row>
        <row r="5533">
          <cell r="C5533" t="str">
            <v>莊廉琯</v>
          </cell>
          <cell r="F5533" t="str">
            <v>K250501R2</v>
          </cell>
          <cell r="J5533">
            <v>46139</v>
          </cell>
          <cell r="K5533">
            <v>4.5</v>
          </cell>
        </row>
        <row r="5534">
          <cell r="C5534" t="str">
            <v>莊廉琯</v>
          </cell>
          <cell r="F5534" t="str">
            <v>M251001R1</v>
          </cell>
          <cell r="J5534">
            <v>46140</v>
          </cell>
          <cell r="K5534">
            <v>3.5</v>
          </cell>
        </row>
        <row r="5535">
          <cell r="C5535" t="str">
            <v>莊廉琯</v>
          </cell>
          <cell r="F5535" t="str">
            <v>K250501R2</v>
          </cell>
          <cell r="J5535">
            <v>46140</v>
          </cell>
          <cell r="K5535">
            <v>4.5</v>
          </cell>
        </row>
        <row r="5536">
          <cell r="C5536" t="str">
            <v>莊廉琯</v>
          </cell>
          <cell r="F5536" t="str">
            <v>K250501R2</v>
          </cell>
          <cell r="J5536">
            <v>46141</v>
          </cell>
          <cell r="K5536">
            <v>8</v>
          </cell>
        </row>
        <row r="5537">
          <cell r="C5537" t="str">
            <v>莊廉琯</v>
          </cell>
          <cell r="F5537" t="str">
            <v>K250501R2</v>
          </cell>
          <cell r="J5537">
            <v>46142</v>
          </cell>
          <cell r="K5537">
            <v>8</v>
          </cell>
        </row>
        <row r="5538">
          <cell r="C5538" t="str">
            <v>莊廉琯</v>
          </cell>
          <cell r="F5538" t="str">
            <v>K250501R2</v>
          </cell>
          <cell r="J5538">
            <v>46146</v>
          </cell>
          <cell r="K5538">
            <v>8</v>
          </cell>
        </row>
        <row r="5539">
          <cell r="C5539" t="str">
            <v>莊廉琯</v>
          </cell>
          <cell r="J5539">
            <v>46147</v>
          </cell>
          <cell r="K5539">
            <v>1</v>
          </cell>
        </row>
        <row r="5540">
          <cell r="C5540" t="str">
            <v>莊廉琯</v>
          </cell>
          <cell r="F5540" t="str">
            <v>M251001R1</v>
          </cell>
          <cell r="J5540">
            <v>46147</v>
          </cell>
          <cell r="K5540">
            <v>4</v>
          </cell>
        </row>
        <row r="5541">
          <cell r="C5541" t="str">
            <v>莊廉琯</v>
          </cell>
          <cell r="F5541" t="str">
            <v>K250501R2</v>
          </cell>
          <cell r="J5541">
            <v>46147</v>
          </cell>
          <cell r="K5541">
            <v>3</v>
          </cell>
        </row>
        <row r="5542">
          <cell r="C5542" t="str">
            <v>莊廉琯</v>
          </cell>
          <cell r="F5542" t="str">
            <v>M251001R1</v>
          </cell>
          <cell r="J5542">
            <v>46148</v>
          </cell>
          <cell r="K5542">
            <v>5</v>
          </cell>
        </row>
        <row r="5543">
          <cell r="C5543" t="str">
            <v>莊廉琯</v>
          </cell>
          <cell r="F5543" t="str">
            <v>K250501R2</v>
          </cell>
          <cell r="J5543">
            <v>46148</v>
          </cell>
          <cell r="K5543">
            <v>3</v>
          </cell>
        </row>
        <row r="5544">
          <cell r="C5544" t="str">
            <v>莊廉琯</v>
          </cell>
          <cell r="F5544" t="str">
            <v>M251001R1</v>
          </cell>
          <cell r="J5544">
            <v>46149</v>
          </cell>
          <cell r="K5544">
            <v>8</v>
          </cell>
        </row>
        <row r="5545">
          <cell r="C5545" t="str">
            <v>莊廉琯</v>
          </cell>
          <cell r="F5545" t="str">
            <v>K250501R2</v>
          </cell>
          <cell r="J5545">
            <v>46153</v>
          </cell>
          <cell r="K5545">
            <v>8</v>
          </cell>
        </row>
        <row r="5546">
          <cell r="C5546" t="str">
            <v>莊廉琯</v>
          </cell>
          <cell r="F5546" t="str">
            <v>K250501R2</v>
          </cell>
          <cell r="J5546">
            <v>46154</v>
          </cell>
          <cell r="K5546">
            <v>8</v>
          </cell>
        </row>
        <row r="5547">
          <cell r="C5547" t="str">
            <v>莊廉琯</v>
          </cell>
          <cell r="J5547">
            <v>46155</v>
          </cell>
          <cell r="K5547">
            <v>8</v>
          </cell>
        </row>
        <row r="5548">
          <cell r="C5548" t="str">
            <v>莊廉琯</v>
          </cell>
          <cell r="J5548">
            <v>46156</v>
          </cell>
          <cell r="K5548">
            <v>8</v>
          </cell>
        </row>
        <row r="5549">
          <cell r="C5549" t="str">
            <v>莊廉琯</v>
          </cell>
          <cell r="J5549">
            <v>46157</v>
          </cell>
          <cell r="K5549">
            <v>8</v>
          </cell>
        </row>
        <row r="5550">
          <cell r="C5550" t="str">
            <v>莊廉琯</v>
          </cell>
          <cell r="J5550">
            <v>46160</v>
          </cell>
          <cell r="K5550">
            <v>8</v>
          </cell>
        </row>
        <row r="5551">
          <cell r="C5551" t="str">
            <v>莊廉琯</v>
          </cell>
          <cell r="J5551">
            <v>46161</v>
          </cell>
          <cell r="K5551">
            <v>8</v>
          </cell>
        </row>
        <row r="5552">
          <cell r="C5552" t="str">
            <v>莊廉琯</v>
          </cell>
          <cell r="J5552">
            <v>46162</v>
          </cell>
          <cell r="K5552">
            <v>1.5</v>
          </cell>
        </row>
        <row r="5553">
          <cell r="C5553" t="str">
            <v>莊廉琯</v>
          </cell>
          <cell r="F5553" t="str">
            <v>M251001R1</v>
          </cell>
          <cell r="J5553">
            <v>46162</v>
          </cell>
          <cell r="K5553">
            <v>3</v>
          </cell>
        </row>
        <row r="5554">
          <cell r="C5554" t="str">
            <v>莊廉琯</v>
          </cell>
          <cell r="F5554" t="str">
            <v>M251001R1</v>
          </cell>
          <cell r="J5554">
            <v>46162</v>
          </cell>
          <cell r="K5554">
            <v>1.5</v>
          </cell>
        </row>
        <row r="5555">
          <cell r="C5555" t="str">
            <v>莊廉琯</v>
          </cell>
          <cell r="F5555" t="str">
            <v>M251001R1</v>
          </cell>
          <cell r="J5555">
            <v>46162</v>
          </cell>
          <cell r="K5555">
            <v>2</v>
          </cell>
        </row>
        <row r="5556">
          <cell r="C5556" t="str">
            <v>彭志豪</v>
          </cell>
          <cell r="F5556" t="str">
            <v>M240101R1</v>
          </cell>
          <cell r="J5556">
            <v>45470</v>
          </cell>
          <cell r="K5556">
            <v>8</v>
          </cell>
        </row>
        <row r="5557">
          <cell r="C5557" t="str">
            <v>彭志豪</v>
          </cell>
          <cell r="F5557" t="str">
            <v>M240101R1</v>
          </cell>
          <cell r="J5557">
            <v>45471</v>
          </cell>
          <cell r="K5557">
            <v>8</v>
          </cell>
        </row>
        <row r="5558">
          <cell r="C5558" t="str">
            <v>彭志豪</v>
          </cell>
          <cell r="F5558" t="str">
            <v>M240101R1</v>
          </cell>
          <cell r="J5558">
            <v>45474</v>
          </cell>
          <cell r="K5558">
            <v>2</v>
          </cell>
        </row>
        <row r="5559">
          <cell r="C5559" t="str">
            <v>彭志豪</v>
          </cell>
          <cell r="F5559" t="str">
            <v>M221005R2</v>
          </cell>
          <cell r="J5559">
            <v>45474</v>
          </cell>
          <cell r="K5559">
            <v>6</v>
          </cell>
        </row>
        <row r="5560">
          <cell r="C5560" t="str">
            <v>彭志豪</v>
          </cell>
          <cell r="F5560" t="str">
            <v>M240101R1</v>
          </cell>
          <cell r="J5560">
            <v>45475</v>
          </cell>
          <cell r="K5560">
            <v>4</v>
          </cell>
        </row>
        <row r="5561">
          <cell r="C5561" t="str">
            <v>彭志豪</v>
          </cell>
          <cell r="J5561">
            <v>45475</v>
          </cell>
          <cell r="K5561">
            <v>1</v>
          </cell>
        </row>
        <row r="5562">
          <cell r="C5562" t="str">
            <v>彭志豪</v>
          </cell>
          <cell r="F5562" t="str">
            <v>M221005R2</v>
          </cell>
          <cell r="J5562">
            <v>45475</v>
          </cell>
          <cell r="K5562">
            <v>3</v>
          </cell>
        </row>
        <row r="5563">
          <cell r="C5563" t="str">
            <v>彭志豪</v>
          </cell>
          <cell r="F5563" t="str">
            <v>M221005R2</v>
          </cell>
          <cell r="J5563">
            <v>45476</v>
          </cell>
          <cell r="K5563">
            <v>4</v>
          </cell>
        </row>
        <row r="5564">
          <cell r="C5564" t="str">
            <v>彭志豪</v>
          </cell>
          <cell r="J5564">
            <v>45476</v>
          </cell>
          <cell r="K5564">
            <v>3</v>
          </cell>
        </row>
        <row r="5565">
          <cell r="C5565" t="str">
            <v>彭志豪</v>
          </cell>
          <cell r="F5565" t="str">
            <v>M240101R1</v>
          </cell>
          <cell r="J5565">
            <v>45476</v>
          </cell>
          <cell r="K5565">
            <v>1</v>
          </cell>
        </row>
        <row r="5566">
          <cell r="C5566" t="str">
            <v>彭志豪</v>
          </cell>
          <cell r="F5566" t="str">
            <v>M221005R2</v>
          </cell>
          <cell r="J5566">
            <v>45477</v>
          </cell>
          <cell r="K5566">
            <v>4</v>
          </cell>
        </row>
        <row r="5567">
          <cell r="C5567" t="str">
            <v>彭志豪</v>
          </cell>
          <cell r="J5567">
            <v>45477</v>
          </cell>
          <cell r="K5567">
            <v>4</v>
          </cell>
        </row>
        <row r="5568">
          <cell r="C5568" t="str">
            <v>彭志豪</v>
          </cell>
          <cell r="F5568" t="str">
            <v>M221005R2</v>
          </cell>
          <cell r="J5568">
            <v>45478</v>
          </cell>
          <cell r="K5568">
            <v>1</v>
          </cell>
        </row>
        <row r="5569">
          <cell r="C5569" t="str">
            <v>彭志豪</v>
          </cell>
          <cell r="J5569">
            <v>45478</v>
          </cell>
          <cell r="K5569">
            <v>7</v>
          </cell>
        </row>
        <row r="5570">
          <cell r="C5570" t="str">
            <v>彭志豪</v>
          </cell>
          <cell r="F5570" t="str">
            <v>M240101R1</v>
          </cell>
          <cell r="J5570">
            <v>45481</v>
          </cell>
          <cell r="K5570">
            <v>6</v>
          </cell>
        </row>
        <row r="5571">
          <cell r="C5571" t="str">
            <v>彭志豪</v>
          </cell>
          <cell r="F5571" t="str">
            <v>M221005R2</v>
          </cell>
          <cell r="J5571">
            <v>45481</v>
          </cell>
          <cell r="K5571">
            <v>2</v>
          </cell>
        </row>
        <row r="5572">
          <cell r="C5572" t="str">
            <v>彭志豪</v>
          </cell>
          <cell r="F5572" t="str">
            <v>M221005R2</v>
          </cell>
          <cell r="J5572">
            <v>45482</v>
          </cell>
          <cell r="K5572">
            <v>1</v>
          </cell>
        </row>
        <row r="5573">
          <cell r="C5573" t="str">
            <v>彭志豪</v>
          </cell>
          <cell r="F5573" t="str">
            <v>M240101R1</v>
          </cell>
          <cell r="J5573">
            <v>45482</v>
          </cell>
          <cell r="K5573">
            <v>7</v>
          </cell>
        </row>
        <row r="5574">
          <cell r="C5574" t="str">
            <v>彭志豪</v>
          </cell>
          <cell r="F5574" t="str">
            <v>M221005R2</v>
          </cell>
          <cell r="J5574">
            <v>45483</v>
          </cell>
          <cell r="K5574">
            <v>2</v>
          </cell>
        </row>
        <row r="5575">
          <cell r="C5575" t="str">
            <v>彭志豪</v>
          </cell>
          <cell r="F5575" t="str">
            <v>M240101R1</v>
          </cell>
          <cell r="J5575">
            <v>45483</v>
          </cell>
          <cell r="K5575">
            <v>6</v>
          </cell>
        </row>
        <row r="5576">
          <cell r="C5576" t="str">
            <v>彭志豪</v>
          </cell>
          <cell r="F5576" t="str">
            <v>M240101R1</v>
          </cell>
          <cell r="J5576">
            <v>45484</v>
          </cell>
          <cell r="K5576">
            <v>8</v>
          </cell>
        </row>
        <row r="5577">
          <cell r="C5577" t="str">
            <v>彭志豪</v>
          </cell>
          <cell r="F5577" t="str">
            <v>M240101R1</v>
          </cell>
          <cell r="J5577">
            <v>45485</v>
          </cell>
          <cell r="K5577">
            <v>7</v>
          </cell>
        </row>
        <row r="5578">
          <cell r="C5578" t="str">
            <v>彭志豪</v>
          </cell>
          <cell r="F5578" t="str">
            <v>M221005R2</v>
          </cell>
          <cell r="J5578">
            <v>45485</v>
          </cell>
          <cell r="K5578">
            <v>1</v>
          </cell>
        </row>
        <row r="5579">
          <cell r="C5579" t="str">
            <v>彭志豪</v>
          </cell>
          <cell r="J5579">
            <v>45488</v>
          </cell>
          <cell r="K5579">
            <v>8</v>
          </cell>
        </row>
        <row r="5580">
          <cell r="C5580" t="str">
            <v>彭志豪</v>
          </cell>
          <cell r="F5580" t="str">
            <v>M240101R1</v>
          </cell>
          <cell r="J5580">
            <v>45489</v>
          </cell>
          <cell r="K5580">
            <v>6</v>
          </cell>
        </row>
        <row r="5581">
          <cell r="C5581" t="str">
            <v>彭志豪</v>
          </cell>
          <cell r="F5581" t="str">
            <v>M240703R1</v>
          </cell>
          <cell r="J5581">
            <v>45489</v>
          </cell>
          <cell r="K5581">
            <v>2</v>
          </cell>
        </row>
        <row r="5582">
          <cell r="C5582" t="str">
            <v>彭志豪</v>
          </cell>
          <cell r="F5582" t="str">
            <v>M240101R1</v>
          </cell>
          <cell r="J5582">
            <v>45490</v>
          </cell>
          <cell r="K5582">
            <v>6</v>
          </cell>
        </row>
        <row r="5583">
          <cell r="C5583" t="str">
            <v>彭志豪</v>
          </cell>
          <cell r="F5583" t="str">
            <v>M240703R1</v>
          </cell>
          <cell r="J5583">
            <v>45490</v>
          </cell>
          <cell r="K5583">
            <v>2</v>
          </cell>
        </row>
        <row r="5584">
          <cell r="C5584" t="str">
            <v>彭志豪</v>
          </cell>
          <cell r="F5584" t="str">
            <v>M240101R1</v>
          </cell>
          <cell r="J5584">
            <v>45491</v>
          </cell>
          <cell r="K5584">
            <v>6</v>
          </cell>
        </row>
        <row r="5585">
          <cell r="C5585" t="str">
            <v>彭志豪</v>
          </cell>
          <cell r="F5585" t="str">
            <v>M240703R1</v>
          </cell>
          <cell r="J5585">
            <v>45491</v>
          </cell>
          <cell r="K5585">
            <v>2</v>
          </cell>
        </row>
        <row r="5586">
          <cell r="C5586" t="str">
            <v>彭志豪</v>
          </cell>
          <cell r="F5586" t="str">
            <v>M240703R1</v>
          </cell>
          <cell r="J5586">
            <v>45492</v>
          </cell>
          <cell r="K5586">
            <v>1</v>
          </cell>
        </row>
        <row r="5587">
          <cell r="C5587" t="str">
            <v>彭志豪</v>
          </cell>
          <cell r="J5587">
            <v>45492</v>
          </cell>
          <cell r="K5587">
            <v>1</v>
          </cell>
        </row>
        <row r="5588">
          <cell r="C5588" t="str">
            <v>彭志豪</v>
          </cell>
          <cell r="F5588" t="str">
            <v>M240101R1</v>
          </cell>
          <cell r="J5588">
            <v>45492</v>
          </cell>
          <cell r="K5588">
            <v>6</v>
          </cell>
        </row>
        <row r="5589">
          <cell r="C5589" t="str">
            <v>彭志豪</v>
          </cell>
          <cell r="F5589" t="str">
            <v>M240101R1</v>
          </cell>
          <cell r="J5589">
            <v>45495</v>
          </cell>
          <cell r="K5589">
            <v>3</v>
          </cell>
        </row>
        <row r="5590">
          <cell r="C5590" t="str">
            <v>彭志豪</v>
          </cell>
          <cell r="F5590" t="str">
            <v>M240703R1</v>
          </cell>
          <cell r="J5590">
            <v>45495</v>
          </cell>
          <cell r="K5590">
            <v>5</v>
          </cell>
        </row>
        <row r="5591">
          <cell r="C5591" t="str">
            <v>彭志豪</v>
          </cell>
          <cell r="F5591" t="str">
            <v>M240703R1</v>
          </cell>
          <cell r="J5591">
            <v>45496</v>
          </cell>
          <cell r="K5591">
            <v>2</v>
          </cell>
        </row>
        <row r="5592">
          <cell r="C5592" t="str">
            <v>彭志豪</v>
          </cell>
          <cell r="F5592" t="str">
            <v>M240101R1</v>
          </cell>
          <cell r="J5592">
            <v>45496</v>
          </cell>
          <cell r="K5592">
            <v>6</v>
          </cell>
        </row>
        <row r="5593">
          <cell r="C5593" t="str">
            <v>彭志豪</v>
          </cell>
          <cell r="J5593">
            <v>45497</v>
          </cell>
          <cell r="K5593">
            <v>8</v>
          </cell>
        </row>
        <row r="5594">
          <cell r="C5594" t="str">
            <v>彭志豪</v>
          </cell>
          <cell r="J5594">
            <v>45498</v>
          </cell>
          <cell r="K5594">
            <v>8</v>
          </cell>
        </row>
        <row r="5595">
          <cell r="C5595" t="str">
            <v>彭志豪</v>
          </cell>
          <cell r="F5595" t="str">
            <v>M240703R1</v>
          </cell>
          <cell r="J5595">
            <v>45499</v>
          </cell>
          <cell r="K5595">
            <v>2</v>
          </cell>
        </row>
        <row r="5596">
          <cell r="C5596" t="str">
            <v>彭志豪</v>
          </cell>
          <cell r="F5596" t="str">
            <v>M240101R1</v>
          </cell>
          <cell r="J5596">
            <v>45499</v>
          </cell>
          <cell r="K5596">
            <v>6</v>
          </cell>
        </row>
        <row r="5597">
          <cell r="C5597" t="str">
            <v>彭志豪</v>
          </cell>
          <cell r="F5597" t="str">
            <v>M240703R1</v>
          </cell>
          <cell r="J5597">
            <v>45502</v>
          </cell>
          <cell r="K5597">
            <v>2</v>
          </cell>
        </row>
        <row r="5598">
          <cell r="C5598" t="str">
            <v>彭志豪</v>
          </cell>
          <cell r="F5598" t="str">
            <v>M240101R1</v>
          </cell>
          <cell r="J5598">
            <v>45502</v>
          </cell>
          <cell r="K5598">
            <v>6</v>
          </cell>
        </row>
        <row r="5599">
          <cell r="C5599" t="str">
            <v>彭志豪</v>
          </cell>
          <cell r="J5599">
            <v>45503</v>
          </cell>
          <cell r="K5599">
            <v>3</v>
          </cell>
        </row>
        <row r="5600">
          <cell r="C5600" t="str">
            <v>彭志豪</v>
          </cell>
          <cell r="F5600" t="str">
            <v>M240101R1</v>
          </cell>
          <cell r="J5600">
            <v>45503</v>
          </cell>
          <cell r="K5600">
            <v>4</v>
          </cell>
        </row>
        <row r="5601">
          <cell r="C5601" t="str">
            <v>彭志豪</v>
          </cell>
          <cell r="F5601" t="str">
            <v>M240703R1</v>
          </cell>
          <cell r="J5601">
            <v>45503</v>
          </cell>
          <cell r="K5601">
            <v>1</v>
          </cell>
        </row>
        <row r="5602">
          <cell r="C5602" t="str">
            <v>彭志豪</v>
          </cell>
          <cell r="F5602" t="str">
            <v>M240703R1</v>
          </cell>
          <cell r="J5602">
            <v>45504</v>
          </cell>
          <cell r="K5602">
            <v>1</v>
          </cell>
        </row>
        <row r="5603">
          <cell r="C5603" t="str">
            <v>彭志豪</v>
          </cell>
          <cell r="F5603" t="str">
            <v>M240101R1</v>
          </cell>
          <cell r="J5603">
            <v>45504</v>
          </cell>
          <cell r="K5603">
            <v>6</v>
          </cell>
        </row>
        <row r="5604">
          <cell r="C5604" t="str">
            <v>彭志豪</v>
          </cell>
          <cell r="J5604">
            <v>45504</v>
          </cell>
          <cell r="K5604">
            <v>1</v>
          </cell>
        </row>
        <row r="5605">
          <cell r="C5605" t="str">
            <v>彭志豪</v>
          </cell>
          <cell r="F5605" t="str">
            <v>M240101R1</v>
          </cell>
          <cell r="J5605">
            <v>45505</v>
          </cell>
          <cell r="K5605">
            <v>6</v>
          </cell>
        </row>
        <row r="5606">
          <cell r="C5606" t="str">
            <v>彭志豪</v>
          </cell>
          <cell r="F5606" t="str">
            <v>M240703R1</v>
          </cell>
          <cell r="J5606">
            <v>45505</v>
          </cell>
          <cell r="K5606">
            <v>2</v>
          </cell>
        </row>
        <row r="5607">
          <cell r="C5607" t="str">
            <v>彭志豪</v>
          </cell>
          <cell r="F5607" t="str">
            <v>M240101R1</v>
          </cell>
          <cell r="J5607">
            <v>45506</v>
          </cell>
          <cell r="K5607">
            <v>7</v>
          </cell>
        </row>
        <row r="5608">
          <cell r="C5608" t="str">
            <v>彭志豪</v>
          </cell>
          <cell r="F5608" t="str">
            <v>M240703R1</v>
          </cell>
          <cell r="J5608">
            <v>45506</v>
          </cell>
          <cell r="K5608">
            <v>1</v>
          </cell>
        </row>
        <row r="5609">
          <cell r="C5609" t="str">
            <v>彭志豪</v>
          </cell>
          <cell r="J5609">
            <v>45509</v>
          </cell>
          <cell r="K5609">
            <v>6</v>
          </cell>
        </row>
        <row r="5610">
          <cell r="C5610" t="str">
            <v>彭志豪</v>
          </cell>
          <cell r="F5610" t="str">
            <v>M240703R1</v>
          </cell>
          <cell r="J5610">
            <v>45509</v>
          </cell>
          <cell r="K5610">
            <v>2</v>
          </cell>
        </row>
        <row r="5611">
          <cell r="C5611" t="str">
            <v>彭志豪</v>
          </cell>
          <cell r="F5611" t="str">
            <v>M240703R1</v>
          </cell>
          <cell r="J5611">
            <v>45510</v>
          </cell>
          <cell r="K5611">
            <v>2</v>
          </cell>
        </row>
        <row r="5612">
          <cell r="C5612" t="str">
            <v>彭志豪</v>
          </cell>
          <cell r="F5612" t="str">
            <v>M240101R1</v>
          </cell>
          <cell r="J5612">
            <v>45510</v>
          </cell>
          <cell r="K5612">
            <v>6</v>
          </cell>
        </row>
        <row r="5613">
          <cell r="C5613" t="str">
            <v>彭志豪</v>
          </cell>
          <cell r="J5613">
            <v>45511</v>
          </cell>
          <cell r="K5613">
            <v>2</v>
          </cell>
        </row>
        <row r="5614">
          <cell r="C5614" t="str">
            <v>彭志豪</v>
          </cell>
          <cell r="F5614" t="str">
            <v>M240101R1</v>
          </cell>
          <cell r="J5614">
            <v>45511</v>
          </cell>
          <cell r="K5614">
            <v>6</v>
          </cell>
        </row>
        <row r="5615">
          <cell r="C5615" t="str">
            <v>彭志豪</v>
          </cell>
          <cell r="J5615">
            <v>45512</v>
          </cell>
          <cell r="K5615">
            <v>5</v>
          </cell>
        </row>
        <row r="5616">
          <cell r="C5616" t="str">
            <v>彭志豪</v>
          </cell>
          <cell r="F5616" t="str">
            <v>M240101R1</v>
          </cell>
          <cell r="J5616">
            <v>45512</v>
          </cell>
          <cell r="K5616">
            <v>3</v>
          </cell>
        </row>
        <row r="5617">
          <cell r="C5617" t="str">
            <v>彭志豪</v>
          </cell>
          <cell r="F5617" t="str">
            <v>M240703R1</v>
          </cell>
          <cell r="J5617">
            <v>45513</v>
          </cell>
          <cell r="K5617">
            <v>3.5</v>
          </cell>
        </row>
        <row r="5618">
          <cell r="C5618" t="str">
            <v>彭志豪</v>
          </cell>
          <cell r="J5618">
            <v>45513</v>
          </cell>
          <cell r="K5618">
            <v>2</v>
          </cell>
        </row>
        <row r="5619">
          <cell r="C5619" t="str">
            <v>彭志豪</v>
          </cell>
          <cell r="F5619" t="str">
            <v>M240101R1</v>
          </cell>
          <cell r="J5619">
            <v>45513</v>
          </cell>
          <cell r="K5619">
            <v>2.5</v>
          </cell>
        </row>
        <row r="5620">
          <cell r="C5620" t="str">
            <v>彭志豪</v>
          </cell>
          <cell r="F5620" t="str">
            <v>M240703R1</v>
          </cell>
          <cell r="J5620">
            <v>45516</v>
          </cell>
          <cell r="K5620">
            <v>7</v>
          </cell>
        </row>
        <row r="5621">
          <cell r="C5621" t="str">
            <v>彭志豪</v>
          </cell>
          <cell r="J5621">
            <v>45516</v>
          </cell>
          <cell r="K5621">
            <v>1</v>
          </cell>
        </row>
        <row r="5622">
          <cell r="C5622" t="str">
            <v>彭志豪</v>
          </cell>
          <cell r="F5622" t="str">
            <v>M240703R1</v>
          </cell>
          <cell r="J5622">
            <v>45517</v>
          </cell>
          <cell r="K5622">
            <v>6</v>
          </cell>
        </row>
        <row r="5623">
          <cell r="C5623" t="str">
            <v>彭志豪</v>
          </cell>
          <cell r="J5623">
            <v>45517</v>
          </cell>
          <cell r="K5623">
            <v>2</v>
          </cell>
        </row>
        <row r="5624">
          <cell r="C5624" t="str">
            <v>彭志豪</v>
          </cell>
          <cell r="F5624" t="str">
            <v>M240703R1</v>
          </cell>
          <cell r="J5624">
            <v>45518</v>
          </cell>
          <cell r="K5624">
            <v>5</v>
          </cell>
        </row>
        <row r="5625">
          <cell r="C5625" t="str">
            <v>彭志豪</v>
          </cell>
          <cell r="J5625">
            <v>45518</v>
          </cell>
          <cell r="K5625">
            <v>3</v>
          </cell>
        </row>
        <row r="5626">
          <cell r="C5626" t="str">
            <v>彭志豪</v>
          </cell>
          <cell r="F5626" t="str">
            <v>M240703R1</v>
          </cell>
          <cell r="J5626">
            <v>45519</v>
          </cell>
          <cell r="K5626">
            <v>5</v>
          </cell>
        </row>
        <row r="5627">
          <cell r="C5627" t="str">
            <v>彭志豪</v>
          </cell>
          <cell r="J5627">
            <v>45519</v>
          </cell>
          <cell r="K5627">
            <v>3</v>
          </cell>
        </row>
        <row r="5628">
          <cell r="C5628" t="str">
            <v>彭志豪</v>
          </cell>
          <cell r="J5628">
            <v>45520</v>
          </cell>
          <cell r="K5628">
            <v>2</v>
          </cell>
        </row>
        <row r="5629">
          <cell r="C5629" t="str">
            <v>彭志豪</v>
          </cell>
          <cell r="F5629" t="str">
            <v>M240703R1</v>
          </cell>
          <cell r="J5629">
            <v>45520</v>
          </cell>
          <cell r="K5629">
            <v>5</v>
          </cell>
        </row>
        <row r="5630">
          <cell r="C5630" t="str">
            <v>彭志豪</v>
          </cell>
          <cell r="J5630">
            <v>45520</v>
          </cell>
          <cell r="K5630">
            <v>1</v>
          </cell>
        </row>
        <row r="5631">
          <cell r="C5631" t="str">
            <v>彭志豪</v>
          </cell>
          <cell r="F5631" t="str">
            <v>M240703R1</v>
          </cell>
          <cell r="J5631">
            <v>45523</v>
          </cell>
          <cell r="K5631">
            <v>6</v>
          </cell>
        </row>
        <row r="5632">
          <cell r="C5632" t="str">
            <v>彭志豪</v>
          </cell>
          <cell r="J5632">
            <v>45523</v>
          </cell>
          <cell r="K5632">
            <v>2</v>
          </cell>
        </row>
        <row r="5633">
          <cell r="C5633" t="str">
            <v>彭志豪</v>
          </cell>
          <cell r="F5633" t="str">
            <v>M240703R1</v>
          </cell>
          <cell r="J5633">
            <v>45524</v>
          </cell>
          <cell r="K5633">
            <v>5</v>
          </cell>
        </row>
        <row r="5634">
          <cell r="C5634" t="str">
            <v>彭志豪</v>
          </cell>
          <cell r="J5634">
            <v>45524</v>
          </cell>
          <cell r="K5634">
            <v>3</v>
          </cell>
        </row>
        <row r="5635">
          <cell r="C5635" t="str">
            <v>彭志豪</v>
          </cell>
          <cell r="F5635" t="str">
            <v>M240703R1</v>
          </cell>
          <cell r="J5635">
            <v>45525</v>
          </cell>
          <cell r="K5635">
            <v>3</v>
          </cell>
        </row>
        <row r="5636">
          <cell r="C5636" t="str">
            <v>彭志豪</v>
          </cell>
          <cell r="J5636">
            <v>45525</v>
          </cell>
          <cell r="K5636">
            <v>3</v>
          </cell>
        </row>
        <row r="5637">
          <cell r="C5637" t="str">
            <v>彭志豪</v>
          </cell>
          <cell r="J5637">
            <v>45525</v>
          </cell>
          <cell r="K5637">
            <v>2</v>
          </cell>
        </row>
        <row r="5638">
          <cell r="C5638" t="str">
            <v>彭志豪</v>
          </cell>
          <cell r="J5638">
            <v>45526</v>
          </cell>
          <cell r="K5638">
            <v>1.5</v>
          </cell>
        </row>
        <row r="5639">
          <cell r="C5639" t="str">
            <v>彭志豪</v>
          </cell>
          <cell r="J5639">
            <v>45526</v>
          </cell>
          <cell r="K5639">
            <v>2.5</v>
          </cell>
        </row>
        <row r="5640">
          <cell r="C5640" t="str">
            <v>彭志豪</v>
          </cell>
          <cell r="F5640" t="str">
            <v>M240703R1</v>
          </cell>
          <cell r="J5640">
            <v>45526</v>
          </cell>
          <cell r="K5640">
            <v>4</v>
          </cell>
        </row>
        <row r="5641">
          <cell r="C5641" t="str">
            <v>彭志豪</v>
          </cell>
          <cell r="F5641" t="str">
            <v>M240703R1</v>
          </cell>
          <cell r="J5641">
            <v>45527</v>
          </cell>
          <cell r="K5641">
            <v>8</v>
          </cell>
        </row>
        <row r="5642">
          <cell r="C5642" t="str">
            <v>彭志豪</v>
          </cell>
          <cell r="F5642" t="str">
            <v>M240703R1</v>
          </cell>
          <cell r="J5642">
            <v>45530</v>
          </cell>
          <cell r="K5642">
            <v>3</v>
          </cell>
        </row>
        <row r="5643">
          <cell r="C5643" t="str">
            <v>彭志豪</v>
          </cell>
          <cell r="J5643">
            <v>45530</v>
          </cell>
          <cell r="K5643">
            <v>5</v>
          </cell>
        </row>
        <row r="5644">
          <cell r="C5644" t="str">
            <v>彭志豪</v>
          </cell>
          <cell r="F5644" t="str">
            <v>M240703R1</v>
          </cell>
          <cell r="J5644">
            <v>45531</v>
          </cell>
          <cell r="K5644">
            <v>4</v>
          </cell>
        </row>
        <row r="5645">
          <cell r="C5645" t="str">
            <v>彭志豪</v>
          </cell>
          <cell r="J5645">
            <v>45531</v>
          </cell>
          <cell r="K5645">
            <v>4</v>
          </cell>
        </row>
        <row r="5646">
          <cell r="C5646" t="str">
            <v>彭志豪</v>
          </cell>
          <cell r="F5646" t="str">
            <v>M240703R1</v>
          </cell>
          <cell r="J5646">
            <v>45532</v>
          </cell>
          <cell r="K5646">
            <v>4</v>
          </cell>
        </row>
        <row r="5647">
          <cell r="C5647" t="str">
            <v>彭志豪</v>
          </cell>
          <cell r="J5647">
            <v>45532</v>
          </cell>
          <cell r="K5647">
            <v>4</v>
          </cell>
        </row>
        <row r="5648">
          <cell r="C5648" t="str">
            <v>彭志豪</v>
          </cell>
          <cell r="J5648">
            <v>45533</v>
          </cell>
          <cell r="K5648">
            <v>2</v>
          </cell>
        </row>
        <row r="5649">
          <cell r="C5649" t="str">
            <v>彭志豪</v>
          </cell>
          <cell r="F5649" t="str">
            <v>M240703R1</v>
          </cell>
          <cell r="J5649">
            <v>45533</v>
          </cell>
          <cell r="K5649">
            <v>6</v>
          </cell>
        </row>
        <row r="5650">
          <cell r="C5650" t="str">
            <v>彭志豪</v>
          </cell>
          <cell r="F5650" t="str">
            <v>M240703R1</v>
          </cell>
          <cell r="J5650">
            <v>45534</v>
          </cell>
          <cell r="K5650">
            <v>7</v>
          </cell>
        </row>
        <row r="5651">
          <cell r="C5651" t="str">
            <v>彭志豪</v>
          </cell>
          <cell r="J5651">
            <v>45534</v>
          </cell>
          <cell r="K5651">
            <v>1</v>
          </cell>
        </row>
        <row r="5652">
          <cell r="C5652" t="str">
            <v>彭志豪</v>
          </cell>
          <cell r="J5652">
            <v>45537</v>
          </cell>
          <cell r="K5652">
            <v>1.5</v>
          </cell>
        </row>
        <row r="5653">
          <cell r="C5653" t="str">
            <v>彭志豪</v>
          </cell>
          <cell r="F5653" t="str">
            <v>M240703R1</v>
          </cell>
          <cell r="J5653">
            <v>45537</v>
          </cell>
          <cell r="K5653">
            <v>6.5</v>
          </cell>
        </row>
        <row r="5654">
          <cell r="C5654" t="str">
            <v>彭志豪</v>
          </cell>
          <cell r="J5654">
            <v>45538</v>
          </cell>
          <cell r="K5654">
            <v>2</v>
          </cell>
        </row>
        <row r="5655">
          <cell r="C5655" t="str">
            <v>彭志豪</v>
          </cell>
          <cell r="F5655" t="str">
            <v>M240703R1</v>
          </cell>
          <cell r="J5655">
            <v>45538</v>
          </cell>
          <cell r="K5655">
            <v>6</v>
          </cell>
        </row>
        <row r="5656">
          <cell r="C5656" t="str">
            <v>彭志豪</v>
          </cell>
          <cell r="F5656" t="str">
            <v>M240703R1</v>
          </cell>
          <cell r="J5656">
            <v>45539</v>
          </cell>
          <cell r="K5656">
            <v>8</v>
          </cell>
        </row>
        <row r="5657">
          <cell r="C5657" t="str">
            <v>彭志豪</v>
          </cell>
          <cell r="F5657" t="str">
            <v>M240703R1</v>
          </cell>
          <cell r="J5657">
            <v>45540</v>
          </cell>
          <cell r="K5657">
            <v>6.5</v>
          </cell>
        </row>
        <row r="5658">
          <cell r="C5658" t="str">
            <v>彭志豪</v>
          </cell>
          <cell r="J5658">
            <v>45540</v>
          </cell>
          <cell r="K5658">
            <v>1.5</v>
          </cell>
        </row>
        <row r="5659">
          <cell r="C5659" t="str">
            <v>彭志豪</v>
          </cell>
          <cell r="F5659" t="str">
            <v>M240703R1</v>
          </cell>
          <cell r="J5659">
            <v>45541</v>
          </cell>
          <cell r="K5659">
            <v>8</v>
          </cell>
        </row>
        <row r="5660">
          <cell r="C5660" t="str">
            <v>彭志豪</v>
          </cell>
          <cell r="F5660" t="str">
            <v>M240703R1</v>
          </cell>
          <cell r="J5660">
            <v>45544</v>
          </cell>
          <cell r="K5660">
            <v>8</v>
          </cell>
        </row>
        <row r="5661">
          <cell r="C5661" t="str">
            <v>彭志豪</v>
          </cell>
          <cell r="F5661" t="str">
            <v>M240703R1</v>
          </cell>
          <cell r="J5661">
            <v>45545</v>
          </cell>
          <cell r="K5661">
            <v>8</v>
          </cell>
        </row>
        <row r="5662">
          <cell r="C5662" t="str">
            <v>彭志豪</v>
          </cell>
          <cell r="J5662">
            <v>45546</v>
          </cell>
          <cell r="K5662">
            <v>4</v>
          </cell>
        </row>
        <row r="5663">
          <cell r="C5663" t="str">
            <v>彭志豪</v>
          </cell>
          <cell r="F5663" t="str">
            <v>M240703R1</v>
          </cell>
          <cell r="J5663">
            <v>45546</v>
          </cell>
          <cell r="K5663">
            <v>4</v>
          </cell>
        </row>
        <row r="5664">
          <cell r="C5664" t="str">
            <v>彭志豪</v>
          </cell>
          <cell r="J5664">
            <v>45547</v>
          </cell>
          <cell r="K5664">
            <v>1</v>
          </cell>
        </row>
        <row r="5665">
          <cell r="C5665" t="str">
            <v>彭志豪</v>
          </cell>
          <cell r="F5665" t="str">
            <v>M240703R1</v>
          </cell>
          <cell r="J5665">
            <v>45547</v>
          </cell>
          <cell r="K5665">
            <v>7</v>
          </cell>
        </row>
        <row r="5666">
          <cell r="C5666" t="str">
            <v>彭志豪</v>
          </cell>
          <cell r="F5666" t="str">
            <v>M240703R1</v>
          </cell>
          <cell r="J5666">
            <v>45548</v>
          </cell>
          <cell r="K5666">
            <v>8</v>
          </cell>
        </row>
        <row r="5667">
          <cell r="C5667" t="str">
            <v>彭志豪</v>
          </cell>
          <cell r="J5667">
            <v>45551</v>
          </cell>
          <cell r="K5667">
            <v>8</v>
          </cell>
        </row>
        <row r="5668">
          <cell r="C5668" t="str">
            <v>彭志豪</v>
          </cell>
          <cell r="F5668" t="str">
            <v>M240703R1</v>
          </cell>
          <cell r="J5668">
            <v>45553</v>
          </cell>
          <cell r="K5668">
            <v>8</v>
          </cell>
        </row>
        <row r="5669">
          <cell r="C5669" t="str">
            <v>彭志豪</v>
          </cell>
          <cell r="J5669">
            <v>45554</v>
          </cell>
          <cell r="K5669">
            <v>2</v>
          </cell>
        </row>
        <row r="5670">
          <cell r="C5670" t="str">
            <v>彭志豪</v>
          </cell>
          <cell r="F5670" t="str">
            <v>M240703R1</v>
          </cell>
          <cell r="J5670">
            <v>45554</v>
          </cell>
          <cell r="K5670">
            <v>6</v>
          </cell>
        </row>
        <row r="5671">
          <cell r="C5671" t="str">
            <v>彭志豪</v>
          </cell>
          <cell r="F5671" t="str">
            <v>M240703R1</v>
          </cell>
          <cell r="J5671">
            <v>45555</v>
          </cell>
          <cell r="K5671">
            <v>4</v>
          </cell>
        </row>
        <row r="5672">
          <cell r="C5672" t="str">
            <v>彭志豪</v>
          </cell>
          <cell r="J5672">
            <v>45555</v>
          </cell>
          <cell r="K5672">
            <v>2</v>
          </cell>
        </row>
        <row r="5673">
          <cell r="C5673" t="str">
            <v>彭志豪</v>
          </cell>
          <cell r="J5673">
            <v>45555</v>
          </cell>
          <cell r="K5673">
            <v>2</v>
          </cell>
        </row>
        <row r="5674">
          <cell r="C5674" t="str">
            <v>彭志豪</v>
          </cell>
          <cell r="F5674" t="str">
            <v>M240703R1</v>
          </cell>
          <cell r="J5674">
            <v>45558</v>
          </cell>
          <cell r="K5674">
            <v>7</v>
          </cell>
        </row>
        <row r="5675">
          <cell r="C5675" t="str">
            <v>彭志豪</v>
          </cell>
          <cell r="J5675">
            <v>45558</v>
          </cell>
          <cell r="K5675">
            <v>1</v>
          </cell>
        </row>
        <row r="5676">
          <cell r="C5676" t="str">
            <v>彭志豪</v>
          </cell>
          <cell r="J5676">
            <v>45559</v>
          </cell>
          <cell r="K5676">
            <v>2</v>
          </cell>
        </row>
        <row r="5677">
          <cell r="C5677" t="str">
            <v>彭志豪</v>
          </cell>
          <cell r="F5677" t="str">
            <v>M240703R1</v>
          </cell>
          <cell r="J5677">
            <v>45559</v>
          </cell>
          <cell r="K5677">
            <v>6</v>
          </cell>
        </row>
        <row r="5678">
          <cell r="C5678" t="str">
            <v>彭志豪</v>
          </cell>
          <cell r="F5678" t="str">
            <v>M240703R1</v>
          </cell>
          <cell r="J5678">
            <v>45560</v>
          </cell>
          <cell r="K5678">
            <v>5</v>
          </cell>
        </row>
        <row r="5679">
          <cell r="C5679" t="str">
            <v>彭志豪</v>
          </cell>
          <cell r="J5679">
            <v>45560</v>
          </cell>
          <cell r="K5679">
            <v>3</v>
          </cell>
        </row>
        <row r="5680">
          <cell r="C5680" t="str">
            <v>彭志豪</v>
          </cell>
          <cell r="F5680" t="str">
            <v>M240703R1</v>
          </cell>
          <cell r="J5680">
            <v>45561</v>
          </cell>
          <cell r="K5680">
            <v>8</v>
          </cell>
        </row>
        <row r="5681">
          <cell r="C5681" t="str">
            <v>彭志豪</v>
          </cell>
          <cell r="F5681" t="str">
            <v>M240703R1</v>
          </cell>
          <cell r="J5681">
            <v>45562</v>
          </cell>
          <cell r="K5681">
            <v>8</v>
          </cell>
        </row>
        <row r="5682">
          <cell r="C5682" t="str">
            <v>彭志豪</v>
          </cell>
          <cell r="F5682" t="str">
            <v>M240703R1</v>
          </cell>
          <cell r="J5682">
            <v>45565</v>
          </cell>
          <cell r="K5682">
            <v>8</v>
          </cell>
        </row>
        <row r="5683">
          <cell r="C5683" t="str">
            <v>彭志豪</v>
          </cell>
          <cell r="F5683" t="str">
            <v>M240703R1</v>
          </cell>
          <cell r="J5683">
            <v>45566</v>
          </cell>
          <cell r="K5683">
            <v>8</v>
          </cell>
        </row>
        <row r="5684">
          <cell r="C5684" t="str">
            <v>彭志豪</v>
          </cell>
          <cell r="J5684">
            <v>45567</v>
          </cell>
          <cell r="K5684">
            <v>8</v>
          </cell>
        </row>
        <row r="5685">
          <cell r="C5685" t="str">
            <v>彭志豪</v>
          </cell>
          <cell r="J5685">
            <v>45568</v>
          </cell>
          <cell r="K5685">
            <v>8</v>
          </cell>
        </row>
        <row r="5686">
          <cell r="C5686" t="str">
            <v>彭志豪</v>
          </cell>
          <cell r="F5686" t="str">
            <v>M240703R1</v>
          </cell>
          <cell r="J5686">
            <v>45569</v>
          </cell>
          <cell r="K5686">
            <v>8</v>
          </cell>
        </row>
        <row r="5687">
          <cell r="C5687" t="str">
            <v>彭志豪</v>
          </cell>
          <cell r="F5687" t="str">
            <v>M240703R1</v>
          </cell>
          <cell r="J5687">
            <v>45572</v>
          </cell>
          <cell r="K5687">
            <v>8</v>
          </cell>
        </row>
        <row r="5688">
          <cell r="C5688" t="str">
            <v>彭志豪</v>
          </cell>
          <cell r="F5688" t="str">
            <v>M240703R1</v>
          </cell>
          <cell r="J5688">
            <v>45573</v>
          </cell>
          <cell r="K5688">
            <v>8</v>
          </cell>
        </row>
        <row r="5689">
          <cell r="C5689" t="str">
            <v>彭志豪</v>
          </cell>
          <cell r="F5689" t="str">
            <v>M240703R1</v>
          </cell>
          <cell r="J5689">
            <v>45574</v>
          </cell>
          <cell r="K5689">
            <v>8</v>
          </cell>
        </row>
        <row r="5690">
          <cell r="C5690" t="str">
            <v>彭志豪</v>
          </cell>
          <cell r="J5690">
            <v>45575</v>
          </cell>
          <cell r="K5690">
            <v>8</v>
          </cell>
        </row>
        <row r="5691">
          <cell r="C5691" t="str">
            <v>彭志豪</v>
          </cell>
          <cell r="F5691" t="str">
            <v>M240703R1</v>
          </cell>
          <cell r="J5691">
            <v>45576</v>
          </cell>
          <cell r="K5691">
            <v>8</v>
          </cell>
        </row>
        <row r="5692">
          <cell r="C5692" t="str">
            <v>彭志豪</v>
          </cell>
          <cell r="J5692">
            <v>45579</v>
          </cell>
          <cell r="K5692">
            <v>4</v>
          </cell>
        </row>
        <row r="5693">
          <cell r="C5693" t="str">
            <v>彭志豪</v>
          </cell>
          <cell r="F5693" t="str">
            <v>M240703R1</v>
          </cell>
          <cell r="J5693">
            <v>45579</v>
          </cell>
          <cell r="K5693">
            <v>4</v>
          </cell>
        </row>
        <row r="5694">
          <cell r="C5694" t="str">
            <v>彭志豪</v>
          </cell>
          <cell r="F5694" t="str">
            <v>M240703R1</v>
          </cell>
          <cell r="J5694">
            <v>45580</v>
          </cell>
          <cell r="K5694">
            <v>8</v>
          </cell>
        </row>
        <row r="5695">
          <cell r="C5695" t="str">
            <v>彭志豪</v>
          </cell>
          <cell r="J5695">
            <v>45581</v>
          </cell>
          <cell r="K5695">
            <v>5</v>
          </cell>
        </row>
        <row r="5696">
          <cell r="C5696" t="str">
            <v>彭志豪</v>
          </cell>
          <cell r="F5696" t="str">
            <v>M240703R1</v>
          </cell>
          <cell r="J5696">
            <v>45581</v>
          </cell>
          <cell r="K5696">
            <v>3</v>
          </cell>
        </row>
        <row r="5697">
          <cell r="C5697" t="str">
            <v>彭志豪</v>
          </cell>
          <cell r="F5697" t="str">
            <v>M240703R1</v>
          </cell>
          <cell r="J5697">
            <v>45582</v>
          </cell>
          <cell r="K5697">
            <v>8</v>
          </cell>
        </row>
        <row r="5698">
          <cell r="C5698" t="str">
            <v>彭志豪</v>
          </cell>
          <cell r="F5698" t="str">
            <v>M240703R1</v>
          </cell>
          <cell r="J5698">
            <v>45583</v>
          </cell>
          <cell r="K5698">
            <v>8</v>
          </cell>
        </row>
        <row r="5699">
          <cell r="C5699" t="str">
            <v>彭志豪</v>
          </cell>
          <cell r="F5699" t="str">
            <v>M240703R1</v>
          </cell>
          <cell r="J5699">
            <v>45586</v>
          </cell>
          <cell r="K5699">
            <v>8</v>
          </cell>
        </row>
        <row r="5700">
          <cell r="C5700" t="str">
            <v>彭志豪</v>
          </cell>
          <cell r="J5700">
            <v>45587</v>
          </cell>
          <cell r="K5700">
            <v>1.5</v>
          </cell>
        </row>
        <row r="5701">
          <cell r="C5701" t="str">
            <v>彭志豪</v>
          </cell>
          <cell r="F5701" t="str">
            <v>M240703R1</v>
          </cell>
          <cell r="J5701">
            <v>45587</v>
          </cell>
          <cell r="K5701">
            <v>6.5</v>
          </cell>
        </row>
        <row r="5702">
          <cell r="C5702" t="str">
            <v>彭志豪</v>
          </cell>
          <cell r="F5702" t="str">
            <v>M240703R1</v>
          </cell>
          <cell r="J5702">
            <v>45588</v>
          </cell>
          <cell r="K5702">
            <v>8</v>
          </cell>
        </row>
        <row r="5703">
          <cell r="C5703" t="str">
            <v>彭志豪</v>
          </cell>
          <cell r="F5703" t="str">
            <v>M240703R1</v>
          </cell>
          <cell r="J5703">
            <v>45589</v>
          </cell>
          <cell r="K5703">
            <v>5</v>
          </cell>
        </row>
        <row r="5704">
          <cell r="C5704" t="str">
            <v>彭志豪</v>
          </cell>
          <cell r="F5704" t="str">
            <v>M240701C1</v>
          </cell>
          <cell r="J5704">
            <v>45589</v>
          </cell>
          <cell r="K5704">
            <v>3</v>
          </cell>
        </row>
        <row r="5705">
          <cell r="C5705" t="str">
            <v>彭志豪</v>
          </cell>
          <cell r="F5705" t="str">
            <v>M240703R1</v>
          </cell>
          <cell r="J5705">
            <v>45590</v>
          </cell>
          <cell r="K5705">
            <v>8</v>
          </cell>
        </row>
        <row r="5706">
          <cell r="C5706" t="str">
            <v>彭志豪</v>
          </cell>
          <cell r="F5706" t="str">
            <v>M240703R1</v>
          </cell>
          <cell r="J5706">
            <v>45593</v>
          </cell>
          <cell r="K5706">
            <v>8</v>
          </cell>
        </row>
        <row r="5707">
          <cell r="C5707" t="str">
            <v>彭志豪</v>
          </cell>
          <cell r="F5707" t="str">
            <v>M240703R1</v>
          </cell>
          <cell r="J5707">
            <v>45594</v>
          </cell>
          <cell r="K5707">
            <v>8</v>
          </cell>
        </row>
        <row r="5708">
          <cell r="C5708" t="str">
            <v>彭志豪</v>
          </cell>
          <cell r="F5708" t="str">
            <v>M240703R1</v>
          </cell>
          <cell r="J5708">
            <v>45595</v>
          </cell>
          <cell r="K5708">
            <v>8</v>
          </cell>
        </row>
        <row r="5709">
          <cell r="C5709" t="str">
            <v>彭志豪</v>
          </cell>
          <cell r="F5709" t="str">
            <v>M240703R1</v>
          </cell>
          <cell r="J5709">
            <v>45596</v>
          </cell>
          <cell r="K5709">
            <v>8</v>
          </cell>
        </row>
        <row r="5710">
          <cell r="C5710" t="str">
            <v>彭志豪</v>
          </cell>
          <cell r="F5710" t="str">
            <v>M240703R1</v>
          </cell>
          <cell r="J5710">
            <v>45597</v>
          </cell>
          <cell r="K5710">
            <v>8</v>
          </cell>
        </row>
        <row r="5711">
          <cell r="C5711" t="str">
            <v>彭志豪</v>
          </cell>
          <cell r="F5711" t="str">
            <v>M240703R1</v>
          </cell>
          <cell r="J5711">
            <v>45600</v>
          </cell>
          <cell r="K5711">
            <v>7</v>
          </cell>
        </row>
        <row r="5712">
          <cell r="C5712" t="str">
            <v>彭志豪</v>
          </cell>
          <cell r="F5712" t="str">
            <v>M240101R1</v>
          </cell>
          <cell r="J5712">
            <v>45600</v>
          </cell>
          <cell r="K5712">
            <v>1</v>
          </cell>
        </row>
        <row r="5713">
          <cell r="C5713" t="str">
            <v>彭志豪</v>
          </cell>
          <cell r="F5713" t="str">
            <v>M240703R1</v>
          </cell>
          <cell r="J5713">
            <v>45601</v>
          </cell>
          <cell r="K5713">
            <v>8</v>
          </cell>
        </row>
        <row r="5714">
          <cell r="C5714" t="str">
            <v>彭志豪</v>
          </cell>
          <cell r="F5714" t="str">
            <v>M240703R1</v>
          </cell>
          <cell r="J5714">
            <v>45602</v>
          </cell>
          <cell r="K5714">
            <v>8</v>
          </cell>
        </row>
        <row r="5715">
          <cell r="C5715" t="str">
            <v>彭志豪</v>
          </cell>
          <cell r="F5715" t="str">
            <v>M240703R1</v>
          </cell>
          <cell r="J5715">
            <v>45603</v>
          </cell>
          <cell r="K5715">
            <v>8</v>
          </cell>
        </row>
        <row r="5716">
          <cell r="C5716" t="str">
            <v>彭志豪</v>
          </cell>
          <cell r="F5716" t="str">
            <v>M240703R1</v>
          </cell>
          <cell r="J5716">
            <v>45604</v>
          </cell>
          <cell r="K5716">
            <v>8</v>
          </cell>
        </row>
        <row r="5717">
          <cell r="C5717" t="str">
            <v>彭志豪</v>
          </cell>
          <cell r="F5717" t="str">
            <v>M240703R1</v>
          </cell>
          <cell r="J5717">
            <v>45607</v>
          </cell>
          <cell r="K5717">
            <v>8</v>
          </cell>
        </row>
        <row r="5718">
          <cell r="C5718" t="str">
            <v>彭志豪</v>
          </cell>
          <cell r="J5718">
            <v>45608</v>
          </cell>
          <cell r="K5718">
            <v>2</v>
          </cell>
        </row>
        <row r="5719">
          <cell r="C5719" t="str">
            <v>彭志豪</v>
          </cell>
          <cell r="F5719" t="str">
            <v>M240703R1</v>
          </cell>
          <cell r="J5719">
            <v>45608</v>
          </cell>
          <cell r="K5719">
            <v>6</v>
          </cell>
        </row>
        <row r="5720">
          <cell r="C5720" t="str">
            <v>彭志豪</v>
          </cell>
          <cell r="F5720" t="str">
            <v>M240703R1</v>
          </cell>
          <cell r="J5720">
            <v>45609</v>
          </cell>
          <cell r="K5720">
            <v>8</v>
          </cell>
        </row>
        <row r="5721">
          <cell r="C5721" t="str">
            <v>彭志豪</v>
          </cell>
          <cell r="F5721" t="str">
            <v>M240703R1</v>
          </cell>
          <cell r="J5721">
            <v>45610</v>
          </cell>
          <cell r="K5721">
            <v>8</v>
          </cell>
        </row>
        <row r="5722">
          <cell r="C5722" t="str">
            <v>彭志豪</v>
          </cell>
          <cell r="F5722" t="str">
            <v>M240703R1</v>
          </cell>
          <cell r="J5722">
            <v>45611</v>
          </cell>
          <cell r="K5722">
            <v>8</v>
          </cell>
        </row>
        <row r="5723">
          <cell r="C5723" t="str">
            <v>彭志豪</v>
          </cell>
          <cell r="F5723" t="str">
            <v>M240703R1</v>
          </cell>
          <cell r="J5723">
            <v>45614</v>
          </cell>
          <cell r="K5723">
            <v>8</v>
          </cell>
        </row>
        <row r="5724">
          <cell r="C5724" t="str">
            <v>彭志豪</v>
          </cell>
          <cell r="F5724" t="str">
            <v>M240703R1</v>
          </cell>
          <cell r="J5724">
            <v>45615</v>
          </cell>
          <cell r="K5724">
            <v>8</v>
          </cell>
        </row>
        <row r="5725">
          <cell r="C5725" t="str">
            <v>彭志豪</v>
          </cell>
          <cell r="F5725" t="str">
            <v>M240703R1</v>
          </cell>
          <cell r="J5725">
            <v>45616</v>
          </cell>
          <cell r="K5725">
            <v>8</v>
          </cell>
        </row>
        <row r="5726">
          <cell r="C5726" t="str">
            <v>彭志豪</v>
          </cell>
          <cell r="F5726" t="str">
            <v>M240703R1</v>
          </cell>
          <cell r="J5726">
            <v>45617</v>
          </cell>
          <cell r="K5726">
            <v>8</v>
          </cell>
        </row>
        <row r="5727">
          <cell r="C5727" t="str">
            <v>彭志豪</v>
          </cell>
          <cell r="F5727" t="str">
            <v>M240703R1</v>
          </cell>
          <cell r="J5727">
            <v>45618</v>
          </cell>
          <cell r="K5727">
            <v>8</v>
          </cell>
        </row>
        <row r="5728">
          <cell r="C5728" t="str">
            <v>彭志豪</v>
          </cell>
          <cell r="F5728" t="str">
            <v>M240703R1</v>
          </cell>
          <cell r="J5728">
            <v>45621</v>
          </cell>
          <cell r="K5728">
            <v>8</v>
          </cell>
        </row>
        <row r="5729">
          <cell r="C5729" t="str">
            <v>彭志豪</v>
          </cell>
          <cell r="F5729" t="str">
            <v>M240703R1</v>
          </cell>
          <cell r="J5729">
            <v>45622</v>
          </cell>
          <cell r="K5729">
            <v>8</v>
          </cell>
        </row>
        <row r="5730">
          <cell r="C5730" t="str">
            <v>彭志豪</v>
          </cell>
          <cell r="F5730" t="str">
            <v>M240703R1</v>
          </cell>
          <cell r="J5730">
            <v>45623</v>
          </cell>
          <cell r="K5730">
            <v>8</v>
          </cell>
        </row>
        <row r="5731">
          <cell r="C5731" t="str">
            <v>彭志豪</v>
          </cell>
          <cell r="F5731" t="str">
            <v>M240703R1</v>
          </cell>
          <cell r="J5731">
            <v>45624</v>
          </cell>
          <cell r="K5731">
            <v>8</v>
          </cell>
        </row>
        <row r="5732">
          <cell r="C5732" t="str">
            <v>彭志豪</v>
          </cell>
          <cell r="J5732">
            <v>45625</v>
          </cell>
          <cell r="K5732">
            <v>4</v>
          </cell>
        </row>
        <row r="5733">
          <cell r="C5733" t="str">
            <v>彭志豪</v>
          </cell>
          <cell r="F5733" t="str">
            <v>M240703R1</v>
          </cell>
          <cell r="J5733">
            <v>45625</v>
          </cell>
          <cell r="K5733">
            <v>4</v>
          </cell>
        </row>
        <row r="5734">
          <cell r="C5734" t="str">
            <v>彭志豪</v>
          </cell>
          <cell r="F5734" t="str">
            <v>M240703R1</v>
          </cell>
          <cell r="J5734">
            <v>45628</v>
          </cell>
          <cell r="K5734">
            <v>8</v>
          </cell>
        </row>
        <row r="5735">
          <cell r="C5735" t="str">
            <v>彭志豪</v>
          </cell>
          <cell r="J5735">
            <v>45629</v>
          </cell>
          <cell r="K5735">
            <v>4</v>
          </cell>
        </row>
        <row r="5736">
          <cell r="C5736" t="str">
            <v>彭志豪</v>
          </cell>
          <cell r="F5736" t="str">
            <v>M240703R1</v>
          </cell>
          <cell r="J5736">
            <v>45629</v>
          </cell>
          <cell r="K5736">
            <v>4</v>
          </cell>
        </row>
        <row r="5737">
          <cell r="C5737" t="str">
            <v>彭志豪</v>
          </cell>
          <cell r="F5737" t="str">
            <v>M240703R1</v>
          </cell>
          <cell r="J5737">
            <v>45630</v>
          </cell>
          <cell r="K5737">
            <v>6</v>
          </cell>
        </row>
        <row r="5738">
          <cell r="C5738" t="str">
            <v>彭志豪</v>
          </cell>
          <cell r="F5738" t="str">
            <v>M240703R1</v>
          </cell>
          <cell r="J5738">
            <v>45630</v>
          </cell>
          <cell r="K5738">
            <v>2</v>
          </cell>
        </row>
        <row r="5739">
          <cell r="C5739" t="str">
            <v>彭志豪</v>
          </cell>
          <cell r="F5739" t="str">
            <v>M240703R1</v>
          </cell>
          <cell r="J5739">
            <v>45631</v>
          </cell>
          <cell r="K5739">
            <v>4</v>
          </cell>
        </row>
        <row r="5740">
          <cell r="C5740" t="str">
            <v>彭志豪</v>
          </cell>
          <cell r="F5740" t="str">
            <v>M240701C1</v>
          </cell>
          <cell r="J5740">
            <v>45631</v>
          </cell>
          <cell r="K5740">
            <v>2</v>
          </cell>
        </row>
        <row r="5741">
          <cell r="C5741" t="str">
            <v>彭志豪</v>
          </cell>
          <cell r="F5741" t="str">
            <v>M240703R1</v>
          </cell>
          <cell r="J5741">
            <v>45631</v>
          </cell>
          <cell r="K5741">
            <v>2</v>
          </cell>
        </row>
        <row r="5742">
          <cell r="C5742" t="str">
            <v>彭志豪</v>
          </cell>
          <cell r="F5742" t="str">
            <v>M240703R1</v>
          </cell>
          <cell r="J5742">
            <v>45632</v>
          </cell>
          <cell r="K5742">
            <v>8</v>
          </cell>
        </row>
        <row r="5743">
          <cell r="C5743" t="str">
            <v>彭志豪</v>
          </cell>
          <cell r="F5743" t="str">
            <v>M240703R1</v>
          </cell>
          <cell r="J5743">
            <v>45635</v>
          </cell>
          <cell r="K5743">
            <v>5</v>
          </cell>
        </row>
        <row r="5744">
          <cell r="C5744" t="str">
            <v>彭志豪</v>
          </cell>
          <cell r="F5744" t="str">
            <v>M240701C1</v>
          </cell>
          <cell r="J5744">
            <v>45635</v>
          </cell>
          <cell r="K5744">
            <v>3</v>
          </cell>
        </row>
        <row r="5745">
          <cell r="C5745" t="str">
            <v>彭志豪</v>
          </cell>
          <cell r="F5745" t="str">
            <v>M240701C1</v>
          </cell>
          <cell r="J5745">
            <v>45636</v>
          </cell>
          <cell r="K5745">
            <v>4</v>
          </cell>
        </row>
        <row r="5746">
          <cell r="C5746" t="str">
            <v>彭志豪</v>
          </cell>
          <cell r="F5746" t="str">
            <v>M240703R1</v>
          </cell>
          <cell r="J5746">
            <v>45636</v>
          </cell>
          <cell r="K5746">
            <v>4</v>
          </cell>
        </row>
        <row r="5747">
          <cell r="C5747" t="str">
            <v>彭志豪</v>
          </cell>
          <cell r="F5747" t="str">
            <v>M240703R1</v>
          </cell>
          <cell r="J5747">
            <v>45637</v>
          </cell>
          <cell r="K5747">
            <v>6</v>
          </cell>
        </row>
        <row r="5748">
          <cell r="C5748" t="str">
            <v>彭志豪</v>
          </cell>
          <cell r="F5748" t="str">
            <v>M240703R1</v>
          </cell>
          <cell r="J5748">
            <v>45637</v>
          </cell>
          <cell r="K5748">
            <v>2</v>
          </cell>
        </row>
        <row r="5749">
          <cell r="C5749" t="str">
            <v>彭志豪</v>
          </cell>
          <cell r="F5749" t="str">
            <v>M240703R1</v>
          </cell>
          <cell r="J5749">
            <v>45638</v>
          </cell>
          <cell r="K5749">
            <v>6</v>
          </cell>
        </row>
        <row r="5750">
          <cell r="C5750" t="str">
            <v>彭志豪</v>
          </cell>
          <cell r="F5750" t="str">
            <v>M240703R1</v>
          </cell>
          <cell r="J5750">
            <v>45638</v>
          </cell>
          <cell r="K5750">
            <v>2</v>
          </cell>
        </row>
        <row r="5751">
          <cell r="C5751" t="str">
            <v>彭志豪</v>
          </cell>
          <cell r="F5751" t="str">
            <v>M240703R1</v>
          </cell>
          <cell r="J5751">
            <v>45639</v>
          </cell>
          <cell r="K5751">
            <v>8</v>
          </cell>
        </row>
        <row r="5752">
          <cell r="C5752" t="str">
            <v>彭志豪</v>
          </cell>
          <cell r="F5752" t="str">
            <v>M240703R1</v>
          </cell>
          <cell r="J5752">
            <v>45642</v>
          </cell>
          <cell r="K5752">
            <v>8</v>
          </cell>
        </row>
        <row r="5753">
          <cell r="C5753" t="str">
            <v>彭志豪</v>
          </cell>
          <cell r="J5753">
            <v>45643</v>
          </cell>
          <cell r="K5753">
            <v>4</v>
          </cell>
        </row>
        <row r="5754">
          <cell r="C5754" t="str">
            <v>彭志豪</v>
          </cell>
          <cell r="F5754" t="str">
            <v>M240701C1</v>
          </cell>
          <cell r="J5754">
            <v>45643</v>
          </cell>
          <cell r="K5754">
            <v>4</v>
          </cell>
        </row>
        <row r="5755">
          <cell r="C5755" t="str">
            <v>彭志豪</v>
          </cell>
          <cell r="J5755">
            <v>45644</v>
          </cell>
          <cell r="K5755">
            <v>4</v>
          </cell>
        </row>
        <row r="5756">
          <cell r="C5756" t="str">
            <v>彭志豪</v>
          </cell>
          <cell r="F5756" t="str">
            <v>M240703R1</v>
          </cell>
          <cell r="J5756">
            <v>45644</v>
          </cell>
          <cell r="K5756">
            <v>4</v>
          </cell>
        </row>
        <row r="5757">
          <cell r="C5757" t="str">
            <v>彭志豪</v>
          </cell>
          <cell r="J5757">
            <v>45645</v>
          </cell>
          <cell r="K5757">
            <v>8</v>
          </cell>
        </row>
        <row r="5758">
          <cell r="C5758" t="str">
            <v>彭志豪</v>
          </cell>
          <cell r="J5758">
            <v>45646</v>
          </cell>
          <cell r="K5758">
            <v>7</v>
          </cell>
        </row>
        <row r="5759">
          <cell r="C5759" t="str">
            <v>彭志豪</v>
          </cell>
          <cell r="F5759" t="str">
            <v>M240703R1</v>
          </cell>
          <cell r="J5759">
            <v>45646</v>
          </cell>
          <cell r="K5759">
            <v>1</v>
          </cell>
        </row>
        <row r="5760">
          <cell r="C5760" t="str">
            <v>彭志豪</v>
          </cell>
          <cell r="J5760">
            <v>45649</v>
          </cell>
          <cell r="K5760">
            <v>7</v>
          </cell>
        </row>
        <row r="5761">
          <cell r="C5761" t="str">
            <v>彭志豪</v>
          </cell>
          <cell r="F5761" t="str">
            <v>M240703R1</v>
          </cell>
          <cell r="J5761">
            <v>45649</v>
          </cell>
          <cell r="K5761">
            <v>1</v>
          </cell>
        </row>
        <row r="5762">
          <cell r="C5762" t="str">
            <v>彭志豪</v>
          </cell>
          <cell r="J5762">
            <v>45650</v>
          </cell>
          <cell r="K5762">
            <v>8</v>
          </cell>
        </row>
        <row r="5763">
          <cell r="C5763" t="str">
            <v>彭志豪</v>
          </cell>
          <cell r="J5763">
            <v>45651</v>
          </cell>
          <cell r="K5763">
            <v>8</v>
          </cell>
        </row>
        <row r="5764">
          <cell r="C5764" t="str">
            <v>彭志豪</v>
          </cell>
          <cell r="J5764">
            <v>45652</v>
          </cell>
          <cell r="K5764">
            <v>8</v>
          </cell>
        </row>
        <row r="5765">
          <cell r="C5765" t="str">
            <v>彭志豪</v>
          </cell>
          <cell r="J5765">
            <v>45653</v>
          </cell>
          <cell r="K5765">
            <v>2</v>
          </cell>
        </row>
        <row r="5766">
          <cell r="C5766" t="str">
            <v>彭志豪</v>
          </cell>
          <cell r="F5766" t="str">
            <v>M240703R1</v>
          </cell>
          <cell r="J5766">
            <v>45653</v>
          </cell>
          <cell r="K5766">
            <v>6</v>
          </cell>
        </row>
        <row r="5767">
          <cell r="C5767" t="str">
            <v>彭志豪</v>
          </cell>
          <cell r="J5767">
            <v>45656</v>
          </cell>
          <cell r="K5767">
            <v>5</v>
          </cell>
        </row>
        <row r="5768">
          <cell r="C5768" t="str">
            <v>彭志豪</v>
          </cell>
          <cell r="F5768" t="str">
            <v>M240703R1</v>
          </cell>
          <cell r="J5768">
            <v>45656</v>
          </cell>
          <cell r="K5768">
            <v>3</v>
          </cell>
        </row>
        <row r="5769">
          <cell r="C5769" t="str">
            <v>彭志豪</v>
          </cell>
          <cell r="J5769">
            <v>45657</v>
          </cell>
          <cell r="K5769">
            <v>5</v>
          </cell>
        </row>
        <row r="5770">
          <cell r="C5770" t="str">
            <v>彭志豪</v>
          </cell>
          <cell r="F5770" t="str">
            <v>M240703R1</v>
          </cell>
          <cell r="J5770">
            <v>45657</v>
          </cell>
          <cell r="K5770">
            <v>3</v>
          </cell>
        </row>
        <row r="5771">
          <cell r="C5771" t="str">
            <v>彭志豪</v>
          </cell>
          <cell r="J5771">
            <v>45659</v>
          </cell>
          <cell r="K5771">
            <v>6</v>
          </cell>
        </row>
        <row r="5772">
          <cell r="C5772" t="str">
            <v>彭志豪</v>
          </cell>
          <cell r="F5772" t="str">
            <v>M240703R1</v>
          </cell>
          <cell r="J5772">
            <v>45659</v>
          </cell>
          <cell r="K5772">
            <v>2</v>
          </cell>
        </row>
        <row r="5773">
          <cell r="C5773" t="str">
            <v>彭志豪</v>
          </cell>
          <cell r="J5773">
            <v>45660</v>
          </cell>
          <cell r="K5773">
            <v>6</v>
          </cell>
        </row>
        <row r="5774">
          <cell r="C5774" t="str">
            <v>彭志豪</v>
          </cell>
          <cell r="F5774" t="str">
            <v>M240703R1</v>
          </cell>
          <cell r="J5774">
            <v>45660</v>
          </cell>
          <cell r="K5774">
            <v>2</v>
          </cell>
        </row>
        <row r="5775">
          <cell r="C5775" t="str">
            <v>彭志豪</v>
          </cell>
          <cell r="J5775">
            <v>45663</v>
          </cell>
          <cell r="K5775">
            <v>3</v>
          </cell>
        </row>
        <row r="5776">
          <cell r="C5776" t="str">
            <v>彭志豪</v>
          </cell>
          <cell r="F5776" t="str">
            <v>M240703R1</v>
          </cell>
          <cell r="J5776">
            <v>45663</v>
          </cell>
          <cell r="K5776">
            <v>5</v>
          </cell>
        </row>
        <row r="5777">
          <cell r="C5777" t="str">
            <v>彭志豪</v>
          </cell>
          <cell r="F5777" t="str">
            <v>M240703R1</v>
          </cell>
          <cell r="J5777">
            <v>45664</v>
          </cell>
          <cell r="K5777">
            <v>8</v>
          </cell>
        </row>
        <row r="5778">
          <cell r="C5778" t="str">
            <v>彭志豪</v>
          </cell>
          <cell r="J5778">
            <v>45665</v>
          </cell>
          <cell r="K5778">
            <v>3</v>
          </cell>
        </row>
        <row r="5779">
          <cell r="C5779" t="str">
            <v>彭志豪</v>
          </cell>
          <cell r="F5779" t="str">
            <v>M240703R1</v>
          </cell>
          <cell r="J5779">
            <v>45665</v>
          </cell>
          <cell r="K5779">
            <v>5</v>
          </cell>
        </row>
        <row r="5780">
          <cell r="C5780" t="str">
            <v>彭志豪</v>
          </cell>
          <cell r="J5780">
            <v>45666</v>
          </cell>
          <cell r="K5780">
            <v>6</v>
          </cell>
        </row>
        <row r="5781">
          <cell r="C5781" t="str">
            <v>彭志豪</v>
          </cell>
          <cell r="F5781" t="str">
            <v>M240703R1</v>
          </cell>
          <cell r="J5781">
            <v>45666</v>
          </cell>
          <cell r="K5781">
            <v>2</v>
          </cell>
        </row>
        <row r="5782">
          <cell r="C5782" t="str">
            <v>彭志豪</v>
          </cell>
          <cell r="J5782">
            <v>45667</v>
          </cell>
          <cell r="K5782">
            <v>6</v>
          </cell>
        </row>
        <row r="5783">
          <cell r="C5783" t="str">
            <v>彭志豪</v>
          </cell>
          <cell r="F5783" t="str">
            <v>M240703R1</v>
          </cell>
          <cell r="J5783">
            <v>45667</v>
          </cell>
          <cell r="K5783">
            <v>2</v>
          </cell>
        </row>
        <row r="5784">
          <cell r="C5784" t="str">
            <v>彭志豪</v>
          </cell>
          <cell r="J5784">
            <v>45670</v>
          </cell>
          <cell r="K5784">
            <v>6</v>
          </cell>
        </row>
        <row r="5785">
          <cell r="C5785" t="str">
            <v>彭志豪</v>
          </cell>
          <cell r="F5785" t="str">
            <v>M240703R1</v>
          </cell>
          <cell r="J5785">
            <v>45670</v>
          </cell>
          <cell r="K5785">
            <v>2</v>
          </cell>
        </row>
        <row r="5786">
          <cell r="C5786" t="str">
            <v>彭志豪</v>
          </cell>
          <cell r="J5786">
            <v>45671</v>
          </cell>
          <cell r="K5786">
            <v>8</v>
          </cell>
        </row>
        <row r="5787">
          <cell r="C5787" t="str">
            <v>彭志豪</v>
          </cell>
          <cell r="J5787">
            <v>45672</v>
          </cell>
          <cell r="K5787">
            <v>8</v>
          </cell>
        </row>
        <row r="5788">
          <cell r="C5788" t="str">
            <v>彭志豪</v>
          </cell>
          <cell r="J5788">
            <v>45673</v>
          </cell>
          <cell r="K5788">
            <v>6</v>
          </cell>
        </row>
        <row r="5789">
          <cell r="C5789" t="str">
            <v>彭志豪</v>
          </cell>
          <cell r="F5789" t="str">
            <v>M240703R1</v>
          </cell>
          <cell r="J5789">
            <v>45673</v>
          </cell>
          <cell r="K5789">
            <v>2</v>
          </cell>
        </row>
        <row r="5790">
          <cell r="C5790" t="str">
            <v>彭志豪</v>
          </cell>
          <cell r="F5790" t="str">
            <v>M240703R1</v>
          </cell>
          <cell r="J5790">
            <v>45674</v>
          </cell>
          <cell r="K5790">
            <v>8</v>
          </cell>
        </row>
        <row r="5791">
          <cell r="C5791" t="str">
            <v>彭志豪</v>
          </cell>
          <cell r="J5791">
            <v>45677</v>
          </cell>
          <cell r="K5791">
            <v>4</v>
          </cell>
        </row>
        <row r="5792">
          <cell r="C5792" t="str">
            <v>彭志豪</v>
          </cell>
          <cell r="F5792" t="str">
            <v>M240703R1</v>
          </cell>
          <cell r="J5792">
            <v>45677</v>
          </cell>
          <cell r="K5792">
            <v>4</v>
          </cell>
        </row>
        <row r="5793">
          <cell r="C5793" t="str">
            <v>彭志豪</v>
          </cell>
          <cell r="J5793">
            <v>45678</v>
          </cell>
          <cell r="K5793">
            <v>8</v>
          </cell>
        </row>
        <row r="5794">
          <cell r="C5794" t="str">
            <v>彭志豪</v>
          </cell>
          <cell r="J5794">
            <v>45679</v>
          </cell>
          <cell r="K5794">
            <v>1</v>
          </cell>
        </row>
        <row r="5795">
          <cell r="C5795" t="str">
            <v>彭志豪</v>
          </cell>
          <cell r="F5795" t="str">
            <v>M240703R1</v>
          </cell>
          <cell r="J5795">
            <v>45679</v>
          </cell>
          <cell r="K5795">
            <v>7</v>
          </cell>
        </row>
        <row r="5796">
          <cell r="C5796" t="str">
            <v>彭志豪</v>
          </cell>
          <cell r="F5796" t="str">
            <v>M240703R1</v>
          </cell>
          <cell r="J5796">
            <v>45680</v>
          </cell>
          <cell r="K5796">
            <v>8</v>
          </cell>
        </row>
        <row r="5797">
          <cell r="C5797" t="str">
            <v>彭志豪</v>
          </cell>
          <cell r="J5797">
            <v>45681</v>
          </cell>
          <cell r="K5797">
            <v>2</v>
          </cell>
        </row>
        <row r="5798">
          <cell r="C5798" t="str">
            <v>彭志豪</v>
          </cell>
          <cell r="F5798" t="str">
            <v>M240703R1</v>
          </cell>
          <cell r="J5798">
            <v>45681</v>
          </cell>
          <cell r="K5798">
            <v>6</v>
          </cell>
        </row>
        <row r="5799">
          <cell r="C5799" t="str">
            <v>彭志豪</v>
          </cell>
          <cell r="F5799" t="str">
            <v>M240701C1</v>
          </cell>
          <cell r="J5799">
            <v>45691</v>
          </cell>
          <cell r="K5799">
            <v>1</v>
          </cell>
        </row>
        <row r="5800">
          <cell r="C5800" t="str">
            <v>彭志豪</v>
          </cell>
          <cell r="F5800" t="str">
            <v>M240703R1</v>
          </cell>
          <cell r="J5800">
            <v>45691</v>
          </cell>
          <cell r="K5800">
            <v>7</v>
          </cell>
        </row>
        <row r="5801">
          <cell r="C5801" t="str">
            <v>彭志豪</v>
          </cell>
          <cell r="F5801" t="str">
            <v>M240701C1</v>
          </cell>
          <cell r="J5801">
            <v>45692</v>
          </cell>
          <cell r="K5801">
            <v>1</v>
          </cell>
        </row>
        <row r="5802">
          <cell r="C5802" t="str">
            <v>彭志豪</v>
          </cell>
          <cell r="F5802" t="str">
            <v>M240703R1</v>
          </cell>
          <cell r="J5802">
            <v>45692</v>
          </cell>
          <cell r="K5802">
            <v>7</v>
          </cell>
        </row>
        <row r="5803">
          <cell r="C5803" t="str">
            <v>彭志豪</v>
          </cell>
          <cell r="F5803" t="str">
            <v>M240701C1</v>
          </cell>
          <cell r="J5803">
            <v>45693</v>
          </cell>
          <cell r="K5803">
            <v>1</v>
          </cell>
        </row>
        <row r="5804">
          <cell r="C5804" t="str">
            <v>彭志豪</v>
          </cell>
          <cell r="F5804" t="str">
            <v>M240703R1</v>
          </cell>
          <cell r="J5804">
            <v>45693</v>
          </cell>
          <cell r="K5804">
            <v>7</v>
          </cell>
        </row>
        <row r="5805">
          <cell r="C5805" t="str">
            <v>彭志豪</v>
          </cell>
          <cell r="J5805">
            <v>45694</v>
          </cell>
          <cell r="K5805">
            <v>8</v>
          </cell>
        </row>
        <row r="5806">
          <cell r="C5806" t="str">
            <v>彭志豪</v>
          </cell>
          <cell r="J5806">
            <v>45695</v>
          </cell>
          <cell r="K5806">
            <v>6</v>
          </cell>
        </row>
        <row r="5807">
          <cell r="C5807" t="str">
            <v>彭志豪</v>
          </cell>
          <cell r="F5807" t="str">
            <v>M240703R1</v>
          </cell>
          <cell r="J5807">
            <v>45695</v>
          </cell>
          <cell r="K5807">
            <v>2</v>
          </cell>
        </row>
        <row r="5808">
          <cell r="C5808" t="str">
            <v>彭志豪</v>
          </cell>
          <cell r="J5808">
            <v>45696</v>
          </cell>
          <cell r="K5808">
            <v>2</v>
          </cell>
        </row>
        <row r="5809">
          <cell r="C5809" t="str">
            <v>彭志豪</v>
          </cell>
          <cell r="F5809" t="str">
            <v>M240703R1</v>
          </cell>
          <cell r="J5809">
            <v>45696</v>
          </cell>
          <cell r="K5809">
            <v>6</v>
          </cell>
        </row>
        <row r="5810">
          <cell r="C5810" t="str">
            <v>彭志豪</v>
          </cell>
          <cell r="J5810">
            <v>45698</v>
          </cell>
          <cell r="K5810">
            <v>2</v>
          </cell>
        </row>
        <row r="5811">
          <cell r="C5811" t="str">
            <v>彭志豪</v>
          </cell>
          <cell r="F5811" t="str">
            <v>M240703R1</v>
          </cell>
          <cell r="J5811">
            <v>45698</v>
          </cell>
          <cell r="K5811">
            <v>6</v>
          </cell>
        </row>
        <row r="5812">
          <cell r="C5812" t="str">
            <v>彭志豪</v>
          </cell>
          <cell r="J5812">
            <v>45699</v>
          </cell>
          <cell r="K5812">
            <v>3</v>
          </cell>
        </row>
        <row r="5813">
          <cell r="C5813" t="str">
            <v>彭志豪</v>
          </cell>
          <cell r="F5813" t="str">
            <v>M240703R1</v>
          </cell>
          <cell r="J5813">
            <v>45699</v>
          </cell>
          <cell r="K5813">
            <v>5</v>
          </cell>
        </row>
        <row r="5814">
          <cell r="C5814" t="str">
            <v>彭志豪</v>
          </cell>
          <cell r="J5814">
            <v>45700</v>
          </cell>
          <cell r="K5814">
            <v>2</v>
          </cell>
        </row>
        <row r="5815">
          <cell r="C5815" t="str">
            <v>彭志豪</v>
          </cell>
          <cell r="F5815" t="str">
            <v>M240703R1</v>
          </cell>
          <cell r="J5815">
            <v>45700</v>
          </cell>
          <cell r="K5815">
            <v>6</v>
          </cell>
        </row>
        <row r="5816">
          <cell r="C5816" t="str">
            <v>彭志豪</v>
          </cell>
          <cell r="J5816">
            <v>45701</v>
          </cell>
          <cell r="K5816">
            <v>5</v>
          </cell>
        </row>
        <row r="5817">
          <cell r="C5817" t="str">
            <v>彭志豪</v>
          </cell>
          <cell r="F5817" t="str">
            <v>M240703R1</v>
          </cell>
          <cell r="J5817">
            <v>45701</v>
          </cell>
          <cell r="K5817">
            <v>3</v>
          </cell>
        </row>
        <row r="5818">
          <cell r="C5818" t="str">
            <v>彭志豪</v>
          </cell>
          <cell r="J5818">
            <v>45702</v>
          </cell>
          <cell r="K5818">
            <v>6</v>
          </cell>
        </row>
        <row r="5819">
          <cell r="C5819" t="str">
            <v>彭志豪</v>
          </cell>
          <cell r="F5819" t="str">
            <v>M240703R1</v>
          </cell>
          <cell r="J5819">
            <v>45702</v>
          </cell>
          <cell r="K5819">
            <v>1</v>
          </cell>
        </row>
        <row r="5820">
          <cell r="C5820" t="str">
            <v>彭志豪</v>
          </cell>
          <cell r="F5820" t="str">
            <v>M240701C1</v>
          </cell>
          <cell r="J5820">
            <v>45702</v>
          </cell>
          <cell r="K5820">
            <v>1</v>
          </cell>
        </row>
        <row r="5821">
          <cell r="C5821" t="str">
            <v>彭志豪</v>
          </cell>
          <cell r="J5821">
            <v>45705</v>
          </cell>
          <cell r="K5821">
            <v>2</v>
          </cell>
        </row>
        <row r="5822">
          <cell r="C5822" t="str">
            <v>彭志豪</v>
          </cell>
          <cell r="F5822" t="str">
            <v>M240703R1</v>
          </cell>
          <cell r="J5822">
            <v>45705</v>
          </cell>
          <cell r="K5822">
            <v>5</v>
          </cell>
        </row>
        <row r="5823">
          <cell r="C5823" t="str">
            <v>彭志豪</v>
          </cell>
          <cell r="F5823" t="str">
            <v>M240703R1</v>
          </cell>
          <cell r="J5823">
            <v>45705</v>
          </cell>
          <cell r="K5823">
            <v>1</v>
          </cell>
        </row>
        <row r="5824">
          <cell r="C5824" t="str">
            <v>彭志豪</v>
          </cell>
          <cell r="J5824">
            <v>45706</v>
          </cell>
          <cell r="K5824">
            <v>2</v>
          </cell>
        </row>
        <row r="5825">
          <cell r="C5825" t="str">
            <v>彭志豪</v>
          </cell>
          <cell r="F5825" t="str">
            <v>M240703R1</v>
          </cell>
          <cell r="J5825">
            <v>45706</v>
          </cell>
          <cell r="K5825">
            <v>6</v>
          </cell>
        </row>
        <row r="5826">
          <cell r="C5826" t="str">
            <v>彭志豪</v>
          </cell>
          <cell r="J5826">
            <v>45707</v>
          </cell>
          <cell r="K5826">
            <v>3</v>
          </cell>
        </row>
        <row r="5827">
          <cell r="C5827" t="str">
            <v>彭志豪</v>
          </cell>
          <cell r="F5827" t="str">
            <v>M240703R1</v>
          </cell>
          <cell r="J5827">
            <v>45707</v>
          </cell>
          <cell r="K5827">
            <v>5</v>
          </cell>
        </row>
        <row r="5828">
          <cell r="C5828" t="str">
            <v>彭志豪</v>
          </cell>
          <cell r="F5828" t="str">
            <v>M240703R1</v>
          </cell>
          <cell r="J5828">
            <v>45708</v>
          </cell>
          <cell r="K5828">
            <v>2</v>
          </cell>
        </row>
        <row r="5829">
          <cell r="C5829" t="str">
            <v>彭志豪</v>
          </cell>
          <cell r="F5829" t="str">
            <v>M240703R1</v>
          </cell>
          <cell r="J5829">
            <v>45708</v>
          </cell>
          <cell r="K5829">
            <v>3</v>
          </cell>
        </row>
        <row r="5830">
          <cell r="C5830" t="str">
            <v>彭志豪</v>
          </cell>
          <cell r="F5830" t="str">
            <v>M240701C1</v>
          </cell>
          <cell r="J5830">
            <v>45708</v>
          </cell>
          <cell r="K5830">
            <v>3</v>
          </cell>
        </row>
        <row r="5831">
          <cell r="C5831" t="str">
            <v>彭志豪</v>
          </cell>
          <cell r="F5831" t="str">
            <v>M240703R1</v>
          </cell>
          <cell r="J5831">
            <v>45709</v>
          </cell>
          <cell r="K5831">
            <v>3</v>
          </cell>
        </row>
        <row r="5832">
          <cell r="C5832" t="str">
            <v>彭志豪</v>
          </cell>
          <cell r="F5832" t="str">
            <v>M240701C1</v>
          </cell>
          <cell r="J5832">
            <v>45709</v>
          </cell>
          <cell r="K5832">
            <v>5</v>
          </cell>
        </row>
        <row r="5833">
          <cell r="C5833" t="str">
            <v>彭志豪</v>
          </cell>
          <cell r="F5833" t="str">
            <v>M240703R1</v>
          </cell>
          <cell r="J5833">
            <v>45712</v>
          </cell>
          <cell r="K5833">
            <v>4</v>
          </cell>
        </row>
        <row r="5834">
          <cell r="C5834" t="str">
            <v>彭志豪</v>
          </cell>
          <cell r="F5834" t="str">
            <v>M240701C1</v>
          </cell>
          <cell r="J5834">
            <v>45712</v>
          </cell>
          <cell r="K5834">
            <v>4</v>
          </cell>
        </row>
        <row r="5835">
          <cell r="C5835" t="str">
            <v>彭志豪</v>
          </cell>
          <cell r="F5835" t="str">
            <v>M240703R1</v>
          </cell>
          <cell r="J5835">
            <v>45713</v>
          </cell>
          <cell r="K5835">
            <v>5</v>
          </cell>
        </row>
        <row r="5836">
          <cell r="C5836" t="str">
            <v>彭志豪</v>
          </cell>
          <cell r="F5836" t="str">
            <v>M240701C1</v>
          </cell>
          <cell r="J5836">
            <v>45713</v>
          </cell>
          <cell r="K5836">
            <v>3</v>
          </cell>
        </row>
        <row r="5837">
          <cell r="C5837" t="str">
            <v>彭志豪</v>
          </cell>
          <cell r="F5837" t="str">
            <v>M240703R1</v>
          </cell>
          <cell r="J5837">
            <v>45714</v>
          </cell>
          <cell r="K5837">
            <v>5</v>
          </cell>
        </row>
        <row r="5838">
          <cell r="C5838" t="str">
            <v>彭志豪</v>
          </cell>
          <cell r="F5838" t="str">
            <v>M240701C1</v>
          </cell>
          <cell r="J5838">
            <v>45714</v>
          </cell>
          <cell r="K5838">
            <v>3</v>
          </cell>
        </row>
        <row r="5839">
          <cell r="C5839" t="str">
            <v>彭志豪</v>
          </cell>
          <cell r="J5839">
            <v>45715</v>
          </cell>
          <cell r="K5839">
            <v>2</v>
          </cell>
        </row>
        <row r="5840">
          <cell r="C5840" t="str">
            <v>彭志豪</v>
          </cell>
          <cell r="J5840">
            <v>45715</v>
          </cell>
          <cell r="K5840">
            <v>4</v>
          </cell>
        </row>
        <row r="5841">
          <cell r="C5841" t="str">
            <v>彭志豪</v>
          </cell>
          <cell r="F5841" t="str">
            <v>M240701C1</v>
          </cell>
          <cell r="J5841">
            <v>45715</v>
          </cell>
          <cell r="K5841">
            <v>2</v>
          </cell>
        </row>
        <row r="5842">
          <cell r="C5842" t="str">
            <v>彭志豪</v>
          </cell>
          <cell r="F5842" t="str">
            <v>M240703R1</v>
          </cell>
          <cell r="J5842">
            <v>45719</v>
          </cell>
          <cell r="K5842">
            <v>8</v>
          </cell>
        </row>
        <row r="5843">
          <cell r="C5843" t="str">
            <v>彭志豪</v>
          </cell>
          <cell r="F5843" t="str">
            <v>M240703R1</v>
          </cell>
          <cell r="J5843">
            <v>45720</v>
          </cell>
          <cell r="K5843">
            <v>8</v>
          </cell>
        </row>
        <row r="5844">
          <cell r="C5844" t="str">
            <v>彭志豪</v>
          </cell>
          <cell r="F5844" t="str">
            <v>M240703R1</v>
          </cell>
          <cell r="J5844">
            <v>45721</v>
          </cell>
          <cell r="K5844">
            <v>8</v>
          </cell>
        </row>
        <row r="5845">
          <cell r="C5845" t="str">
            <v>彭志豪</v>
          </cell>
          <cell r="F5845" t="str">
            <v>M240703R1</v>
          </cell>
          <cell r="J5845">
            <v>45722</v>
          </cell>
          <cell r="K5845">
            <v>8</v>
          </cell>
        </row>
        <row r="5846">
          <cell r="C5846" t="str">
            <v>彭志豪</v>
          </cell>
          <cell r="F5846" t="str">
            <v>M240703R1</v>
          </cell>
          <cell r="J5846">
            <v>45723</v>
          </cell>
          <cell r="K5846">
            <v>3</v>
          </cell>
        </row>
        <row r="5847">
          <cell r="C5847" t="str">
            <v>彭志豪</v>
          </cell>
          <cell r="F5847" t="str">
            <v>M240703R1</v>
          </cell>
          <cell r="J5847">
            <v>45723</v>
          </cell>
          <cell r="K5847">
            <v>5</v>
          </cell>
        </row>
        <row r="5848">
          <cell r="C5848" t="str">
            <v>彭志豪</v>
          </cell>
          <cell r="F5848" t="str">
            <v>M240703R1</v>
          </cell>
          <cell r="J5848">
            <v>45726</v>
          </cell>
          <cell r="K5848">
            <v>4</v>
          </cell>
        </row>
        <row r="5849">
          <cell r="C5849" t="str">
            <v>彭志豪</v>
          </cell>
          <cell r="F5849" t="str">
            <v>M240703R1</v>
          </cell>
          <cell r="J5849">
            <v>45726</v>
          </cell>
          <cell r="K5849">
            <v>4</v>
          </cell>
        </row>
        <row r="5850">
          <cell r="C5850" t="str">
            <v>彭志豪</v>
          </cell>
          <cell r="F5850" t="str">
            <v>M240703R1</v>
          </cell>
          <cell r="J5850">
            <v>45727</v>
          </cell>
          <cell r="K5850">
            <v>4</v>
          </cell>
        </row>
        <row r="5851">
          <cell r="C5851" t="str">
            <v>彭志豪</v>
          </cell>
          <cell r="F5851" t="str">
            <v>M240703R1</v>
          </cell>
          <cell r="J5851">
            <v>45727</v>
          </cell>
          <cell r="K5851">
            <v>4</v>
          </cell>
        </row>
        <row r="5852">
          <cell r="C5852" t="str">
            <v>彭志豪</v>
          </cell>
          <cell r="F5852" t="str">
            <v>M240703R1</v>
          </cell>
          <cell r="J5852">
            <v>45728</v>
          </cell>
          <cell r="K5852">
            <v>4</v>
          </cell>
        </row>
        <row r="5853">
          <cell r="C5853" t="str">
            <v>彭志豪</v>
          </cell>
          <cell r="F5853" t="str">
            <v>M240701C1</v>
          </cell>
          <cell r="J5853">
            <v>45728</v>
          </cell>
          <cell r="K5853">
            <v>4</v>
          </cell>
        </row>
        <row r="5854">
          <cell r="C5854" t="str">
            <v>彭志豪</v>
          </cell>
          <cell r="F5854" t="str">
            <v>M240703R1</v>
          </cell>
          <cell r="J5854">
            <v>45729</v>
          </cell>
          <cell r="K5854">
            <v>8</v>
          </cell>
        </row>
        <row r="5855">
          <cell r="C5855" t="str">
            <v>彭志豪</v>
          </cell>
          <cell r="F5855" t="str">
            <v>M240703R1</v>
          </cell>
          <cell r="J5855">
            <v>45730</v>
          </cell>
          <cell r="K5855">
            <v>5</v>
          </cell>
        </row>
        <row r="5856">
          <cell r="C5856" t="str">
            <v>彭志豪</v>
          </cell>
          <cell r="F5856" t="str">
            <v>M240701C1</v>
          </cell>
          <cell r="J5856">
            <v>45730</v>
          </cell>
          <cell r="K5856">
            <v>3</v>
          </cell>
        </row>
        <row r="5857">
          <cell r="C5857" t="str">
            <v>彭志豪</v>
          </cell>
          <cell r="F5857" t="str">
            <v>M240703R1</v>
          </cell>
          <cell r="J5857">
            <v>45733</v>
          </cell>
          <cell r="K5857">
            <v>7</v>
          </cell>
        </row>
        <row r="5858">
          <cell r="C5858" t="str">
            <v>彭志豪</v>
          </cell>
          <cell r="F5858" t="str">
            <v>M240701C1</v>
          </cell>
          <cell r="J5858">
            <v>45733</v>
          </cell>
          <cell r="K5858">
            <v>1</v>
          </cell>
        </row>
        <row r="5859">
          <cell r="C5859" t="str">
            <v>彭志豪</v>
          </cell>
          <cell r="F5859" t="str">
            <v>M240703R1</v>
          </cell>
          <cell r="J5859">
            <v>45734</v>
          </cell>
          <cell r="K5859">
            <v>6</v>
          </cell>
        </row>
        <row r="5860">
          <cell r="C5860" t="str">
            <v>彭志豪</v>
          </cell>
          <cell r="F5860" t="str">
            <v>M240701C1</v>
          </cell>
          <cell r="J5860">
            <v>45734</v>
          </cell>
          <cell r="K5860">
            <v>2</v>
          </cell>
        </row>
        <row r="5861">
          <cell r="C5861" t="str">
            <v>彭志豪</v>
          </cell>
          <cell r="F5861" t="str">
            <v>M240703R1</v>
          </cell>
          <cell r="J5861">
            <v>45735</v>
          </cell>
          <cell r="K5861">
            <v>6</v>
          </cell>
        </row>
        <row r="5862">
          <cell r="C5862" t="str">
            <v>彭志豪</v>
          </cell>
          <cell r="F5862" t="str">
            <v>M240701C1</v>
          </cell>
          <cell r="J5862">
            <v>45735</v>
          </cell>
          <cell r="K5862">
            <v>2</v>
          </cell>
        </row>
        <row r="5863">
          <cell r="C5863" t="str">
            <v>彭志豪</v>
          </cell>
          <cell r="F5863" t="str">
            <v>M240701C1</v>
          </cell>
          <cell r="J5863">
            <v>45736</v>
          </cell>
          <cell r="K5863">
            <v>3</v>
          </cell>
        </row>
        <row r="5864">
          <cell r="C5864" t="str">
            <v>彭志豪</v>
          </cell>
          <cell r="F5864" t="str">
            <v>M240703R1</v>
          </cell>
          <cell r="J5864">
            <v>45736</v>
          </cell>
          <cell r="K5864">
            <v>2</v>
          </cell>
        </row>
        <row r="5865">
          <cell r="C5865" t="str">
            <v>彭志豪</v>
          </cell>
          <cell r="F5865" t="str">
            <v>M240703R1</v>
          </cell>
          <cell r="J5865">
            <v>45736</v>
          </cell>
          <cell r="K5865">
            <v>3</v>
          </cell>
        </row>
        <row r="5866">
          <cell r="C5866" t="str">
            <v>彭志豪</v>
          </cell>
          <cell r="F5866" t="str">
            <v>M240701C1</v>
          </cell>
          <cell r="J5866">
            <v>45737</v>
          </cell>
          <cell r="K5866">
            <v>3</v>
          </cell>
        </row>
        <row r="5867">
          <cell r="C5867" t="str">
            <v>彭志豪</v>
          </cell>
          <cell r="F5867" t="str">
            <v>M240703R1</v>
          </cell>
          <cell r="J5867">
            <v>45737</v>
          </cell>
          <cell r="K5867">
            <v>2</v>
          </cell>
        </row>
        <row r="5868">
          <cell r="C5868" t="str">
            <v>彭志豪</v>
          </cell>
          <cell r="F5868" t="str">
            <v>M240703R1</v>
          </cell>
          <cell r="J5868">
            <v>45737</v>
          </cell>
          <cell r="K5868">
            <v>3</v>
          </cell>
        </row>
        <row r="5869">
          <cell r="C5869" t="str">
            <v>彭志豪</v>
          </cell>
          <cell r="F5869" t="str">
            <v>M240701C1</v>
          </cell>
          <cell r="J5869">
            <v>45740</v>
          </cell>
          <cell r="K5869">
            <v>3</v>
          </cell>
        </row>
        <row r="5870">
          <cell r="C5870" t="str">
            <v>彭志豪</v>
          </cell>
          <cell r="F5870" t="str">
            <v>M240703R1</v>
          </cell>
          <cell r="J5870">
            <v>45740</v>
          </cell>
          <cell r="K5870">
            <v>2</v>
          </cell>
        </row>
        <row r="5871">
          <cell r="C5871" t="str">
            <v>彭志豪</v>
          </cell>
          <cell r="F5871" t="str">
            <v>M240703R1</v>
          </cell>
          <cell r="J5871">
            <v>45740</v>
          </cell>
          <cell r="K5871">
            <v>3</v>
          </cell>
        </row>
        <row r="5872">
          <cell r="C5872" t="str">
            <v>彭志豪</v>
          </cell>
          <cell r="F5872" t="str">
            <v>M240701C1</v>
          </cell>
          <cell r="J5872">
            <v>45741</v>
          </cell>
          <cell r="K5872">
            <v>3</v>
          </cell>
        </row>
        <row r="5873">
          <cell r="C5873" t="str">
            <v>彭志豪</v>
          </cell>
          <cell r="F5873" t="str">
            <v>M240703R1</v>
          </cell>
          <cell r="J5873">
            <v>45741</v>
          </cell>
          <cell r="K5873">
            <v>2</v>
          </cell>
        </row>
        <row r="5874">
          <cell r="C5874" t="str">
            <v>彭志豪</v>
          </cell>
          <cell r="F5874" t="str">
            <v>M240703R1</v>
          </cell>
          <cell r="J5874">
            <v>45741</v>
          </cell>
          <cell r="K5874">
            <v>3</v>
          </cell>
        </row>
        <row r="5875">
          <cell r="C5875" t="str">
            <v>彭志豪</v>
          </cell>
          <cell r="F5875" t="str">
            <v>M240701C1</v>
          </cell>
          <cell r="J5875">
            <v>45742</v>
          </cell>
          <cell r="K5875">
            <v>3</v>
          </cell>
        </row>
        <row r="5876">
          <cell r="C5876" t="str">
            <v>彭志豪</v>
          </cell>
          <cell r="F5876" t="str">
            <v>M240703R1</v>
          </cell>
          <cell r="J5876">
            <v>45742</v>
          </cell>
          <cell r="K5876">
            <v>2</v>
          </cell>
        </row>
        <row r="5877">
          <cell r="C5877" t="str">
            <v>彭志豪</v>
          </cell>
          <cell r="F5877" t="str">
            <v>M240703R1</v>
          </cell>
          <cell r="J5877">
            <v>45742</v>
          </cell>
          <cell r="K5877">
            <v>3</v>
          </cell>
        </row>
        <row r="5878">
          <cell r="C5878" t="str">
            <v>彭志豪</v>
          </cell>
          <cell r="F5878" t="str">
            <v>M240703R1</v>
          </cell>
          <cell r="J5878">
            <v>45743</v>
          </cell>
          <cell r="K5878">
            <v>6</v>
          </cell>
        </row>
        <row r="5879">
          <cell r="C5879" t="str">
            <v>彭志豪</v>
          </cell>
          <cell r="F5879" t="str">
            <v>M240701C1</v>
          </cell>
          <cell r="J5879">
            <v>45743</v>
          </cell>
          <cell r="K5879">
            <v>2</v>
          </cell>
        </row>
        <row r="5880">
          <cell r="C5880" t="str">
            <v>彭志豪</v>
          </cell>
          <cell r="F5880" t="str">
            <v>M240703R1</v>
          </cell>
          <cell r="J5880">
            <v>45744</v>
          </cell>
          <cell r="K5880">
            <v>6</v>
          </cell>
        </row>
        <row r="5881">
          <cell r="C5881" t="str">
            <v>彭志豪</v>
          </cell>
          <cell r="F5881" t="str">
            <v>M240701C1</v>
          </cell>
          <cell r="J5881">
            <v>45744</v>
          </cell>
          <cell r="K5881">
            <v>2</v>
          </cell>
        </row>
        <row r="5882">
          <cell r="C5882" t="str">
            <v>彭志豪</v>
          </cell>
          <cell r="F5882" t="str">
            <v>M240703R1</v>
          </cell>
          <cell r="J5882">
            <v>45747</v>
          </cell>
          <cell r="K5882">
            <v>8</v>
          </cell>
        </row>
        <row r="5883">
          <cell r="C5883" t="str">
            <v>彭志豪</v>
          </cell>
          <cell r="F5883" t="str">
            <v>M240701C1</v>
          </cell>
          <cell r="J5883">
            <v>45748</v>
          </cell>
          <cell r="K5883">
            <v>2</v>
          </cell>
        </row>
        <row r="5884">
          <cell r="C5884" t="str">
            <v>彭志豪</v>
          </cell>
          <cell r="F5884" t="str">
            <v>M240703R1</v>
          </cell>
          <cell r="J5884">
            <v>45748</v>
          </cell>
          <cell r="K5884">
            <v>6</v>
          </cell>
        </row>
        <row r="5885">
          <cell r="C5885" t="str">
            <v>彭志豪</v>
          </cell>
          <cell r="F5885" t="str">
            <v>M240701C1</v>
          </cell>
          <cell r="J5885">
            <v>45749</v>
          </cell>
          <cell r="K5885">
            <v>2</v>
          </cell>
        </row>
        <row r="5886">
          <cell r="C5886" t="str">
            <v>彭志豪</v>
          </cell>
          <cell r="F5886" t="str">
            <v>M240703R1</v>
          </cell>
          <cell r="J5886">
            <v>45749</v>
          </cell>
          <cell r="K5886">
            <v>6</v>
          </cell>
        </row>
        <row r="5887">
          <cell r="C5887" t="str">
            <v>彭志豪</v>
          </cell>
          <cell r="J5887">
            <v>45750</v>
          </cell>
          <cell r="K5887">
            <v>8</v>
          </cell>
        </row>
        <row r="5888">
          <cell r="C5888" t="str">
            <v>彭志豪</v>
          </cell>
          <cell r="J5888">
            <v>45751</v>
          </cell>
          <cell r="K5888">
            <v>8</v>
          </cell>
        </row>
        <row r="5889">
          <cell r="C5889" t="str">
            <v>彭志豪</v>
          </cell>
          <cell r="F5889" t="str">
            <v>M240703R1</v>
          </cell>
          <cell r="J5889">
            <v>45754</v>
          </cell>
          <cell r="K5889">
            <v>4</v>
          </cell>
        </row>
        <row r="5890">
          <cell r="C5890" t="str">
            <v>彭志豪</v>
          </cell>
          <cell r="F5890" t="str">
            <v>M240703R1</v>
          </cell>
          <cell r="J5890">
            <v>45754</v>
          </cell>
          <cell r="K5890">
            <v>4</v>
          </cell>
        </row>
        <row r="5891">
          <cell r="C5891" t="str">
            <v>彭志豪</v>
          </cell>
          <cell r="F5891" t="str">
            <v>M240703R1</v>
          </cell>
          <cell r="J5891">
            <v>45755</v>
          </cell>
          <cell r="K5891">
            <v>4</v>
          </cell>
        </row>
        <row r="5892">
          <cell r="C5892" t="str">
            <v>彭志豪</v>
          </cell>
          <cell r="F5892" t="str">
            <v>M240703R1</v>
          </cell>
          <cell r="J5892">
            <v>45755</v>
          </cell>
          <cell r="K5892">
            <v>4</v>
          </cell>
        </row>
        <row r="5893">
          <cell r="C5893" t="str">
            <v>彭志豪</v>
          </cell>
          <cell r="F5893" t="str">
            <v>M240703R1</v>
          </cell>
          <cell r="J5893">
            <v>45756</v>
          </cell>
          <cell r="K5893">
            <v>6</v>
          </cell>
        </row>
        <row r="5894">
          <cell r="C5894" t="str">
            <v>彭志豪</v>
          </cell>
          <cell r="F5894" t="str">
            <v>M240701C1</v>
          </cell>
          <cell r="J5894">
            <v>45756</v>
          </cell>
          <cell r="K5894">
            <v>2</v>
          </cell>
        </row>
        <row r="5895">
          <cell r="C5895" t="str">
            <v>彭志豪</v>
          </cell>
          <cell r="F5895" t="str">
            <v>M240703R1</v>
          </cell>
          <cell r="J5895">
            <v>45757</v>
          </cell>
          <cell r="K5895">
            <v>6</v>
          </cell>
        </row>
        <row r="5896">
          <cell r="C5896" t="str">
            <v>彭志豪</v>
          </cell>
          <cell r="F5896" t="str">
            <v>M240701C1</v>
          </cell>
          <cell r="J5896">
            <v>45757</v>
          </cell>
          <cell r="K5896">
            <v>2</v>
          </cell>
        </row>
        <row r="5897">
          <cell r="C5897" t="str">
            <v>彭志豪</v>
          </cell>
          <cell r="F5897" t="str">
            <v>M240703R1</v>
          </cell>
          <cell r="J5897">
            <v>45758</v>
          </cell>
          <cell r="K5897">
            <v>2</v>
          </cell>
        </row>
        <row r="5898">
          <cell r="C5898" t="str">
            <v>彭志豪</v>
          </cell>
          <cell r="F5898" t="str">
            <v>M240703R1</v>
          </cell>
          <cell r="J5898">
            <v>45758</v>
          </cell>
          <cell r="K5898">
            <v>6</v>
          </cell>
        </row>
        <row r="5899">
          <cell r="C5899" t="str">
            <v>彭志豪</v>
          </cell>
          <cell r="F5899" t="str">
            <v>M240703R1</v>
          </cell>
          <cell r="J5899">
            <v>45761</v>
          </cell>
          <cell r="K5899">
            <v>2</v>
          </cell>
        </row>
        <row r="5900">
          <cell r="C5900" t="str">
            <v>彭志豪</v>
          </cell>
          <cell r="F5900" t="str">
            <v>M240703R1</v>
          </cell>
          <cell r="J5900">
            <v>45761</v>
          </cell>
          <cell r="K5900">
            <v>6</v>
          </cell>
        </row>
        <row r="5901">
          <cell r="C5901" t="str">
            <v>彭志豪</v>
          </cell>
          <cell r="F5901" t="str">
            <v>M240703R1</v>
          </cell>
          <cell r="J5901">
            <v>45762</v>
          </cell>
          <cell r="K5901">
            <v>8</v>
          </cell>
        </row>
        <row r="5902">
          <cell r="C5902" t="str">
            <v>彭志豪</v>
          </cell>
          <cell r="F5902" t="str">
            <v>M240703R1</v>
          </cell>
          <cell r="J5902">
            <v>45763</v>
          </cell>
          <cell r="K5902">
            <v>8</v>
          </cell>
        </row>
        <row r="5903">
          <cell r="C5903" t="str">
            <v>彭志豪</v>
          </cell>
          <cell r="F5903" t="str">
            <v>M240703R1</v>
          </cell>
          <cell r="J5903">
            <v>45764</v>
          </cell>
          <cell r="K5903">
            <v>8</v>
          </cell>
        </row>
        <row r="5904">
          <cell r="C5904" t="str">
            <v>彭志豪</v>
          </cell>
          <cell r="F5904" t="str">
            <v>M240703R1</v>
          </cell>
          <cell r="J5904">
            <v>45765</v>
          </cell>
          <cell r="K5904">
            <v>8</v>
          </cell>
        </row>
        <row r="5905">
          <cell r="C5905" t="str">
            <v>彭志豪</v>
          </cell>
          <cell r="F5905" t="str">
            <v>M240703R1</v>
          </cell>
          <cell r="J5905">
            <v>45768</v>
          </cell>
          <cell r="K5905">
            <v>8</v>
          </cell>
        </row>
        <row r="5906">
          <cell r="C5906" t="str">
            <v>彭志豪</v>
          </cell>
          <cell r="F5906" t="str">
            <v>M240703R1</v>
          </cell>
          <cell r="J5906">
            <v>45769</v>
          </cell>
          <cell r="K5906">
            <v>8</v>
          </cell>
        </row>
        <row r="5907">
          <cell r="C5907" t="str">
            <v>彭志豪</v>
          </cell>
          <cell r="F5907" t="str">
            <v>M240703R1</v>
          </cell>
          <cell r="J5907">
            <v>45770</v>
          </cell>
          <cell r="K5907">
            <v>8</v>
          </cell>
        </row>
        <row r="5908">
          <cell r="C5908" t="str">
            <v>彭志豪</v>
          </cell>
          <cell r="F5908" t="str">
            <v>M240703R1</v>
          </cell>
          <cell r="J5908">
            <v>45771</v>
          </cell>
          <cell r="K5908">
            <v>8</v>
          </cell>
        </row>
        <row r="5909">
          <cell r="C5909" t="str">
            <v>彭志豪</v>
          </cell>
          <cell r="F5909" t="str">
            <v>M240703R1</v>
          </cell>
          <cell r="J5909">
            <v>45772</v>
          </cell>
          <cell r="K5909">
            <v>8</v>
          </cell>
        </row>
        <row r="5910">
          <cell r="C5910" t="str">
            <v>彭志豪</v>
          </cell>
          <cell r="F5910" t="str">
            <v>M240703R1</v>
          </cell>
          <cell r="J5910">
            <v>45775</v>
          </cell>
          <cell r="K5910">
            <v>8</v>
          </cell>
        </row>
        <row r="5911">
          <cell r="C5911" t="str">
            <v>彭志豪</v>
          </cell>
          <cell r="F5911" t="str">
            <v>M240703R1</v>
          </cell>
          <cell r="J5911">
            <v>45776</v>
          </cell>
          <cell r="K5911">
            <v>8</v>
          </cell>
        </row>
        <row r="5912">
          <cell r="C5912" t="str">
            <v>彭志豪</v>
          </cell>
          <cell r="F5912" t="str">
            <v>M240703R1</v>
          </cell>
          <cell r="J5912">
            <v>45777</v>
          </cell>
          <cell r="K5912">
            <v>8</v>
          </cell>
        </row>
        <row r="5913">
          <cell r="C5913" t="str">
            <v>彭志豪</v>
          </cell>
          <cell r="J5913">
            <v>45778</v>
          </cell>
          <cell r="K5913">
            <v>8</v>
          </cell>
        </row>
        <row r="5914">
          <cell r="C5914" t="str">
            <v>彭志豪</v>
          </cell>
          <cell r="F5914" t="str">
            <v>M240703R1</v>
          </cell>
          <cell r="J5914">
            <v>45779</v>
          </cell>
          <cell r="K5914">
            <v>8</v>
          </cell>
        </row>
        <row r="5915">
          <cell r="C5915" t="str">
            <v>彭志豪</v>
          </cell>
          <cell r="F5915" t="str">
            <v>M240703R1</v>
          </cell>
          <cell r="J5915">
            <v>45782</v>
          </cell>
          <cell r="K5915">
            <v>8</v>
          </cell>
        </row>
        <row r="5916">
          <cell r="C5916" t="str">
            <v>彭志豪</v>
          </cell>
          <cell r="F5916" t="str">
            <v>M240703R1</v>
          </cell>
          <cell r="J5916">
            <v>45783</v>
          </cell>
          <cell r="K5916">
            <v>8</v>
          </cell>
        </row>
        <row r="5917">
          <cell r="C5917" t="str">
            <v>彭志豪</v>
          </cell>
          <cell r="J5917">
            <v>45784</v>
          </cell>
          <cell r="K5917">
            <v>4</v>
          </cell>
        </row>
        <row r="5918">
          <cell r="C5918" t="str">
            <v>彭志豪</v>
          </cell>
          <cell r="F5918" t="str">
            <v>M240703R1</v>
          </cell>
          <cell r="J5918">
            <v>45784</v>
          </cell>
          <cell r="K5918">
            <v>4</v>
          </cell>
        </row>
        <row r="5919">
          <cell r="C5919" t="str">
            <v>彭志豪</v>
          </cell>
          <cell r="F5919" t="str">
            <v>M240703R1</v>
          </cell>
          <cell r="J5919">
            <v>45785</v>
          </cell>
          <cell r="K5919">
            <v>8</v>
          </cell>
        </row>
        <row r="5920">
          <cell r="C5920" t="str">
            <v>彭志豪</v>
          </cell>
          <cell r="F5920" t="str">
            <v>M240703R1</v>
          </cell>
          <cell r="J5920">
            <v>45786</v>
          </cell>
          <cell r="K5920">
            <v>4</v>
          </cell>
        </row>
        <row r="5921">
          <cell r="C5921" t="str">
            <v>彭志豪</v>
          </cell>
          <cell r="F5921" t="str">
            <v>M240703R1</v>
          </cell>
          <cell r="J5921">
            <v>45786</v>
          </cell>
          <cell r="K5921">
            <v>4</v>
          </cell>
        </row>
        <row r="5922">
          <cell r="C5922" t="str">
            <v>彭志豪</v>
          </cell>
          <cell r="F5922" t="str">
            <v>M240703R1</v>
          </cell>
          <cell r="J5922">
            <v>45789</v>
          </cell>
          <cell r="K5922">
            <v>4</v>
          </cell>
        </row>
        <row r="5923">
          <cell r="C5923" t="str">
            <v>彭志豪</v>
          </cell>
          <cell r="F5923" t="str">
            <v>M240703R1</v>
          </cell>
          <cell r="J5923">
            <v>45789</v>
          </cell>
          <cell r="K5923">
            <v>4</v>
          </cell>
        </row>
        <row r="5924">
          <cell r="C5924" t="str">
            <v>彭志豪</v>
          </cell>
          <cell r="F5924" t="str">
            <v>M240703R1</v>
          </cell>
          <cell r="J5924">
            <v>45790</v>
          </cell>
          <cell r="K5924">
            <v>4</v>
          </cell>
        </row>
        <row r="5925">
          <cell r="C5925" t="str">
            <v>彭志豪</v>
          </cell>
          <cell r="F5925" t="str">
            <v>M240703R1</v>
          </cell>
          <cell r="J5925">
            <v>45790</v>
          </cell>
          <cell r="K5925">
            <v>4</v>
          </cell>
        </row>
        <row r="5926">
          <cell r="C5926" t="str">
            <v>彭志豪</v>
          </cell>
          <cell r="F5926" t="str">
            <v>M240703R1</v>
          </cell>
          <cell r="J5926">
            <v>45791</v>
          </cell>
          <cell r="K5926">
            <v>4</v>
          </cell>
        </row>
        <row r="5927">
          <cell r="C5927" t="str">
            <v>彭志豪</v>
          </cell>
          <cell r="F5927" t="str">
            <v>M240703R1</v>
          </cell>
          <cell r="J5927">
            <v>45791</v>
          </cell>
          <cell r="K5927">
            <v>4</v>
          </cell>
        </row>
        <row r="5928">
          <cell r="C5928" t="str">
            <v>彭志豪</v>
          </cell>
          <cell r="F5928" t="str">
            <v>M240703R1</v>
          </cell>
          <cell r="J5928">
            <v>45792</v>
          </cell>
          <cell r="K5928">
            <v>3</v>
          </cell>
        </row>
        <row r="5929">
          <cell r="C5929" t="str">
            <v>彭志豪</v>
          </cell>
          <cell r="F5929" t="str">
            <v>M240703R1</v>
          </cell>
          <cell r="J5929">
            <v>45792</v>
          </cell>
          <cell r="K5929">
            <v>5</v>
          </cell>
        </row>
        <row r="5930">
          <cell r="C5930" t="str">
            <v>彭志豪</v>
          </cell>
          <cell r="J5930">
            <v>45793</v>
          </cell>
          <cell r="K5930">
            <v>4</v>
          </cell>
        </row>
        <row r="5931">
          <cell r="C5931" t="str">
            <v>彭志豪</v>
          </cell>
          <cell r="F5931" t="str">
            <v>M240703R1</v>
          </cell>
          <cell r="J5931">
            <v>45793</v>
          </cell>
          <cell r="K5931">
            <v>4</v>
          </cell>
        </row>
        <row r="5932">
          <cell r="C5932" t="str">
            <v>彭志豪</v>
          </cell>
          <cell r="J5932">
            <v>45796</v>
          </cell>
          <cell r="K5932">
            <v>8</v>
          </cell>
        </row>
        <row r="5933">
          <cell r="C5933" t="str">
            <v>彭志豪</v>
          </cell>
          <cell r="J5933">
            <v>45797</v>
          </cell>
          <cell r="K5933">
            <v>3</v>
          </cell>
        </row>
        <row r="5934">
          <cell r="C5934" t="str">
            <v>彭志豪</v>
          </cell>
          <cell r="F5934" t="str">
            <v>M240703R1</v>
          </cell>
          <cell r="J5934">
            <v>45797</v>
          </cell>
          <cell r="K5934">
            <v>3</v>
          </cell>
        </row>
        <row r="5935">
          <cell r="C5935" t="str">
            <v>彭志豪</v>
          </cell>
          <cell r="F5935" t="str">
            <v>M240703R1</v>
          </cell>
          <cell r="J5935">
            <v>45797</v>
          </cell>
          <cell r="K5935">
            <v>2</v>
          </cell>
        </row>
        <row r="5936">
          <cell r="C5936" t="str">
            <v>彭志豪</v>
          </cell>
          <cell r="F5936" t="str">
            <v>M240703R1</v>
          </cell>
          <cell r="J5936">
            <v>45798</v>
          </cell>
          <cell r="K5936">
            <v>4</v>
          </cell>
        </row>
        <row r="5937">
          <cell r="C5937" t="str">
            <v>彭志豪</v>
          </cell>
          <cell r="F5937" t="str">
            <v>M240703R1</v>
          </cell>
          <cell r="J5937">
            <v>45798</v>
          </cell>
          <cell r="K5937">
            <v>4</v>
          </cell>
        </row>
        <row r="5938">
          <cell r="C5938" t="str">
            <v>彭志豪</v>
          </cell>
          <cell r="F5938" t="str">
            <v>M240703R1</v>
          </cell>
          <cell r="J5938">
            <v>45799</v>
          </cell>
          <cell r="K5938">
            <v>3</v>
          </cell>
        </row>
        <row r="5939">
          <cell r="C5939" t="str">
            <v>彭志豪</v>
          </cell>
          <cell r="F5939" t="str">
            <v>M240703R1</v>
          </cell>
          <cell r="J5939">
            <v>45799</v>
          </cell>
          <cell r="K5939">
            <v>5</v>
          </cell>
        </row>
        <row r="5940">
          <cell r="C5940" t="str">
            <v>彭志豪</v>
          </cell>
          <cell r="F5940" t="str">
            <v>M240703R1</v>
          </cell>
          <cell r="J5940">
            <v>45800</v>
          </cell>
          <cell r="K5940">
            <v>6</v>
          </cell>
        </row>
        <row r="5941">
          <cell r="C5941" t="str">
            <v>彭志豪</v>
          </cell>
          <cell r="F5941" t="str">
            <v>M240703R1</v>
          </cell>
          <cell r="J5941">
            <v>45800</v>
          </cell>
          <cell r="K5941">
            <v>2</v>
          </cell>
        </row>
        <row r="5942">
          <cell r="C5942" t="str">
            <v>彭志豪</v>
          </cell>
          <cell r="F5942" t="str">
            <v>M240703R1</v>
          </cell>
          <cell r="J5942">
            <v>45803</v>
          </cell>
          <cell r="K5942">
            <v>4</v>
          </cell>
        </row>
        <row r="5943">
          <cell r="C5943" t="str">
            <v>彭志豪</v>
          </cell>
          <cell r="F5943" t="str">
            <v>M240703R1</v>
          </cell>
          <cell r="J5943">
            <v>45803</v>
          </cell>
          <cell r="K5943">
            <v>4</v>
          </cell>
        </row>
        <row r="5944">
          <cell r="C5944" t="str">
            <v>彭志豪</v>
          </cell>
          <cell r="F5944" t="str">
            <v>M240703R1</v>
          </cell>
          <cell r="J5944">
            <v>45804</v>
          </cell>
          <cell r="K5944">
            <v>3</v>
          </cell>
        </row>
        <row r="5945">
          <cell r="C5945" t="str">
            <v>彭志豪</v>
          </cell>
          <cell r="F5945" t="str">
            <v>M240703R1</v>
          </cell>
          <cell r="J5945">
            <v>45804</v>
          </cell>
          <cell r="K5945">
            <v>5</v>
          </cell>
        </row>
        <row r="5946">
          <cell r="C5946" t="str">
            <v>彭志豪</v>
          </cell>
          <cell r="F5946" t="str">
            <v>M240703R1</v>
          </cell>
          <cell r="J5946">
            <v>45805</v>
          </cell>
          <cell r="K5946">
            <v>3</v>
          </cell>
        </row>
        <row r="5947">
          <cell r="C5947" t="str">
            <v>彭志豪</v>
          </cell>
          <cell r="F5947" t="str">
            <v>M240703R1</v>
          </cell>
          <cell r="J5947">
            <v>45805</v>
          </cell>
          <cell r="K5947">
            <v>5</v>
          </cell>
        </row>
        <row r="5948">
          <cell r="C5948" t="str">
            <v>彭志豪</v>
          </cell>
          <cell r="F5948" t="str">
            <v>M240703R1</v>
          </cell>
          <cell r="J5948">
            <v>45806</v>
          </cell>
          <cell r="K5948">
            <v>8</v>
          </cell>
        </row>
        <row r="5949">
          <cell r="C5949" t="str">
            <v>彭志豪</v>
          </cell>
          <cell r="F5949" t="str">
            <v>M240703R1</v>
          </cell>
          <cell r="J5949">
            <v>45810</v>
          </cell>
          <cell r="K5949">
            <v>8</v>
          </cell>
        </row>
        <row r="5950">
          <cell r="C5950" t="str">
            <v>彭志豪</v>
          </cell>
          <cell r="J5950">
            <v>45811</v>
          </cell>
          <cell r="K5950">
            <v>8</v>
          </cell>
        </row>
        <row r="5951">
          <cell r="C5951" t="str">
            <v>彭志豪</v>
          </cell>
          <cell r="F5951" t="str">
            <v>M240703R1</v>
          </cell>
          <cell r="J5951">
            <v>45812</v>
          </cell>
          <cell r="K5951">
            <v>8</v>
          </cell>
        </row>
        <row r="5952">
          <cell r="C5952" t="str">
            <v>彭志豪</v>
          </cell>
          <cell r="F5952" t="str">
            <v>M240703R1</v>
          </cell>
          <cell r="J5952">
            <v>45813</v>
          </cell>
          <cell r="K5952">
            <v>8</v>
          </cell>
        </row>
        <row r="5953">
          <cell r="C5953" t="str">
            <v>彭志豪</v>
          </cell>
          <cell r="F5953" t="str">
            <v>M240703R1</v>
          </cell>
          <cell r="J5953">
            <v>45814</v>
          </cell>
          <cell r="K5953">
            <v>8</v>
          </cell>
        </row>
        <row r="5954">
          <cell r="C5954" t="str">
            <v>彭志豪</v>
          </cell>
          <cell r="F5954" t="str">
            <v>M240703R1</v>
          </cell>
          <cell r="J5954">
            <v>45817</v>
          </cell>
          <cell r="K5954">
            <v>8</v>
          </cell>
        </row>
        <row r="5955">
          <cell r="C5955" t="str">
            <v>彭志豪</v>
          </cell>
          <cell r="F5955" t="str">
            <v>M240703R1</v>
          </cell>
          <cell r="J5955">
            <v>45818</v>
          </cell>
          <cell r="K5955">
            <v>8</v>
          </cell>
        </row>
        <row r="5956">
          <cell r="C5956" t="str">
            <v>彭志豪</v>
          </cell>
          <cell r="F5956" t="str">
            <v>M240703R1</v>
          </cell>
          <cell r="J5956">
            <v>45819</v>
          </cell>
          <cell r="K5956">
            <v>8</v>
          </cell>
        </row>
        <row r="5957">
          <cell r="C5957" t="str">
            <v>彭志豪</v>
          </cell>
          <cell r="F5957" t="str">
            <v>M240703R1</v>
          </cell>
          <cell r="J5957">
            <v>45820</v>
          </cell>
          <cell r="K5957">
            <v>8</v>
          </cell>
        </row>
        <row r="5958">
          <cell r="C5958" t="str">
            <v>彭志豪</v>
          </cell>
          <cell r="F5958" t="str">
            <v>M240703R1</v>
          </cell>
          <cell r="J5958">
            <v>45821</v>
          </cell>
          <cell r="K5958">
            <v>8</v>
          </cell>
        </row>
        <row r="5959">
          <cell r="C5959" t="str">
            <v>彭志豪</v>
          </cell>
          <cell r="F5959" t="str">
            <v>M240703R1</v>
          </cell>
          <cell r="J5959">
            <v>45824</v>
          </cell>
          <cell r="K5959">
            <v>8</v>
          </cell>
        </row>
        <row r="5960">
          <cell r="C5960" t="str">
            <v>彭志豪</v>
          </cell>
          <cell r="J5960">
            <v>45825</v>
          </cell>
          <cell r="K5960">
            <v>8</v>
          </cell>
        </row>
        <row r="5961">
          <cell r="C5961" t="str">
            <v>彭志豪</v>
          </cell>
          <cell r="J5961">
            <v>45826</v>
          </cell>
          <cell r="K5961">
            <v>1</v>
          </cell>
        </row>
        <row r="5962">
          <cell r="C5962" t="str">
            <v>彭志豪</v>
          </cell>
          <cell r="F5962" t="str">
            <v>M240703R1</v>
          </cell>
          <cell r="J5962">
            <v>45826</v>
          </cell>
          <cell r="K5962">
            <v>7</v>
          </cell>
        </row>
        <row r="5963">
          <cell r="C5963" t="str">
            <v>彭志豪</v>
          </cell>
          <cell r="F5963" t="str">
            <v>M240703R1</v>
          </cell>
          <cell r="J5963">
            <v>45827</v>
          </cell>
          <cell r="K5963">
            <v>8</v>
          </cell>
        </row>
        <row r="5964">
          <cell r="C5964" t="str">
            <v>彭志豪</v>
          </cell>
          <cell r="F5964" t="str">
            <v>M240703R1</v>
          </cell>
          <cell r="J5964">
            <v>45828</v>
          </cell>
          <cell r="K5964">
            <v>8</v>
          </cell>
        </row>
        <row r="5965">
          <cell r="C5965" t="str">
            <v>彭志豪</v>
          </cell>
          <cell r="F5965" t="str">
            <v>M240703R1</v>
          </cell>
          <cell r="J5965">
            <v>45831</v>
          </cell>
          <cell r="K5965">
            <v>8</v>
          </cell>
        </row>
        <row r="5966">
          <cell r="C5966" t="str">
            <v>彭志豪</v>
          </cell>
          <cell r="F5966" t="str">
            <v>M240703R1</v>
          </cell>
          <cell r="J5966">
            <v>45832</v>
          </cell>
          <cell r="K5966">
            <v>8</v>
          </cell>
        </row>
        <row r="5967">
          <cell r="C5967" t="str">
            <v>彭志豪</v>
          </cell>
          <cell r="F5967" t="str">
            <v>M240703R1</v>
          </cell>
          <cell r="J5967">
            <v>45833</v>
          </cell>
          <cell r="K5967">
            <v>8</v>
          </cell>
        </row>
        <row r="5968">
          <cell r="C5968" t="str">
            <v>彭志豪</v>
          </cell>
          <cell r="F5968" t="str">
            <v>M240703R1</v>
          </cell>
          <cell r="J5968">
            <v>45834</v>
          </cell>
          <cell r="K5968">
            <v>8</v>
          </cell>
        </row>
        <row r="5969">
          <cell r="C5969" t="str">
            <v>彭志豪</v>
          </cell>
          <cell r="F5969" t="str">
            <v>M240703R1</v>
          </cell>
          <cell r="J5969">
            <v>45835</v>
          </cell>
          <cell r="K5969">
            <v>8</v>
          </cell>
        </row>
        <row r="5970">
          <cell r="C5970" t="str">
            <v>彭志豪</v>
          </cell>
          <cell r="F5970" t="str">
            <v>M240703R1</v>
          </cell>
          <cell r="J5970">
            <v>45838</v>
          </cell>
          <cell r="K5970">
            <v>4</v>
          </cell>
        </row>
        <row r="5971">
          <cell r="C5971" t="str">
            <v>彭志豪</v>
          </cell>
          <cell r="F5971" t="str">
            <v>M240703R1</v>
          </cell>
          <cell r="J5971">
            <v>45838</v>
          </cell>
          <cell r="K5971">
            <v>4</v>
          </cell>
        </row>
        <row r="5972">
          <cell r="C5972" t="str">
            <v>彭志豪</v>
          </cell>
          <cell r="F5972" t="str">
            <v>M240703R1</v>
          </cell>
          <cell r="J5972">
            <v>45839</v>
          </cell>
          <cell r="K5972">
            <v>8</v>
          </cell>
        </row>
        <row r="5973">
          <cell r="C5973" t="str">
            <v>彭志豪</v>
          </cell>
          <cell r="F5973" t="str">
            <v>M240703R1</v>
          </cell>
          <cell r="J5973">
            <v>45840</v>
          </cell>
          <cell r="K5973">
            <v>8</v>
          </cell>
        </row>
        <row r="5974">
          <cell r="C5974" t="str">
            <v>彭志豪</v>
          </cell>
          <cell r="F5974" t="str">
            <v>M240703R1</v>
          </cell>
          <cell r="J5974">
            <v>45841</v>
          </cell>
          <cell r="K5974">
            <v>8</v>
          </cell>
        </row>
        <row r="5975">
          <cell r="C5975" t="str">
            <v>彭志豪</v>
          </cell>
          <cell r="J5975">
            <v>45842</v>
          </cell>
          <cell r="K5975">
            <v>8</v>
          </cell>
        </row>
        <row r="5976">
          <cell r="C5976" t="str">
            <v>彭志豪</v>
          </cell>
          <cell r="F5976" t="str">
            <v>M240703R1</v>
          </cell>
          <cell r="J5976">
            <v>45845</v>
          </cell>
          <cell r="K5976">
            <v>8</v>
          </cell>
        </row>
        <row r="5977">
          <cell r="C5977" t="str">
            <v>彭志豪</v>
          </cell>
          <cell r="F5977" t="str">
            <v>M240703R1</v>
          </cell>
          <cell r="J5977">
            <v>45846</v>
          </cell>
          <cell r="K5977">
            <v>8</v>
          </cell>
        </row>
        <row r="5978">
          <cell r="C5978" t="str">
            <v>彭志豪</v>
          </cell>
          <cell r="F5978" t="str">
            <v>M240703R1</v>
          </cell>
          <cell r="J5978">
            <v>45847</v>
          </cell>
          <cell r="K5978">
            <v>6</v>
          </cell>
        </row>
        <row r="5979">
          <cell r="C5979" t="str">
            <v>彭志豪</v>
          </cell>
          <cell r="F5979" t="str">
            <v>M240703R1</v>
          </cell>
          <cell r="J5979">
            <v>45847</v>
          </cell>
          <cell r="K5979">
            <v>2</v>
          </cell>
        </row>
        <row r="5980">
          <cell r="C5980" t="str">
            <v>彭志豪</v>
          </cell>
          <cell r="J5980">
            <v>45848</v>
          </cell>
          <cell r="K5980">
            <v>8</v>
          </cell>
        </row>
        <row r="5981">
          <cell r="C5981" t="str">
            <v>彭志豪</v>
          </cell>
          <cell r="F5981" t="str">
            <v>M240703R1</v>
          </cell>
          <cell r="J5981">
            <v>45849</v>
          </cell>
          <cell r="K5981">
            <v>5</v>
          </cell>
        </row>
        <row r="5982">
          <cell r="C5982" t="str">
            <v>彭志豪</v>
          </cell>
          <cell r="F5982" t="str">
            <v>M240703R1</v>
          </cell>
          <cell r="J5982">
            <v>45849</v>
          </cell>
          <cell r="K5982">
            <v>3</v>
          </cell>
        </row>
        <row r="5983">
          <cell r="C5983" t="str">
            <v>彭志豪</v>
          </cell>
          <cell r="F5983" t="str">
            <v>M240703R1</v>
          </cell>
          <cell r="J5983">
            <v>45852</v>
          </cell>
          <cell r="K5983">
            <v>4</v>
          </cell>
        </row>
        <row r="5984">
          <cell r="C5984" t="str">
            <v>彭志豪</v>
          </cell>
          <cell r="F5984" t="str">
            <v>M240703R1</v>
          </cell>
          <cell r="J5984">
            <v>45852</v>
          </cell>
          <cell r="K5984">
            <v>3</v>
          </cell>
        </row>
        <row r="5985">
          <cell r="C5985" t="str">
            <v>彭志豪</v>
          </cell>
          <cell r="F5985" t="str">
            <v>K250501R1</v>
          </cell>
          <cell r="J5985">
            <v>45852</v>
          </cell>
          <cell r="K5985">
            <v>1</v>
          </cell>
        </row>
        <row r="5986">
          <cell r="C5986" t="str">
            <v>彭志豪</v>
          </cell>
          <cell r="F5986" t="str">
            <v>M240703R1</v>
          </cell>
          <cell r="J5986">
            <v>45853</v>
          </cell>
          <cell r="K5986">
            <v>5</v>
          </cell>
        </row>
        <row r="5987">
          <cell r="C5987" t="str">
            <v>彭志豪</v>
          </cell>
          <cell r="F5987" t="str">
            <v>K250501R1</v>
          </cell>
          <cell r="J5987">
            <v>45853</v>
          </cell>
          <cell r="K5987">
            <v>3</v>
          </cell>
        </row>
        <row r="5988">
          <cell r="C5988" t="str">
            <v>彭志豪</v>
          </cell>
          <cell r="F5988" t="str">
            <v>M240703R1</v>
          </cell>
          <cell r="J5988">
            <v>45854</v>
          </cell>
          <cell r="K5988">
            <v>8</v>
          </cell>
        </row>
        <row r="5989">
          <cell r="C5989" t="str">
            <v>彭志豪</v>
          </cell>
          <cell r="F5989" t="str">
            <v>M240703R1</v>
          </cell>
          <cell r="J5989">
            <v>45855</v>
          </cell>
          <cell r="K5989">
            <v>5</v>
          </cell>
        </row>
        <row r="5990">
          <cell r="C5990" t="str">
            <v>彭志豪</v>
          </cell>
          <cell r="F5990" t="str">
            <v>K250501R1</v>
          </cell>
          <cell r="J5990">
            <v>45855</v>
          </cell>
          <cell r="K5990">
            <v>3</v>
          </cell>
        </row>
        <row r="5991">
          <cell r="C5991" t="str">
            <v>彭志豪</v>
          </cell>
          <cell r="F5991" t="str">
            <v>M240703R1</v>
          </cell>
          <cell r="J5991">
            <v>45856</v>
          </cell>
          <cell r="K5991">
            <v>6</v>
          </cell>
        </row>
        <row r="5992">
          <cell r="C5992" t="str">
            <v>彭志豪</v>
          </cell>
          <cell r="F5992" t="str">
            <v>K250501R1</v>
          </cell>
          <cell r="J5992">
            <v>45856</v>
          </cell>
          <cell r="K5992">
            <v>2</v>
          </cell>
        </row>
        <row r="5993">
          <cell r="C5993" t="str">
            <v>彭志豪</v>
          </cell>
          <cell r="F5993" t="str">
            <v>M240703R1</v>
          </cell>
          <cell r="J5993">
            <v>45859</v>
          </cell>
          <cell r="K5993">
            <v>5</v>
          </cell>
        </row>
        <row r="5994">
          <cell r="C5994" t="str">
            <v>彭志豪</v>
          </cell>
          <cell r="F5994" t="str">
            <v>K250501R1</v>
          </cell>
          <cell r="J5994">
            <v>45859</v>
          </cell>
          <cell r="K5994">
            <v>3</v>
          </cell>
        </row>
        <row r="5995">
          <cell r="C5995" t="str">
            <v>彭志豪</v>
          </cell>
          <cell r="F5995" t="str">
            <v>M240703R1</v>
          </cell>
          <cell r="J5995">
            <v>45860</v>
          </cell>
          <cell r="K5995">
            <v>5</v>
          </cell>
        </row>
        <row r="5996">
          <cell r="C5996" t="str">
            <v>彭志豪</v>
          </cell>
          <cell r="F5996" t="str">
            <v>K250501R1</v>
          </cell>
          <cell r="J5996">
            <v>45860</v>
          </cell>
          <cell r="K5996">
            <v>3</v>
          </cell>
        </row>
        <row r="5997">
          <cell r="C5997" t="str">
            <v>彭志豪</v>
          </cell>
          <cell r="F5997" t="str">
            <v>M240703R1</v>
          </cell>
          <cell r="J5997">
            <v>45861</v>
          </cell>
          <cell r="K5997">
            <v>5</v>
          </cell>
        </row>
        <row r="5998">
          <cell r="C5998" t="str">
            <v>彭志豪</v>
          </cell>
          <cell r="F5998" t="str">
            <v>K250501R1</v>
          </cell>
          <cell r="J5998">
            <v>45861</v>
          </cell>
          <cell r="K5998">
            <v>3</v>
          </cell>
        </row>
        <row r="5999">
          <cell r="C5999" t="str">
            <v>彭志豪</v>
          </cell>
          <cell r="F5999" t="str">
            <v>M240703R1</v>
          </cell>
          <cell r="J5999">
            <v>45862</v>
          </cell>
          <cell r="K5999">
            <v>4</v>
          </cell>
        </row>
        <row r="6000">
          <cell r="C6000" t="str">
            <v>彭志豪</v>
          </cell>
          <cell r="F6000" t="str">
            <v>K250501R1</v>
          </cell>
          <cell r="J6000">
            <v>45862</v>
          </cell>
          <cell r="K6000">
            <v>4</v>
          </cell>
        </row>
        <row r="6001">
          <cell r="C6001" t="str">
            <v>彭志豪</v>
          </cell>
          <cell r="F6001" t="str">
            <v>M240703R1</v>
          </cell>
          <cell r="J6001">
            <v>45863</v>
          </cell>
          <cell r="K6001">
            <v>4</v>
          </cell>
        </row>
        <row r="6002">
          <cell r="C6002" t="str">
            <v>彭志豪</v>
          </cell>
          <cell r="F6002" t="str">
            <v>K250501R1</v>
          </cell>
          <cell r="J6002">
            <v>45863</v>
          </cell>
          <cell r="K6002">
            <v>4</v>
          </cell>
        </row>
        <row r="6003">
          <cell r="C6003" t="str">
            <v>彭志豪</v>
          </cell>
          <cell r="F6003" t="str">
            <v>M240703R1</v>
          </cell>
          <cell r="J6003">
            <v>45866</v>
          </cell>
          <cell r="K6003">
            <v>6</v>
          </cell>
        </row>
        <row r="6004">
          <cell r="C6004" t="str">
            <v>彭志豪</v>
          </cell>
          <cell r="F6004" t="str">
            <v>K250501R1</v>
          </cell>
          <cell r="J6004">
            <v>45866</v>
          </cell>
          <cell r="K6004">
            <v>2</v>
          </cell>
        </row>
        <row r="6005">
          <cell r="C6005" t="str">
            <v>彭志豪</v>
          </cell>
          <cell r="F6005" t="str">
            <v>M240703R1</v>
          </cell>
          <cell r="J6005">
            <v>45867</v>
          </cell>
          <cell r="K6005">
            <v>2</v>
          </cell>
        </row>
        <row r="6006">
          <cell r="C6006" t="str">
            <v>彭志豪</v>
          </cell>
          <cell r="F6006" t="str">
            <v>M240703R1</v>
          </cell>
          <cell r="J6006">
            <v>45867</v>
          </cell>
          <cell r="K6006">
            <v>6</v>
          </cell>
        </row>
        <row r="6007">
          <cell r="C6007" t="str">
            <v>彭志豪</v>
          </cell>
          <cell r="F6007" t="str">
            <v>M240703R1</v>
          </cell>
          <cell r="J6007">
            <v>45868</v>
          </cell>
          <cell r="K6007">
            <v>1</v>
          </cell>
        </row>
        <row r="6008">
          <cell r="C6008" t="str">
            <v>彭志豪</v>
          </cell>
          <cell r="F6008" t="str">
            <v>M240703R1</v>
          </cell>
          <cell r="J6008">
            <v>45868</v>
          </cell>
          <cell r="K6008">
            <v>7</v>
          </cell>
        </row>
        <row r="6009">
          <cell r="C6009" t="str">
            <v>彭志豪</v>
          </cell>
          <cell r="F6009" t="str">
            <v>M240703R1</v>
          </cell>
          <cell r="J6009">
            <v>45869</v>
          </cell>
          <cell r="K6009">
            <v>2</v>
          </cell>
        </row>
        <row r="6010">
          <cell r="C6010" t="str">
            <v>彭志豪</v>
          </cell>
          <cell r="F6010" t="str">
            <v>M240703R1</v>
          </cell>
          <cell r="J6010">
            <v>45869</v>
          </cell>
          <cell r="K6010">
            <v>6</v>
          </cell>
        </row>
        <row r="6011">
          <cell r="C6011" t="str">
            <v>彭志豪</v>
          </cell>
          <cell r="F6011" t="str">
            <v>M240703R1</v>
          </cell>
          <cell r="J6011">
            <v>45870</v>
          </cell>
          <cell r="K6011">
            <v>5</v>
          </cell>
        </row>
        <row r="6012">
          <cell r="C6012" t="str">
            <v>彭志豪</v>
          </cell>
          <cell r="F6012" t="str">
            <v>K250501R1</v>
          </cell>
          <cell r="J6012">
            <v>45870</v>
          </cell>
          <cell r="K6012">
            <v>3</v>
          </cell>
        </row>
        <row r="6013">
          <cell r="C6013" t="str">
            <v>彭志豪</v>
          </cell>
          <cell r="F6013" t="str">
            <v>M240703R1</v>
          </cell>
          <cell r="J6013">
            <v>45873</v>
          </cell>
          <cell r="K6013">
            <v>5</v>
          </cell>
        </row>
        <row r="6014">
          <cell r="C6014" t="str">
            <v>彭志豪</v>
          </cell>
          <cell r="F6014" t="str">
            <v>K250501R1</v>
          </cell>
          <cell r="J6014">
            <v>45873</v>
          </cell>
          <cell r="K6014">
            <v>3</v>
          </cell>
        </row>
        <row r="6015">
          <cell r="C6015" t="str">
            <v>彭志豪</v>
          </cell>
          <cell r="F6015" t="str">
            <v>M240703R1</v>
          </cell>
          <cell r="J6015">
            <v>45874</v>
          </cell>
          <cell r="K6015">
            <v>8</v>
          </cell>
        </row>
        <row r="6016">
          <cell r="C6016" t="str">
            <v>彭志豪</v>
          </cell>
          <cell r="F6016" t="str">
            <v>M240703R1</v>
          </cell>
          <cell r="J6016">
            <v>45875</v>
          </cell>
          <cell r="K6016">
            <v>8</v>
          </cell>
        </row>
        <row r="6017">
          <cell r="C6017" t="str">
            <v>彭志豪</v>
          </cell>
          <cell r="F6017" t="str">
            <v>M240703R1</v>
          </cell>
          <cell r="J6017">
            <v>45876</v>
          </cell>
          <cell r="K6017">
            <v>8</v>
          </cell>
        </row>
        <row r="6018">
          <cell r="C6018" t="str">
            <v>彭志豪</v>
          </cell>
          <cell r="F6018" t="str">
            <v>M240703R1</v>
          </cell>
          <cell r="J6018">
            <v>45877</v>
          </cell>
          <cell r="K6018">
            <v>8</v>
          </cell>
        </row>
        <row r="6019">
          <cell r="C6019" t="str">
            <v>彭志豪</v>
          </cell>
          <cell r="F6019" t="str">
            <v>M240703R1</v>
          </cell>
          <cell r="J6019">
            <v>45880</v>
          </cell>
          <cell r="K6019">
            <v>7</v>
          </cell>
        </row>
        <row r="6020">
          <cell r="C6020" t="str">
            <v>彭志豪</v>
          </cell>
          <cell r="F6020" t="str">
            <v>K250501R1</v>
          </cell>
          <cell r="J6020">
            <v>45880</v>
          </cell>
          <cell r="K6020">
            <v>1</v>
          </cell>
        </row>
        <row r="6021">
          <cell r="C6021" t="str">
            <v>彭志豪</v>
          </cell>
          <cell r="F6021" t="str">
            <v>M240703R1</v>
          </cell>
          <cell r="J6021">
            <v>45881</v>
          </cell>
          <cell r="K6021">
            <v>6</v>
          </cell>
        </row>
        <row r="6022">
          <cell r="C6022" t="str">
            <v>彭志豪</v>
          </cell>
          <cell r="F6022" t="str">
            <v>K250501R1</v>
          </cell>
          <cell r="J6022">
            <v>45881</v>
          </cell>
          <cell r="K6022">
            <v>2</v>
          </cell>
        </row>
        <row r="6023">
          <cell r="C6023" t="str">
            <v>彭志豪</v>
          </cell>
          <cell r="J6023">
            <v>45882</v>
          </cell>
          <cell r="K6023">
            <v>4</v>
          </cell>
        </row>
        <row r="6024">
          <cell r="C6024" t="str">
            <v>彭志豪</v>
          </cell>
          <cell r="F6024" t="str">
            <v>M240703R1</v>
          </cell>
          <cell r="J6024">
            <v>45882</v>
          </cell>
          <cell r="K6024">
            <v>4</v>
          </cell>
        </row>
        <row r="6025">
          <cell r="C6025" t="str">
            <v>彭志豪</v>
          </cell>
          <cell r="F6025" t="str">
            <v>M240703R1</v>
          </cell>
          <cell r="J6025">
            <v>45883</v>
          </cell>
          <cell r="K6025">
            <v>3</v>
          </cell>
        </row>
        <row r="6026">
          <cell r="C6026" t="str">
            <v>彭志豪</v>
          </cell>
          <cell r="F6026" t="str">
            <v>M240703R1</v>
          </cell>
          <cell r="J6026">
            <v>45883</v>
          </cell>
          <cell r="K6026">
            <v>5</v>
          </cell>
        </row>
        <row r="6027">
          <cell r="C6027" t="str">
            <v>彭志豪</v>
          </cell>
          <cell r="F6027" t="str">
            <v>M240703R1</v>
          </cell>
          <cell r="J6027">
            <v>45884</v>
          </cell>
          <cell r="K6027">
            <v>3</v>
          </cell>
        </row>
        <row r="6028">
          <cell r="C6028" t="str">
            <v>彭志豪</v>
          </cell>
          <cell r="F6028" t="str">
            <v>M240703R1</v>
          </cell>
          <cell r="J6028">
            <v>45884</v>
          </cell>
          <cell r="K6028">
            <v>5</v>
          </cell>
        </row>
        <row r="6029">
          <cell r="C6029" t="str">
            <v>彭志豪</v>
          </cell>
          <cell r="F6029" t="str">
            <v>M240703R1</v>
          </cell>
          <cell r="J6029">
            <v>45887</v>
          </cell>
          <cell r="K6029">
            <v>8</v>
          </cell>
        </row>
        <row r="6030">
          <cell r="C6030" t="str">
            <v>彭志豪</v>
          </cell>
          <cell r="F6030" t="str">
            <v>M240703R1</v>
          </cell>
          <cell r="J6030">
            <v>45888</v>
          </cell>
          <cell r="K6030">
            <v>3</v>
          </cell>
        </row>
        <row r="6031">
          <cell r="C6031" t="str">
            <v>彭志豪</v>
          </cell>
          <cell r="F6031" t="str">
            <v>M240703R1</v>
          </cell>
          <cell r="J6031">
            <v>45888</v>
          </cell>
          <cell r="K6031">
            <v>2</v>
          </cell>
        </row>
        <row r="6032">
          <cell r="C6032" t="str">
            <v>彭志豪</v>
          </cell>
          <cell r="F6032" t="str">
            <v>K250501R1</v>
          </cell>
          <cell r="J6032">
            <v>45888</v>
          </cell>
          <cell r="K6032">
            <v>3</v>
          </cell>
        </row>
        <row r="6033">
          <cell r="C6033" t="str">
            <v>彭志豪</v>
          </cell>
          <cell r="F6033" t="str">
            <v>M240703R1</v>
          </cell>
          <cell r="J6033">
            <v>45889</v>
          </cell>
          <cell r="K6033">
            <v>3</v>
          </cell>
        </row>
        <row r="6034">
          <cell r="C6034" t="str">
            <v>彭志豪</v>
          </cell>
          <cell r="F6034" t="str">
            <v>K250501R1</v>
          </cell>
          <cell r="J6034">
            <v>45889</v>
          </cell>
          <cell r="K6034">
            <v>5</v>
          </cell>
        </row>
        <row r="6035">
          <cell r="C6035" t="str">
            <v>彭志豪</v>
          </cell>
          <cell r="F6035" t="str">
            <v>M240703R1</v>
          </cell>
          <cell r="J6035">
            <v>45890</v>
          </cell>
          <cell r="K6035">
            <v>8</v>
          </cell>
        </row>
        <row r="6036">
          <cell r="C6036" t="str">
            <v>彭志豪</v>
          </cell>
          <cell r="F6036" t="str">
            <v>M240703R1</v>
          </cell>
          <cell r="J6036">
            <v>45891</v>
          </cell>
          <cell r="K6036">
            <v>4</v>
          </cell>
        </row>
        <row r="6037">
          <cell r="C6037" t="str">
            <v>彭志豪</v>
          </cell>
          <cell r="F6037" t="str">
            <v>M240703R1</v>
          </cell>
          <cell r="J6037">
            <v>45891</v>
          </cell>
          <cell r="K6037">
            <v>4</v>
          </cell>
        </row>
        <row r="6038">
          <cell r="C6038" t="str">
            <v>彭志豪</v>
          </cell>
          <cell r="F6038" t="str">
            <v>M240703R1</v>
          </cell>
          <cell r="J6038">
            <v>45894</v>
          </cell>
          <cell r="K6038">
            <v>6</v>
          </cell>
        </row>
        <row r="6039">
          <cell r="C6039" t="str">
            <v>彭志豪</v>
          </cell>
          <cell r="F6039" t="str">
            <v>K250501R1</v>
          </cell>
          <cell r="J6039">
            <v>45894</v>
          </cell>
          <cell r="K6039">
            <v>2</v>
          </cell>
        </row>
        <row r="6040">
          <cell r="C6040" t="str">
            <v>彭志豪</v>
          </cell>
          <cell r="F6040" t="str">
            <v>M240703R1</v>
          </cell>
          <cell r="J6040">
            <v>45895</v>
          </cell>
          <cell r="K6040">
            <v>3</v>
          </cell>
        </row>
        <row r="6041">
          <cell r="C6041" t="str">
            <v>彭志豪</v>
          </cell>
          <cell r="F6041" t="str">
            <v>M240703R1</v>
          </cell>
          <cell r="J6041">
            <v>45895</v>
          </cell>
          <cell r="K6041">
            <v>2</v>
          </cell>
        </row>
        <row r="6042">
          <cell r="C6042" t="str">
            <v>彭志豪</v>
          </cell>
          <cell r="F6042" t="str">
            <v>D250702R1</v>
          </cell>
          <cell r="J6042">
            <v>45895</v>
          </cell>
          <cell r="K6042">
            <v>3</v>
          </cell>
        </row>
        <row r="6043">
          <cell r="C6043" t="str">
            <v>彭志豪</v>
          </cell>
          <cell r="F6043" t="str">
            <v>M240703R1</v>
          </cell>
          <cell r="J6043">
            <v>45896</v>
          </cell>
          <cell r="K6043">
            <v>5</v>
          </cell>
        </row>
        <row r="6044">
          <cell r="C6044" t="str">
            <v>彭志豪</v>
          </cell>
          <cell r="F6044" t="str">
            <v>M240703R1</v>
          </cell>
          <cell r="J6044">
            <v>45896</v>
          </cell>
          <cell r="K6044">
            <v>2</v>
          </cell>
        </row>
        <row r="6045">
          <cell r="C6045" t="str">
            <v>彭志豪</v>
          </cell>
          <cell r="F6045" t="str">
            <v>D250702R1</v>
          </cell>
          <cell r="J6045">
            <v>45896</v>
          </cell>
          <cell r="K6045">
            <v>1</v>
          </cell>
        </row>
        <row r="6046">
          <cell r="C6046" t="str">
            <v>彭志豪</v>
          </cell>
          <cell r="J6046">
            <v>45897</v>
          </cell>
          <cell r="K6046">
            <v>2</v>
          </cell>
        </row>
        <row r="6047">
          <cell r="C6047" t="str">
            <v>彭志豪</v>
          </cell>
          <cell r="F6047" t="str">
            <v>M240703R1</v>
          </cell>
          <cell r="J6047">
            <v>45897</v>
          </cell>
          <cell r="K6047">
            <v>4</v>
          </cell>
        </row>
        <row r="6048">
          <cell r="C6048" t="str">
            <v>彭志豪</v>
          </cell>
          <cell r="F6048" t="str">
            <v>D250702R1</v>
          </cell>
          <cell r="J6048">
            <v>45897</v>
          </cell>
          <cell r="K6048">
            <v>2</v>
          </cell>
        </row>
        <row r="6049">
          <cell r="C6049" t="str">
            <v>彭志豪</v>
          </cell>
          <cell r="F6049" t="str">
            <v>M240703R1</v>
          </cell>
          <cell r="J6049">
            <v>45898</v>
          </cell>
          <cell r="K6049">
            <v>3</v>
          </cell>
        </row>
        <row r="6050">
          <cell r="C6050" t="str">
            <v>彭志豪</v>
          </cell>
          <cell r="F6050" t="str">
            <v>K250501R1</v>
          </cell>
          <cell r="J6050">
            <v>45898</v>
          </cell>
          <cell r="K6050">
            <v>3</v>
          </cell>
        </row>
        <row r="6051">
          <cell r="C6051" t="str">
            <v>彭志豪</v>
          </cell>
          <cell r="F6051" t="str">
            <v>D250702R1</v>
          </cell>
          <cell r="J6051">
            <v>45898</v>
          </cell>
          <cell r="K6051">
            <v>2</v>
          </cell>
        </row>
        <row r="6052">
          <cell r="C6052" t="str">
            <v>彭志豪</v>
          </cell>
          <cell r="J6052">
            <v>45901</v>
          </cell>
          <cell r="K6052">
            <v>8</v>
          </cell>
        </row>
        <row r="6053">
          <cell r="C6053" t="str">
            <v>彭志豪</v>
          </cell>
          <cell r="J6053">
            <v>45902</v>
          </cell>
          <cell r="K6053">
            <v>2</v>
          </cell>
        </row>
        <row r="6054">
          <cell r="C6054" t="str">
            <v>彭志豪</v>
          </cell>
          <cell r="F6054" t="str">
            <v>M240703R1</v>
          </cell>
          <cell r="J6054">
            <v>45902</v>
          </cell>
          <cell r="K6054">
            <v>4</v>
          </cell>
        </row>
        <row r="6055">
          <cell r="C6055" t="str">
            <v>彭志豪</v>
          </cell>
          <cell r="F6055" t="str">
            <v>M240703R1</v>
          </cell>
          <cell r="J6055">
            <v>45902</v>
          </cell>
          <cell r="K6055">
            <v>2</v>
          </cell>
        </row>
        <row r="6056">
          <cell r="C6056" t="str">
            <v>彭志豪</v>
          </cell>
          <cell r="J6056">
            <v>45903</v>
          </cell>
          <cell r="K6056">
            <v>1</v>
          </cell>
        </row>
        <row r="6057">
          <cell r="C6057" t="str">
            <v>彭志豪</v>
          </cell>
          <cell r="F6057" t="str">
            <v>M240703R1</v>
          </cell>
          <cell r="J6057">
            <v>45903</v>
          </cell>
          <cell r="K6057">
            <v>3</v>
          </cell>
        </row>
        <row r="6058">
          <cell r="C6058" t="str">
            <v>彭志豪</v>
          </cell>
          <cell r="F6058" t="str">
            <v>M240703R1</v>
          </cell>
          <cell r="J6058">
            <v>45903</v>
          </cell>
          <cell r="K6058">
            <v>2</v>
          </cell>
        </row>
        <row r="6059">
          <cell r="C6059" t="str">
            <v>彭志豪</v>
          </cell>
          <cell r="F6059" t="str">
            <v>K250501R1</v>
          </cell>
          <cell r="J6059">
            <v>45903</v>
          </cell>
          <cell r="K6059">
            <v>2</v>
          </cell>
        </row>
        <row r="6060">
          <cell r="C6060" t="str">
            <v>彭志豪</v>
          </cell>
          <cell r="F6060" t="str">
            <v>M240703R1</v>
          </cell>
          <cell r="J6060">
            <v>45904</v>
          </cell>
          <cell r="K6060">
            <v>5</v>
          </cell>
        </row>
        <row r="6061">
          <cell r="C6061" t="str">
            <v>彭志豪</v>
          </cell>
          <cell r="F6061" t="str">
            <v>M240703R1</v>
          </cell>
          <cell r="J6061">
            <v>45904</v>
          </cell>
          <cell r="K6061">
            <v>1</v>
          </cell>
        </row>
        <row r="6062">
          <cell r="C6062" t="str">
            <v>彭志豪</v>
          </cell>
          <cell r="F6062" t="str">
            <v>K250501R1</v>
          </cell>
          <cell r="J6062">
            <v>45904</v>
          </cell>
          <cell r="K6062">
            <v>2</v>
          </cell>
        </row>
        <row r="6063">
          <cell r="C6063" t="str">
            <v>彭志豪</v>
          </cell>
          <cell r="F6063" t="str">
            <v>M240703R1</v>
          </cell>
          <cell r="J6063">
            <v>45905</v>
          </cell>
          <cell r="K6063">
            <v>5</v>
          </cell>
        </row>
        <row r="6064">
          <cell r="C6064" t="str">
            <v>彭志豪</v>
          </cell>
          <cell r="F6064" t="str">
            <v>M240703R1</v>
          </cell>
          <cell r="J6064">
            <v>45905</v>
          </cell>
          <cell r="K6064">
            <v>3</v>
          </cell>
        </row>
        <row r="6065">
          <cell r="C6065" t="str">
            <v>彭志豪</v>
          </cell>
          <cell r="F6065" t="str">
            <v>M240703R1</v>
          </cell>
          <cell r="J6065">
            <v>45908</v>
          </cell>
          <cell r="K6065">
            <v>5</v>
          </cell>
        </row>
        <row r="6066">
          <cell r="C6066" t="str">
            <v>彭志豪</v>
          </cell>
          <cell r="F6066" t="str">
            <v>K250501R1</v>
          </cell>
          <cell r="J6066">
            <v>45908</v>
          </cell>
          <cell r="K6066">
            <v>2</v>
          </cell>
        </row>
        <row r="6067">
          <cell r="C6067" t="str">
            <v>彭志豪</v>
          </cell>
          <cell r="F6067" t="str">
            <v>D250702R1</v>
          </cell>
          <cell r="J6067">
            <v>45908</v>
          </cell>
          <cell r="K6067">
            <v>1</v>
          </cell>
        </row>
        <row r="6068">
          <cell r="C6068" t="str">
            <v>彭志豪</v>
          </cell>
          <cell r="F6068" t="str">
            <v>M240703R1</v>
          </cell>
          <cell r="J6068">
            <v>45909</v>
          </cell>
          <cell r="K6068">
            <v>5</v>
          </cell>
        </row>
        <row r="6069">
          <cell r="C6069" t="str">
            <v>彭志豪</v>
          </cell>
          <cell r="F6069" t="str">
            <v>D250702R1</v>
          </cell>
          <cell r="J6069">
            <v>45909</v>
          </cell>
          <cell r="K6069">
            <v>3</v>
          </cell>
        </row>
        <row r="6070">
          <cell r="C6070" t="str">
            <v>彭志豪</v>
          </cell>
          <cell r="F6070" t="str">
            <v>M240703R1</v>
          </cell>
          <cell r="J6070">
            <v>45910</v>
          </cell>
          <cell r="K6070">
            <v>2</v>
          </cell>
        </row>
        <row r="6071">
          <cell r="C6071" t="str">
            <v>彭志豪</v>
          </cell>
          <cell r="F6071" t="str">
            <v>M240703R1</v>
          </cell>
          <cell r="J6071">
            <v>45910</v>
          </cell>
          <cell r="K6071">
            <v>6</v>
          </cell>
        </row>
        <row r="6072">
          <cell r="C6072" t="str">
            <v>彭志豪</v>
          </cell>
          <cell r="F6072" t="str">
            <v>M240703R1</v>
          </cell>
          <cell r="J6072">
            <v>45911</v>
          </cell>
          <cell r="K6072">
            <v>3</v>
          </cell>
        </row>
        <row r="6073">
          <cell r="C6073" t="str">
            <v>彭志豪</v>
          </cell>
          <cell r="F6073" t="str">
            <v>M240703R1</v>
          </cell>
          <cell r="J6073">
            <v>45911</v>
          </cell>
          <cell r="K6073">
            <v>5</v>
          </cell>
        </row>
        <row r="6074">
          <cell r="C6074" t="str">
            <v>彭志豪</v>
          </cell>
          <cell r="F6074" t="str">
            <v>M240703R1</v>
          </cell>
          <cell r="J6074">
            <v>45912</v>
          </cell>
          <cell r="K6074">
            <v>6</v>
          </cell>
        </row>
        <row r="6075">
          <cell r="C6075" t="str">
            <v>彭志豪</v>
          </cell>
          <cell r="F6075" t="str">
            <v>D250702R1</v>
          </cell>
          <cell r="J6075">
            <v>45912</v>
          </cell>
          <cell r="K6075">
            <v>2</v>
          </cell>
        </row>
        <row r="6076">
          <cell r="C6076" t="str">
            <v>彭志豪</v>
          </cell>
          <cell r="F6076" t="str">
            <v>M240703R1</v>
          </cell>
          <cell r="J6076">
            <v>45915</v>
          </cell>
          <cell r="K6076">
            <v>1</v>
          </cell>
        </row>
        <row r="6077">
          <cell r="C6077" t="str">
            <v>彭志豪</v>
          </cell>
          <cell r="F6077" t="str">
            <v>M240703R1</v>
          </cell>
          <cell r="J6077">
            <v>45915</v>
          </cell>
          <cell r="K6077">
            <v>5</v>
          </cell>
        </row>
        <row r="6078">
          <cell r="C6078" t="str">
            <v>彭志豪</v>
          </cell>
          <cell r="F6078" t="str">
            <v>K250501R1</v>
          </cell>
          <cell r="J6078">
            <v>45915</v>
          </cell>
          <cell r="K6078">
            <v>2</v>
          </cell>
        </row>
        <row r="6079">
          <cell r="C6079" t="str">
            <v>彭志豪</v>
          </cell>
          <cell r="F6079" t="str">
            <v>M240703R1</v>
          </cell>
          <cell r="J6079">
            <v>45916</v>
          </cell>
          <cell r="K6079">
            <v>1</v>
          </cell>
        </row>
        <row r="6080">
          <cell r="C6080" t="str">
            <v>彭志豪</v>
          </cell>
          <cell r="F6080" t="str">
            <v>M240703R1</v>
          </cell>
          <cell r="J6080">
            <v>45916</v>
          </cell>
          <cell r="K6080">
            <v>7</v>
          </cell>
        </row>
        <row r="6081">
          <cell r="C6081" t="str">
            <v>彭志豪</v>
          </cell>
          <cell r="F6081" t="str">
            <v>M240703R1</v>
          </cell>
          <cell r="J6081">
            <v>45917</v>
          </cell>
          <cell r="K6081">
            <v>5</v>
          </cell>
        </row>
        <row r="6082">
          <cell r="C6082" t="str">
            <v>彭志豪</v>
          </cell>
          <cell r="F6082" t="str">
            <v>K250501R1</v>
          </cell>
          <cell r="J6082">
            <v>45917</v>
          </cell>
          <cell r="K6082">
            <v>3</v>
          </cell>
        </row>
        <row r="6083">
          <cell r="C6083" t="str">
            <v>彭志豪</v>
          </cell>
          <cell r="J6083">
            <v>45918</v>
          </cell>
          <cell r="K6083">
            <v>4</v>
          </cell>
        </row>
        <row r="6084">
          <cell r="C6084" t="str">
            <v>彭志豪</v>
          </cell>
          <cell r="F6084" t="str">
            <v>K250501R1</v>
          </cell>
          <cell r="J6084">
            <v>45918</v>
          </cell>
          <cell r="K6084">
            <v>4</v>
          </cell>
        </row>
        <row r="6085">
          <cell r="C6085" t="str">
            <v>彭志豪</v>
          </cell>
          <cell r="F6085" t="str">
            <v>M240703R1</v>
          </cell>
          <cell r="J6085">
            <v>45919</v>
          </cell>
          <cell r="K6085">
            <v>8</v>
          </cell>
        </row>
        <row r="6086">
          <cell r="C6086" t="str">
            <v>彭志豪</v>
          </cell>
          <cell r="J6086">
            <v>45922</v>
          </cell>
          <cell r="K6086">
            <v>1</v>
          </cell>
        </row>
        <row r="6087">
          <cell r="C6087" t="str">
            <v>彭志豪</v>
          </cell>
          <cell r="F6087" t="str">
            <v>M240703R1</v>
          </cell>
          <cell r="J6087">
            <v>45922</v>
          </cell>
          <cell r="K6087">
            <v>5</v>
          </cell>
        </row>
        <row r="6088">
          <cell r="C6088" t="str">
            <v>彭志豪</v>
          </cell>
          <cell r="F6088" t="str">
            <v>K250501R1</v>
          </cell>
          <cell r="J6088">
            <v>45922</v>
          </cell>
          <cell r="K6088">
            <v>2</v>
          </cell>
        </row>
        <row r="6089">
          <cell r="C6089" t="str">
            <v>彭志豪</v>
          </cell>
          <cell r="F6089" t="str">
            <v>M240703R1</v>
          </cell>
          <cell r="J6089">
            <v>45923</v>
          </cell>
          <cell r="K6089">
            <v>2</v>
          </cell>
        </row>
        <row r="6090">
          <cell r="C6090" t="str">
            <v>彭志豪</v>
          </cell>
          <cell r="F6090" t="str">
            <v>M240703R1</v>
          </cell>
          <cell r="J6090">
            <v>45923</v>
          </cell>
          <cell r="K6090">
            <v>3</v>
          </cell>
        </row>
        <row r="6091">
          <cell r="C6091" t="str">
            <v>彭志豪</v>
          </cell>
          <cell r="F6091" t="str">
            <v>K250501R1</v>
          </cell>
          <cell r="J6091">
            <v>45923</v>
          </cell>
          <cell r="K6091">
            <v>1</v>
          </cell>
        </row>
        <row r="6092">
          <cell r="C6092" t="str">
            <v>彭志豪</v>
          </cell>
          <cell r="F6092" t="str">
            <v>D250702R1</v>
          </cell>
          <cell r="J6092">
            <v>45923</v>
          </cell>
          <cell r="K6092">
            <v>2</v>
          </cell>
        </row>
        <row r="6093">
          <cell r="C6093" t="str">
            <v>彭志豪</v>
          </cell>
          <cell r="F6093" t="str">
            <v>M240703R1</v>
          </cell>
          <cell r="J6093">
            <v>45924</v>
          </cell>
          <cell r="K6093">
            <v>2</v>
          </cell>
        </row>
        <row r="6094">
          <cell r="C6094" t="str">
            <v>彭志豪</v>
          </cell>
          <cell r="F6094" t="str">
            <v>K250501R1</v>
          </cell>
          <cell r="J6094">
            <v>45924</v>
          </cell>
          <cell r="K6094">
            <v>4</v>
          </cell>
        </row>
        <row r="6095">
          <cell r="C6095" t="str">
            <v>彭志豪</v>
          </cell>
          <cell r="F6095" t="str">
            <v>D250702R1</v>
          </cell>
          <cell r="J6095">
            <v>45924</v>
          </cell>
          <cell r="K6095">
            <v>2</v>
          </cell>
        </row>
        <row r="6096">
          <cell r="C6096" t="str">
            <v>彭志豪</v>
          </cell>
          <cell r="F6096" t="str">
            <v>M240703R1</v>
          </cell>
          <cell r="J6096">
            <v>45925</v>
          </cell>
          <cell r="K6096">
            <v>2</v>
          </cell>
        </row>
        <row r="6097">
          <cell r="C6097" t="str">
            <v>彭志豪</v>
          </cell>
          <cell r="F6097" t="str">
            <v>K250501R1</v>
          </cell>
          <cell r="J6097">
            <v>45925</v>
          </cell>
          <cell r="K6097">
            <v>2</v>
          </cell>
        </row>
        <row r="6098">
          <cell r="C6098" t="str">
            <v>彭志豪</v>
          </cell>
          <cell r="F6098" t="str">
            <v>D250702R1</v>
          </cell>
          <cell r="J6098">
            <v>45925</v>
          </cell>
          <cell r="K6098">
            <v>4</v>
          </cell>
        </row>
        <row r="6099">
          <cell r="C6099" t="str">
            <v>彭志豪</v>
          </cell>
          <cell r="F6099" t="str">
            <v>M240703R1</v>
          </cell>
          <cell r="J6099">
            <v>45926</v>
          </cell>
          <cell r="K6099">
            <v>2</v>
          </cell>
        </row>
        <row r="6100">
          <cell r="C6100" t="str">
            <v>彭志豪</v>
          </cell>
          <cell r="F6100" t="str">
            <v>M240703R1</v>
          </cell>
          <cell r="J6100">
            <v>45926</v>
          </cell>
          <cell r="K6100">
            <v>4</v>
          </cell>
        </row>
        <row r="6101">
          <cell r="C6101" t="str">
            <v>彭志豪</v>
          </cell>
          <cell r="F6101" t="str">
            <v>K250501R1</v>
          </cell>
          <cell r="J6101">
            <v>45926</v>
          </cell>
          <cell r="K6101">
            <v>2</v>
          </cell>
        </row>
        <row r="6102">
          <cell r="C6102" t="str">
            <v>彭志豪</v>
          </cell>
          <cell r="F6102" t="str">
            <v>M240703R1</v>
          </cell>
          <cell r="J6102">
            <v>45930</v>
          </cell>
          <cell r="K6102">
            <v>6</v>
          </cell>
        </row>
        <row r="6103">
          <cell r="C6103" t="str">
            <v>彭志豪</v>
          </cell>
          <cell r="F6103" t="str">
            <v>D250702R1</v>
          </cell>
          <cell r="J6103">
            <v>45930</v>
          </cell>
          <cell r="K6103">
            <v>2</v>
          </cell>
        </row>
        <row r="6104">
          <cell r="C6104" t="str">
            <v>彭志豪</v>
          </cell>
          <cell r="F6104" t="str">
            <v>M240703R1</v>
          </cell>
          <cell r="J6104">
            <v>45931</v>
          </cell>
          <cell r="K6104">
            <v>2</v>
          </cell>
        </row>
        <row r="6105">
          <cell r="C6105" t="str">
            <v>彭志豪</v>
          </cell>
          <cell r="F6105" t="str">
            <v>D250702R1</v>
          </cell>
          <cell r="J6105">
            <v>45931</v>
          </cell>
          <cell r="K6105">
            <v>6</v>
          </cell>
        </row>
        <row r="6106">
          <cell r="C6106" t="str">
            <v>彭志豪</v>
          </cell>
          <cell r="F6106" t="str">
            <v>M240703R1</v>
          </cell>
          <cell r="J6106">
            <v>45932</v>
          </cell>
          <cell r="K6106">
            <v>8</v>
          </cell>
        </row>
        <row r="6107">
          <cell r="C6107" t="str">
            <v>彭志豪</v>
          </cell>
          <cell r="F6107" t="str">
            <v>M240703R1</v>
          </cell>
          <cell r="J6107">
            <v>45933</v>
          </cell>
          <cell r="K6107">
            <v>6</v>
          </cell>
        </row>
        <row r="6108">
          <cell r="C6108" t="str">
            <v>彭志豪</v>
          </cell>
          <cell r="F6108" t="str">
            <v>D250702R1</v>
          </cell>
          <cell r="J6108">
            <v>45933</v>
          </cell>
          <cell r="K6108">
            <v>2</v>
          </cell>
        </row>
        <row r="6109">
          <cell r="C6109" t="str">
            <v>彭志豪</v>
          </cell>
          <cell r="F6109" t="str">
            <v>M240703R1</v>
          </cell>
          <cell r="J6109">
            <v>45937</v>
          </cell>
          <cell r="K6109">
            <v>1</v>
          </cell>
        </row>
        <row r="6110">
          <cell r="C6110" t="str">
            <v>彭志豪</v>
          </cell>
          <cell r="F6110" t="str">
            <v>D250702R1</v>
          </cell>
          <cell r="J6110">
            <v>45937</v>
          </cell>
          <cell r="K6110">
            <v>3</v>
          </cell>
        </row>
        <row r="6111">
          <cell r="C6111" t="str">
            <v>彭志豪</v>
          </cell>
          <cell r="F6111" t="str">
            <v>M251001R1</v>
          </cell>
          <cell r="J6111">
            <v>45938</v>
          </cell>
          <cell r="K6111">
            <v>5.5</v>
          </cell>
        </row>
        <row r="6112">
          <cell r="C6112" t="str">
            <v>彭志豪</v>
          </cell>
          <cell r="F6112" t="str">
            <v>D250702R1</v>
          </cell>
          <cell r="J6112">
            <v>45938</v>
          </cell>
          <cell r="K6112">
            <v>2.5</v>
          </cell>
        </row>
        <row r="6113">
          <cell r="C6113" t="str">
            <v>彭志豪</v>
          </cell>
          <cell r="F6113" t="str">
            <v>M251001R1</v>
          </cell>
          <cell r="J6113">
            <v>45939</v>
          </cell>
          <cell r="K6113">
            <v>8</v>
          </cell>
        </row>
        <row r="6114">
          <cell r="C6114" t="str">
            <v>彭志豪</v>
          </cell>
          <cell r="J6114">
            <v>45943</v>
          </cell>
          <cell r="K6114">
            <v>8</v>
          </cell>
        </row>
        <row r="6115">
          <cell r="C6115" t="str">
            <v>彭志豪</v>
          </cell>
          <cell r="F6115" t="str">
            <v>M251001R1</v>
          </cell>
          <cell r="J6115">
            <v>45944</v>
          </cell>
          <cell r="K6115">
            <v>6</v>
          </cell>
        </row>
        <row r="6116">
          <cell r="C6116" t="str">
            <v>彭志豪</v>
          </cell>
          <cell r="F6116" t="str">
            <v>K250501R1</v>
          </cell>
          <cell r="J6116">
            <v>45944</v>
          </cell>
          <cell r="K6116">
            <v>2</v>
          </cell>
        </row>
        <row r="6117">
          <cell r="C6117" t="str">
            <v>彭志豪</v>
          </cell>
          <cell r="F6117" t="str">
            <v>M251001R1</v>
          </cell>
          <cell r="J6117">
            <v>45945</v>
          </cell>
          <cell r="K6117">
            <v>5</v>
          </cell>
        </row>
        <row r="6118">
          <cell r="C6118" t="str">
            <v>彭志豪</v>
          </cell>
          <cell r="F6118" t="str">
            <v>K250501R1</v>
          </cell>
          <cell r="J6118">
            <v>45945</v>
          </cell>
          <cell r="K6118">
            <v>3</v>
          </cell>
        </row>
        <row r="6119">
          <cell r="C6119" t="str">
            <v>彭志豪</v>
          </cell>
          <cell r="F6119" t="str">
            <v>M251001R1</v>
          </cell>
          <cell r="J6119">
            <v>45946</v>
          </cell>
          <cell r="K6119">
            <v>3</v>
          </cell>
        </row>
        <row r="6120">
          <cell r="C6120" t="str">
            <v>彭志豪</v>
          </cell>
          <cell r="F6120" t="str">
            <v>M251001R1</v>
          </cell>
          <cell r="J6120">
            <v>45946</v>
          </cell>
          <cell r="K6120">
            <v>5</v>
          </cell>
        </row>
        <row r="6121">
          <cell r="C6121" t="str">
            <v>彭志豪</v>
          </cell>
          <cell r="F6121" t="str">
            <v>M251001R1</v>
          </cell>
          <cell r="J6121">
            <v>45947</v>
          </cell>
          <cell r="K6121">
            <v>3</v>
          </cell>
        </row>
        <row r="6122">
          <cell r="C6122" t="str">
            <v>彭志豪</v>
          </cell>
          <cell r="F6122" t="str">
            <v>M251001R1</v>
          </cell>
          <cell r="J6122">
            <v>45947</v>
          </cell>
          <cell r="K6122">
            <v>5</v>
          </cell>
        </row>
        <row r="6123">
          <cell r="C6123" t="str">
            <v>彭志豪</v>
          </cell>
          <cell r="F6123" t="str">
            <v>M251001R1</v>
          </cell>
          <cell r="J6123">
            <v>45950</v>
          </cell>
          <cell r="K6123">
            <v>4</v>
          </cell>
        </row>
        <row r="6124">
          <cell r="C6124" t="str">
            <v>彭志豪</v>
          </cell>
          <cell r="F6124" t="str">
            <v>K250501R1</v>
          </cell>
          <cell r="J6124">
            <v>45950</v>
          </cell>
          <cell r="K6124">
            <v>4</v>
          </cell>
        </row>
        <row r="6125">
          <cell r="C6125" t="str">
            <v>彭志豪</v>
          </cell>
          <cell r="F6125" t="str">
            <v>M251001R1</v>
          </cell>
          <cell r="J6125">
            <v>45951</v>
          </cell>
          <cell r="K6125">
            <v>2</v>
          </cell>
        </row>
        <row r="6126">
          <cell r="C6126" t="str">
            <v>彭志豪</v>
          </cell>
          <cell r="F6126" t="str">
            <v>M251001R1</v>
          </cell>
          <cell r="J6126">
            <v>45951</v>
          </cell>
          <cell r="K6126">
            <v>3</v>
          </cell>
        </row>
        <row r="6127">
          <cell r="C6127" t="str">
            <v>彭志豪</v>
          </cell>
          <cell r="F6127" t="str">
            <v>K250501R1</v>
          </cell>
          <cell r="J6127">
            <v>45951</v>
          </cell>
          <cell r="K6127">
            <v>3</v>
          </cell>
        </row>
        <row r="6128">
          <cell r="C6128" t="str">
            <v>彭志豪</v>
          </cell>
          <cell r="J6128">
            <v>45952</v>
          </cell>
          <cell r="K6128">
            <v>4</v>
          </cell>
        </row>
        <row r="6129">
          <cell r="C6129" t="str">
            <v>彭志豪</v>
          </cell>
          <cell r="F6129" t="str">
            <v>M251001R1</v>
          </cell>
          <cell r="J6129">
            <v>45952</v>
          </cell>
          <cell r="K6129">
            <v>4</v>
          </cell>
        </row>
        <row r="6130">
          <cell r="C6130" t="str">
            <v>彭志豪</v>
          </cell>
          <cell r="F6130" t="str">
            <v>M251001R1</v>
          </cell>
          <cell r="J6130">
            <v>45953</v>
          </cell>
          <cell r="K6130">
            <v>5</v>
          </cell>
        </row>
        <row r="6131">
          <cell r="C6131" t="str">
            <v>彭志豪</v>
          </cell>
          <cell r="F6131" t="str">
            <v>K250501R1</v>
          </cell>
          <cell r="J6131">
            <v>45953</v>
          </cell>
          <cell r="K6131">
            <v>3</v>
          </cell>
        </row>
        <row r="6132">
          <cell r="C6132" t="str">
            <v>彭志豪</v>
          </cell>
          <cell r="F6132" t="str">
            <v>M251001R1</v>
          </cell>
          <cell r="J6132">
            <v>45957</v>
          </cell>
          <cell r="K6132">
            <v>2</v>
          </cell>
        </row>
        <row r="6133">
          <cell r="C6133" t="str">
            <v>彭志豪</v>
          </cell>
          <cell r="F6133" t="str">
            <v>M251001R1</v>
          </cell>
          <cell r="J6133">
            <v>45957</v>
          </cell>
          <cell r="K6133">
            <v>4</v>
          </cell>
        </row>
        <row r="6134">
          <cell r="C6134" t="str">
            <v>彭志豪</v>
          </cell>
          <cell r="F6134" t="str">
            <v>K250501R1</v>
          </cell>
          <cell r="J6134">
            <v>45957</v>
          </cell>
          <cell r="K6134">
            <v>2</v>
          </cell>
        </row>
        <row r="6135">
          <cell r="C6135" t="str">
            <v>彭志豪</v>
          </cell>
          <cell r="F6135" t="str">
            <v>M251001R1</v>
          </cell>
          <cell r="J6135">
            <v>45958</v>
          </cell>
          <cell r="K6135">
            <v>8</v>
          </cell>
        </row>
        <row r="6136">
          <cell r="C6136" t="str">
            <v>彭志豪</v>
          </cell>
          <cell r="F6136" t="str">
            <v>M251001R1</v>
          </cell>
          <cell r="J6136">
            <v>45959</v>
          </cell>
          <cell r="K6136">
            <v>8</v>
          </cell>
        </row>
        <row r="6137">
          <cell r="C6137" t="str">
            <v>彭志豪</v>
          </cell>
          <cell r="F6137" t="str">
            <v>M251001R1</v>
          </cell>
          <cell r="J6137">
            <v>45960</v>
          </cell>
          <cell r="K6137">
            <v>8</v>
          </cell>
        </row>
        <row r="6138">
          <cell r="C6138" t="str">
            <v>彭志豪</v>
          </cell>
          <cell r="F6138" t="str">
            <v>M251001R1</v>
          </cell>
          <cell r="J6138">
            <v>45961</v>
          </cell>
          <cell r="K6138">
            <v>4</v>
          </cell>
        </row>
        <row r="6139">
          <cell r="C6139" t="str">
            <v>彭志豪</v>
          </cell>
          <cell r="F6139" t="str">
            <v>K250501R1</v>
          </cell>
          <cell r="J6139">
            <v>45961</v>
          </cell>
          <cell r="K6139">
            <v>4</v>
          </cell>
        </row>
        <row r="6140">
          <cell r="C6140" t="str">
            <v>彭志豪</v>
          </cell>
          <cell r="F6140" t="str">
            <v>M251001R1</v>
          </cell>
          <cell r="J6140">
            <v>45964</v>
          </cell>
          <cell r="K6140">
            <v>4</v>
          </cell>
        </row>
        <row r="6141">
          <cell r="C6141" t="str">
            <v>彭志豪</v>
          </cell>
          <cell r="F6141" t="str">
            <v>K250501R1</v>
          </cell>
          <cell r="J6141">
            <v>45964</v>
          </cell>
          <cell r="K6141">
            <v>4</v>
          </cell>
        </row>
        <row r="6142">
          <cell r="C6142" t="str">
            <v>彭志豪</v>
          </cell>
          <cell r="F6142" t="str">
            <v>M251001R1</v>
          </cell>
          <cell r="J6142">
            <v>45965</v>
          </cell>
          <cell r="K6142">
            <v>8</v>
          </cell>
        </row>
        <row r="6143">
          <cell r="C6143" t="str">
            <v>彭志豪</v>
          </cell>
          <cell r="F6143" t="str">
            <v>M251001R1</v>
          </cell>
          <cell r="J6143">
            <v>45966</v>
          </cell>
          <cell r="K6143">
            <v>4</v>
          </cell>
        </row>
        <row r="6144">
          <cell r="C6144" t="str">
            <v>彭志豪</v>
          </cell>
          <cell r="F6144" t="str">
            <v>K250501R1</v>
          </cell>
          <cell r="J6144">
            <v>45966</v>
          </cell>
          <cell r="K6144">
            <v>4</v>
          </cell>
        </row>
        <row r="6145">
          <cell r="C6145" t="str">
            <v>彭志豪</v>
          </cell>
          <cell r="J6145">
            <v>45967</v>
          </cell>
          <cell r="K6145">
            <v>4</v>
          </cell>
        </row>
        <row r="6146">
          <cell r="C6146" t="str">
            <v>彭志豪</v>
          </cell>
          <cell r="F6146" t="str">
            <v>M251001R1</v>
          </cell>
          <cell r="J6146">
            <v>45967</v>
          </cell>
          <cell r="K6146">
            <v>4</v>
          </cell>
        </row>
        <row r="6147">
          <cell r="C6147" t="str">
            <v>彭志豪</v>
          </cell>
          <cell r="F6147" t="str">
            <v>M251001R1</v>
          </cell>
          <cell r="J6147">
            <v>45968</v>
          </cell>
          <cell r="K6147">
            <v>4</v>
          </cell>
        </row>
        <row r="6148">
          <cell r="C6148" t="str">
            <v>彭志豪</v>
          </cell>
          <cell r="F6148" t="str">
            <v>K250501R1</v>
          </cell>
          <cell r="J6148">
            <v>45968</v>
          </cell>
          <cell r="K6148">
            <v>4</v>
          </cell>
        </row>
        <row r="6149">
          <cell r="C6149" t="str">
            <v>彭志豪</v>
          </cell>
          <cell r="F6149" t="str">
            <v>M251001R1</v>
          </cell>
          <cell r="J6149">
            <v>45971</v>
          </cell>
          <cell r="K6149">
            <v>2</v>
          </cell>
        </row>
        <row r="6150">
          <cell r="C6150" t="str">
            <v>彭志豪</v>
          </cell>
          <cell r="F6150" t="str">
            <v>M251001R1</v>
          </cell>
          <cell r="J6150">
            <v>45971</v>
          </cell>
          <cell r="K6150">
            <v>6</v>
          </cell>
        </row>
        <row r="6151">
          <cell r="C6151" t="str">
            <v>彭志豪</v>
          </cell>
          <cell r="F6151" t="str">
            <v>M251001R1</v>
          </cell>
          <cell r="J6151">
            <v>45972</v>
          </cell>
          <cell r="K6151">
            <v>4</v>
          </cell>
        </row>
        <row r="6152">
          <cell r="C6152" t="str">
            <v>彭志豪</v>
          </cell>
          <cell r="F6152" t="str">
            <v>K250501R1</v>
          </cell>
          <cell r="J6152">
            <v>45972</v>
          </cell>
          <cell r="K6152">
            <v>4</v>
          </cell>
        </row>
        <row r="6153">
          <cell r="C6153" t="str">
            <v>彭志豪</v>
          </cell>
          <cell r="F6153" t="str">
            <v>M251001R1</v>
          </cell>
          <cell r="J6153">
            <v>45973</v>
          </cell>
          <cell r="K6153">
            <v>8</v>
          </cell>
        </row>
        <row r="6154">
          <cell r="C6154" t="str">
            <v>彭志豪</v>
          </cell>
          <cell r="F6154" t="str">
            <v>M251001R1</v>
          </cell>
          <cell r="J6154">
            <v>45974</v>
          </cell>
          <cell r="K6154">
            <v>8</v>
          </cell>
        </row>
        <row r="6155">
          <cell r="C6155" t="str">
            <v>彭志豪</v>
          </cell>
          <cell r="F6155" t="str">
            <v>M251001R1</v>
          </cell>
          <cell r="J6155">
            <v>45975</v>
          </cell>
          <cell r="K6155">
            <v>4</v>
          </cell>
        </row>
        <row r="6156">
          <cell r="C6156" t="str">
            <v>彭志豪</v>
          </cell>
          <cell r="F6156" t="str">
            <v>K250501R1</v>
          </cell>
          <cell r="J6156">
            <v>45975</v>
          </cell>
          <cell r="K6156">
            <v>4</v>
          </cell>
        </row>
        <row r="6157">
          <cell r="C6157" t="str">
            <v>彭志豪</v>
          </cell>
          <cell r="F6157" t="str">
            <v>M251001R1</v>
          </cell>
          <cell r="J6157">
            <v>45978</v>
          </cell>
          <cell r="K6157">
            <v>6</v>
          </cell>
        </row>
        <row r="6158">
          <cell r="C6158" t="str">
            <v>彭志豪</v>
          </cell>
          <cell r="F6158" t="str">
            <v>K250501R1</v>
          </cell>
          <cell r="J6158">
            <v>45978</v>
          </cell>
          <cell r="K6158">
            <v>2</v>
          </cell>
        </row>
        <row r="6159">
          <cell r="C6159" t="str">
            <v>彭志豪</v>
          </cell>
          <cell r="F6159" t="str">
            <v>M251001R1</v>
          </cell>
          <cell r="J6159">
            <v>45979</v>
          </cell>
          <cell r="K6159">
            <v>6</v>
          </cell>
        </row>
        <row r="6160">
          <cell r="C6160" t="str">
            <v>彭志豪</v>
          </cell>
          <cell r="F6160" t="str">
            <v>K250501R1</v>
          </cell>
          <cell r="J6160">
            <v>45979</v>
          </cell>
          <cell r="K6160">
            <v>2</v>
          </cell>
        </row>
        <row r="6161">
          <cell r="C6161" t="str">
            <v>彭志豪</v>
          </cell>
          <cell r="F6161" t="str">
            <v>M251001R1</v>
          </cell>
          <cell r="J6161">
            <v>45980</v>
          </cell>
          <cell r="K6161">
            <v>4</v>
          </cell>
        </row>
        <row r="6162">
          <cell r="C6162" t="str">
            <v>彭志豪</v>
          </cell>
          <cell r="F6162" t="str">
            <v>K250501R1</v>
          </cell>
          <cell r="J6162">
            <v>45980</v>
          </cell>
          <cell r="K6162">
            <v>4</v>
          </cell>
        </row>
        <row r="6163">
          <cell r="C6163" t="str">
            <v>彭志豪</v>
          </cell>
          <cell r="F6163" t="str">
            <v>M251001R1</v>
          </cell>
          <cell r="J6163">
            <v>45981</v>
          </cell>
          <cell r="K6163">
            <v>3</v>
          </cell>
        </row>
        <row r="6164">
          <cell r="C6164" t="str">
            <v>彭志豪</v>
          </cell>
          <cell r="F6164" t="str">
            <v>K250501R1</v>
          </cell>
          <cell r="J6164">
            <v>45981</v>
          </cell>
          <cell r="K6164">
            <v>5</v>
          </cell>
        </row>
        <row r="6165">
          <cell r="C6165" t="str">
            <v>彭志豪</v>
          </cell>
          <cell r="F6165" t="str">
            <v>M251001R1</v>
          </cell>
          <cell r="J6165">
            <v>45982</v>
          </cell>
          <cell r="K6165">
            <v>4</v>
          </cell>
        </row>
        <row r="6166">
          <cell r="C6166" t="str">
            <v>彭志豪</v>
          </cell>
          <cell r="F6166" t="str">
            <v>K250501R1</v>
          </cell>
          <cell r="J6166">
            <v>45982</v>
          </cell>
          <cell r="K6166">
            <v>4</v>
          </cell>
        </row>
        <row r="6167">
          <cell r="C6167" t="str">
            <v>彭志豪</v>
          </cell>
          <cell r="F6167" t="str">
            <v>M251001R1</v>
          </cell>
          <cell r="J6167">
            <v>45985</v>
          </cell>
          <cell r="K6167">
            <v>4</v>
          </cell>
        </row>
        <row r="6168">
          <cell r="C6168" t="str">
            <v>彭志豪</v>
          </cell>
          <cell r="F6168" t="str">
            <v>K250501R1</v>
          </cell>
          <cell r="J6168">
            <v>45985</v>
          </cell>
          <cell r="K6168">
            <v>4</v>
          </cell>
        </row>
        <row r="6169">
          <cell r="C6169" t="str">
            <v>彭志豪</v>
          </cell>
          <cell r="F6169" t="str">
            <v>M251001R1</v>
          </cell>
          <cell r="J6169">
            <v>45986</v>
          </cell>
          <cell r="K6169">
            <v>5</v>
          </cell>
        </row>
        <row r="6170">
          <cell r="C6170" t="str">
            <v>彭志豪</v>
          </cell>
          <cell r="F6170" t="str">
            <v>M240703R1</v>
          </cell>
          <cell r="J6170">
            <v>45986</v>
          </cell>
          <cell r="K6170">
            <v>3</v>
          </cell>
        </row>
        <row r="6171">
          <cell r="C6171" t="str">
            <v>彭志豪</v>
          </cell>
          <cell r="F6171" t="str">
            <v>M251001R1</v>
          </cell>
          <cell r="J6171">
            <v>45987</v>
          </cell>
          <cell r="K6171">
            <v>4</v>
          </cell>
        </row>
        <row r="6172">
          <cell r="C6172" t="str">
            <v>彭志豪</v>
          </cell>
          <cell r="F6172" t="str">
            <v>K250501R1</v>
          </cell>
          <cell r="J6172">
            <v>45987</v>
          </cell>
          <cell r="K6172">
            <v>4</v>
          </cell>
        </row>
        <row r="6173">
          <cell r="C6173" t="str">
            <v>彭志豪</v>
          </cell>
          <cell r="F6173" t="str">
            <v>M251001R1</v>
          </cell>
          <cell r="J6173">
            <v>45988</v>
          </cell>
          <cell r="K6173">
            <v>8</v>
          </cell>
        </row>
        <row r="6174">
          <cell r="C6174" t="str">
            <v>彭志豪</v>
          </cell>
          <cell r="F6174" t="str">
            <v>M251001R1</v>
          </cell>
          <cell r="J6174">
            <v>45989</v>
          </cell>
          <cell r="K6174">
            <v>2</v>
          </cell>
        </row>
        <row r="6175">
          <cell r="C6175" t="str">
            <v>彭志豪</v>
          </cell>
          <cell r="F6175" t="str">
            <v>M251001R1</v>
          </cell>
          <cell r="J6175">
            <v>45989</v>
          </cell>
          <cell r="K6175">
            <v>6</v>
          </cell>
        </row>
        <row r="6176">
          <cell r="C6176" t="str">
            <v>彭志豪</v>
          </cell>
          <cell r="F6176" t="str">
            <v>M251001R1</v>
          </cell>
          <cell r="J6176">
            <v>45992</v>
          </cell>
          <cell r="K6176">
            <v>2</v>
          </cell>
        </row>
        <row r="6177">
          <cell r="C6177" t="str">
            <v>彭志豪</v>
          </cell>
          <cell r="F6177" t="str">
            <v>M251001R1</v>
          </cell>
          <cell r="J6177">
            <v>45992</v>
          </cell>
          <cell r="K6177">
            <v>4</v>
          </cell>
        </row>
        <row r="6178">
          <cell r="C6178" t="str">
            <v>彭志豪</v>
          </cell>
          <cell r="F6178" t="str">
            <v>K250501R2</v>
          </cell>
          <cell r="J6178">
            <v>45992</v>
          </cell>
          <cell r="K6178">
            <v>2</v>
          </cell>
        </row>
        <row r="6179">
          <cell r="C6179" t="str">
            <v>彭志豪</v>
          </cell>
          <cell r="F6179" t="str">
            <v>M251001R1</v>
          </cell>
          <cell r="J6179">
            <v>45993</v>
          </cell>
          <cell r="K6179">
            <v>6</v>
          </cell>
        </row>
        <row r="6180">
          <cell r="C6180" t="str">
            <v>彭志豪</v>
          </cell>
          <cell r="F6180" t="str">
            <v>K250501R2</v>
          </cell>
          <cell r="J6180">
            <v>45993</v>
          </cell>
          <cell r="K6180">
            <v>2</v>
          </cell>
        </row>
        <row r="6181">
          <cell r="C6181" t="str">
            <v>彭志豪</v>
          </cell>
          <cell r="F6181" t="str">
            <v>M251001R1</v>
          </cell>
          <cell r="J6181">
            <v>45994</v>
          </cell>
          <cell r="K6181">
            <v>4</v>
          </cell>
        </row>
        <row r="6182">
          <cell r="C6182" t="str">
            <v>彭志豪</v>
          </cell>
          <cell r="F6182" t="str">
            <v>K250501R2</v>
          </cell>
          <cell r="J6182">
            <v>45994</v>
          </cell>
          <cell r="K6182">
            <v>4</v>
          </cell>
        </row>
        <row r="6183">
          <cell r="C6183" t="str">
            <v>彭志豪</v>
          </cell>
          <cell r="F6183" t="str">
            <v>M251001R1</v>
          </cell>
          <cell r="J6183">
            <v>45995</v>
          </cell>
          <cell r="K6183">
            <v>4</v>
          </cell>
        </row>
        <row r="6184">
          <cell r="C6184" t="str">
            <v>彭志豪</v>
          </cell>
          <cell r="F6184" t="str">
            <v>K250501R2</v>
          </cell>
          <cell r="J6184">
            <v>45995</v>
          </cell>
          <cell r="K6184">
            <v>4</v>
          </cell>
        </row>
        <row r="6185">
          <cell r="C6185" t="str">
            <v>彭志豪</v>
          </cell>
          <cell r="F6185" t="str">
            <v>M251001R1</v>
          </cell>
          <cell r="J6185">
            <v>45996</v>
          </cell>
          <cell r="K6185">
            <v>4</v>
          </cell>
        </row>
        <row r="6186">
          <cell r="C6186" t="str">
            <v>彭志豪</v>
          </cell>
          <cell r="F6186" t="str">
            <v>K250501R2</v>
          </cell>
          <cell r="J6186">
            <v>45996</v>
          </cell>
          <cell r="K6186">
            <v>4</v>
          </cell>
        </row>
        <row r="6187">
          <cell r="C6187" t="str">
            <v>彭志豪</v>
          </cell>
          <cell r="J6187">
            <v>45999</v>
          </cell>
          <cell r="K6187">
            <v>1</v>
          </cell>
        </row>
        <row r="6188">
          <cell r="C6188" t="str">
            <v>彭志豪</v>
          </cell>
          <cell r="F6188" t="str">
            <v>M251001R1</v>
          </cell>
          <cell r="J6188">
            <v>45999</v>
          </cell>
          <cell r="K6188">
            <v>3</v>
          </cell>
        </row>
        <row r="6189">
          <cell r="C6189" t="str">
            <v>彭志豪</v>
          </cell>
          <cell r="F6189" t="str">
            <v>K250501R2</v>
          </cell>
          <cell r="J6189">
            <v>45999</v>
          </cell>
          <cell r="K6189">
            <v>4</v>
          </cell>
        </row>
        <row r="6190">
          <cell r="C6190" t="str">
            <v>彭志豪</v>
          </cell>
          <cell r="J6190">
            <v>46000</v>
          </cell>
          <cell r="K6190">
            <v>3</v>
          </cell>
        </row>
        <row r="6191">
          <cell r="C6191" t="str">
            <v>彭志豪</v>
          </cell>
          <cell r="F6191" t="str">
            <v>K250501R1</v>
          </cell>
          <cell r="J6191">
            <v>46000</v>
          </cell>
          <cell r="K6191">
            <v>5</v>
          </cell>
        </row>
        <row r="6192">
          <cell r="C6192" t="str">
            <v>彭志豪</v>
          </cell>
          <cell r="J6192">
            <v>46001</v>
          </cell>
          <cell r="K6192">
            <v>1.5</v>
          </cell>
        </row>
        <row r="6193">
          <cell r="C6193" t="str">
            <v>彭志豪</v>
          </cell>
          <cell r="F6193" t="str">
            <v>K250501R1</v>
          </cell>
          <cell r="J6193">
            <v>46001</v>
          </cell>
          <cell r="K6193">
            <v>5</v>
          </cell>
        </row>
        <row r="6194">
          <cell r="C6194" t="str">
            <v>彭志豪</v>
          </cell>
          <cell r="F6194" t="str">
            <v>M251001R1</v>
          </cell>
          <cell r="J6194">
            <v>46001</v>
          </cell>
          <cell r="K6194">
            <v>1.5</v>
          </cell>
        </row>
        <row r="6195">
          <cell r="C6195" t="str">
            <v>彭志豪</v>
          </cell>
          <cell r="J6195">
            <v>46002</v>
          </cell>
          <cell r="K6195">
            <v>1.5</v>
          </cell>
        </row>
        <row r="6196">
          <cell r="C6196" t="str">
            <v>彭志豪</v>
          </cell>
          <cell r="F6196" t="str">
            <v>K250501R1</v>
          </cell>
          <cell r="J6196">
            <v>46002</v>
          </cell>
          <cell r="K6196">
            <v>2</v>
          </cell>
        </row>
        <row r="6197">
          <cell r="C6197" t="str">
            <v>彭志豪</v>
          </cell>
          <cell r="F6197" t="str">
            <v>M251001R1</v>
          </cell>
          <cell r="J6197">
            <v>46002</v>
          </cell>
          <cell r="K6197">
            <v>4.5</v>
          </cell>
        </row>
        <row r="6198">
          <cell r="C6198" t="str">
            <v>彭志豪</v>
          </cell>
          <cell r="F6198" t="str">
            <v>K250501R1</v>
          </cell>
          <cell r="J6198">
            <v>46003</v>
          </cell>
          <cell r="K6198">
            <v>2</v>
          </cell>
        </row>
        <row r="6199">
          <cell r="C6199" t="str">
            <v>彭志豪</v>
          </cell>
          <cell r="F6199" t="str">
            <v>M251001R1</v>
          </cell>
          <cell r="J6199">
            <v>46003</v>
          </cell>
          <cell r="K6199">
            <v>6</v>
          </cell>
        </row>
        <row r="6200">
          <cell r="C6200" t="str">
            <v>彭志豪</v>
          </cell>
          <cell r="F6200" t="str">
            <v>M251001R1</v>
          </cell>
          <cell r="J6200">
            <v>46006</v>
          </cell>
          <cell r="K6200">
            <v>5.5</v>
          </cell>
        </row>
        <row r="6201">
          <cell r="C6201" t="str">
            <v>彭志豪</v>
          </cell>
          <cell r="F6201" t="str">
            <v>K250501R2</v>
          </cell>
          <cell r="J6201">
            <v>46006</v>
          </cell>
          <cell r="K6201">
            <v>2.5</v>
          </cell>
        </row>
        <row r="6202">
          <cell r="C6202" t="str">
            <v>彭志豪</v>
          </cell>
          <cell r="F6202" t="str">
            <v>M251001R1</v>
          </cell>
          <cell r="J6202">
            <v>46007</v>
          </cell>
          <cell r="K6202">
            <v>5.5</v>
          </cell>
        </row>
        <row r="6203">
          <cell r="C6203" t="str">
            <v>彭志豪</v>
          </cell>
          <cell r="F6203" t="str">
            <v>K250501R2</v>
          </cell>
          <cell r="J6203">
            <v>46007</v>
          </cell>
          <cell r="K6203">
            <v>2.5</v>
          </cell>
        </row>
        <row r="6204">
          <cell r="C6204" t="str">
            <v>彭志豪</v>
          </cell>
          <cell r="F6204" t="str">
            <v>M251001R1</v>
          </cell>
          <cell r="J6204">
            <v>46008</v>
          </cell>
          <cell r="K6204">
            <v>5</v>
          </cell>
        </row>
        <row r="6205">
          <cell r="C6205" t="str">
            <v>彭志豪</v>
          </cell>
          <cell r="F6205" t="str">
            <v>K250501R2</v>
          </cell>
          <cell r="J6205">
            <v>46008</v>
          </cell>
          <cell r="K6205">
            <v>3</v>
          </cell>
        </row>
        <row r="6206">
          <cell r="C6206" t="str">
            <v>彭志豪</v>
          </cell>
          <cell r="F6206" t="str">
            <v>M251001R1</v>
          </cell>
          <cell r="J6206">
            <v>46009</v>
          </cell>
          <cell r="K6206">
            <v>8</v>
          </cell>
        </row>
        <row r="6207">
          <cell r="C6207" t="str">
            <v>彭志豪</v>
          </cell>
          <cell r="F6207" t="str">
            <v>M251001R1</v>
          </cell>
          <cell r="J6207">
            <v>46010</v>
          </cell>
          <cell r="K6207">
            <v>8</v>
          </cell>
        </row>
        <row r="6208">
          <cell r="C6208" t="str">
            <v>彭志豪</v>
          </cell>
          <cell r="F6208" t="str">
            <v>M251001R1</v>
          </cell>
          <cell r="J6208">
            <v>46013</v>
          </cell>
          <cell r="K6208">
            <v>7</v>
          </cell>
        </row>
        <row r="6209">
          <cell r="C6209" t="str">
            <v>彭志豪</v>
          </cell>
          <cell r="F6209" t="str">
            <v>K250501R2</v>
          </cell>
          <cell r="J6209">
            <v>46013</v>
          </cell>
          <cell r="K6209">
            <v>1</v>
          </cell>
        </row>
        <row r="6210">
          <cell r="C6210" t="str">
            <v>彭志豪</v>
          </cell>
          <cell r="F6210" t="str">
            <v>M251001R1</v>
          </cell>
          <cell r="J6210">
            <v>46014</v>
          </cell>
          <cell r="K6210">
            <v>6</v>
          </cell>
        </row>
        <row r="6211">
          <cell r="C6211" t="str">
            <v>彭志豪</v>
          </cell>
          <cell r="F6211" t="str">
            <v>K250501R2</v>
          </cell>
          <cell r="J6211">
            <v>46014</v>
          </cell>
          <cell r="K6211">
            <v>2</v>
          </cell>
        </row>
        <row r="6212">
          <cell r="C6212" t="str">
            <v>彭志豪</v>
          </cell>
          <cell r="F6212" t="str">
            <v>M251001R1</v>
          </cell>
          <cell r="J6212">
            <v>46015</v>
          </cell>
          <cell r="K6212">
            <v>8</v>
          </cell>
        </row>
        <row r="6213">
          <cell r="C6213" t="str">
            <v>彭志豪</v>
          </cell>
          <cell r="F6213" t="str">
            <v>M251001R1</v>
          </cell>
          <cell r="J6213">
            <v>46017</v>
          </cell>
          <cell r="K6213">
            <v>6</v>
          </cell>
        </row>
        <row r="6214">
          <cell r="C6214" t="str">
            <v>彭志豪</v>
          </cell>
          <cell r="F6214" t="str">
            <v>K250501R2</v>
          </cell>
          <cell r="J6214">
            <v>46017</v>
          </cell>
          <cell r="K6214">
            <v>2</v>
          </cell>
        </row>
        <row r="6215">
          <cell r="C6215" t="str">
            <v>彭志豪</v>
          </cell>
          <cell r="F6215" t="str">
            <v>M251001R1</v>
          </cell>
          <cell r="J6215">
            <v>46020</v>
          </cell>
          <cell r="K6215">
            <v>6</v>
          </cell>
        </row>
        <row r="6216">
          <cell r="C6216" t="str">
            <v>彭志豪</v>
          </cell>
          <cell r="F6216" t="str">
            <v>K250501R2</v>
          </cell>
          <cell r="J6216">
            <v>46020</v>
          </cell>
          <cell r="K6216">
            <v>2</v>
          </cell>
        </row>
        <row r="6217">
          <cell r="C6217" t="str">
            <v>彭志豪</v>
          </cell>
          <cell r="F6217" t="str">
            <v>M251001R1</v>
          </cell>
          <cell r="J6217">
            <v>46021</v>
          </cell>
          <cell r="K6217">
            <v>6</v>
          </cell>
        </row>
        <row r="6218">
          <cell r="C6218" t="str">
            <v>彭志豪</v>
          </cell>
          <cell r="F6218" t="str">
            <v>K250501R2</v>
          </cell>
          <cell r="J6218">
            <v>46021</v>
          </cell>
          <cell r="K6218">
            <v>2</v>
          </cell>
        </row>
        <row r="6219">
          <cell r="C6219" t="str">
            <v>彭志豪</v>
          </cell>
          <cell r="J6219">
            <v>46022</v>
          </cell>
          <cell r="K6219">
            <v>8</v>
          </cell>
        </row>
        <row r="6220">
          <cell r="C6220" t="str">
            <v>彭志豪</v>
          </cell>
          <cell r="J6220">
            <v>46024</v>
          </cell>
          <cell r="K6220">
            <v>8</v>
          </cell>
        </row>
        <row r="6221">
          <cell r="C6221" t="str">
            <v>彭志豪</v>
          </cell>
          <cell r="F6221" t="str">
            <v>M251001R1</v>
          </cell>
          <cell r="J6221">
            <v>46027</v>
          </cell>
          <cell r="K6221">
            <v>8</v>
          </cell>
        </row>
        <row r="6222">
          <cell r="C6222" t="str">
            <v>彭志豪</v>
          </cell>
          <cell r="F6222" t="str">
            <v>M251001R1</v>
          </cell>
          <cell r="J6222">
            <v>46028</v>
          </cell>
          <cell r="K6222">
            <v>6</v>
          </cell>
        </row>
        <row r="6223">
          <cell r="C6223" t="str">
            <v>彭志豪</v>
          </cell>
          <cell r="F6223" t="str">
            <v>K250501R2</v>
          </cell>
          <cell r="J6223">
            <v>46028</v>
          </cell>
          <cell r="K6223">
            <v>2</v>
          </cell>
        </row>
        <row r="6224">
          <cell r="C6224" t="str">
            <v>彭志豪</v>
          </cell>
          <cell r="J6224">
            <v>46029</v>
          </cell>
          <cell r="K6224">
            <v>1</v>
          </cell>
        </row>
        <row r="6225">
          <cell r="C6225" t="str">
            <v>彭志豪</v>
          </cell>
          <cell r="F6225" t="str">
            <v>M251001R1</v>
          </cell>
          <cell r="J6225">
            <v>46029</v>
          </cell>
          <cell r="K6225">
            <v>5</v>
          </cell>
        </row>
        <row r="6226">
          <cell r="C6226" t="str">
            <v>彭志豪</v>
          </cell>
          <cell r="F6226" t="str">
            <v>K250501R2</v>
          </cell>
          <cell r="J6226">
            <v>46029</v>
          </cell>
          <cell r="K6226">
            <v>2</v>
          </cell>
        </row>
        <row r="6227">
          <cell r="C6227" t="str">
            <v>彭志豪</v>
          </cell>
          <cell r="F6227" t="str">
            <v>M251001R1</v>
          </cell>
          <cell r="J6227">
            <v>46030</v>
          </cell>
          <cell r="K6227">
            <v>3</v>
          </cell>
        </row>
        <row r="6228">
          <cell r="C6228" t="str">
            <v>彭志豪</v>
          </cell>
          <cell r="F6228" t="str">
            <v>D250702R1</v>
          </cell>
          <cell r="J6228">
            <v>46030</v>
          </cell>
          <cell r="K6228">
            <v>2</v>
          </cell>
        </row>
        <row r="6229">
          <cell r="C6229" t="str">
            <v>彭志豪</v>
          </cell>
          <cell r="F6229" t="str">
            <v>M251001R1</v>
          </cell>
          <cell r="J6229">
            <v>46030</v>
          </cell>
          <cell r="K6229">
            <v>3</v>
          </cell>
        </row>
        <row r="6230">
          <cell r="C6230" t="str">
            <v>彭志豪</v>
          </cell>
          <cell r="F6230" t="str">
            <v>M251001R1</v>
          </cell>
          <cell r="J6230">
            <v>46031</v>
          </cell>
          <cell r="K6230">
            <v>3</v>
          </cell>
        </row>
        <row r="6231">
          <cell r="C6231" t="str">
            <v>彭志豪</v>
          </cell>
          <cell r="F6231" t="str">
            <v>D250702R1</v>
          </cell>
          <cell r="J6231">
            <v>46031</v>
          </cell>
          <cell r="K6231">
            <v>2</v>
          </cell>
        </row>
        <row r="6232">
          <cell r="C6232" t="str">
            <v>彭志豪</v>
          </cell>
          <cell r="F6232" t="str">
            <v>M251001R1</v>
          </cell>
          <cell r="J6232">
            <v>46031</v>
          </cell>
          <cell r="K6232">
            <v>3</v>
          </cell>
        </row>
        <row r="6233">
          <cell r="C6233" t="str">
            <v>彭志豪</v>
          </cell>
          <cell r="F6233" t="str">
            <v>M251001R1</v>
          </cell>
          <cell r="J6233">
            <v>46034</v>
          </cell>
          <cell r="K6233">
            <v>1</v>
          </cell>
        </row>
        <row r="6234">
          <cell r="C6234" t="str">
            <v>彭志豪</v>
          </cell>
          <cell r="F6234" t="str">
            <v>M251001R1</v>
          </cell>
          <cell r="J6234">
            <v>46034</v>
          </cell>
          <cell r="K6234">
            <v>3</v>
          </cell>
        </row>
        <row r="6235">
          <cell r="C6235" t="str">
            <v>彭志豪</v>
          </cell>
          <cell r="F6235" t="str">
            <v>K250501R2</v>
          </cell>
          <cell r="J6235">
            <v>46034</v>
          </cell>
          <cell r="K6235">
            <v>4</v>
          </cell>
        </row>
        <row r="6236">
          <cell r="C6236" t="str">
            <v>彭志豪</v>
          </cell>
          <cell r="F6236" t="str">
            <v>M251001R1</v>
          </cell>
          <cell r="J6236">
            <v>46035</v>
          </cell>
          <cell r="K6236">
            <v>4</v>
          </cell>
        </row>
        <row r="6237">
          <cell r="C6237" t="str">
            <v>彭志豪</v>
          </cell>
          <cell r="F6237" t="str">
            <v>K250501R2</v>
          </cell>
          <cell r="J6237">
            <v>46035</v>
          </cell>
          <cell r="K6237">
            <v>4</v>
          </cell>
        </row>
        <row r="6238">
          <cell r="C6238" t="str">
            <v>彭志豪</v>
          </cell>
          <cell r="F6238" t="str">
            <v>M251001R1</v>
          </cell>
          <cell r="J6238">
            <v>46036</v>
          </cell>
          <cell r="K6238">
            <v>5.5</v>
          </cell>
        </row>
        <row r="6239">
          <cell r="C6239" t="str">
            <v>彭志豪</v>
          </cell>
          <cell r="F6239" t="str">
            <v>K250501R2</v>
          </cell>
          <cell r="J6239">
            <v>46036</v>
          </cell>
          <cell r="K6239">
            <v>2.5</v>
          </cell>
        </row>
        <row r="6240">
          <cell r="C6240" t="str">
            <v>彭志豪</v>
          </cell>
          <cell r="F6240" t="str">
            <v>M251001R1</v>
          </cell>
          <cell r="J6240">
            <v>46037</v>
          </cell>
          <cell r="K6240">
            <v>6</v>
          </cell>
        </row>
        <row r="6241">
          <cell r="C6241" t="str">
            <v>彭志豪</v>
          </cell>
          <cell r="F6241" t="str">
            <v>D250702R1</v>
          </cell>
          <cell r="J6241">
            <v>46037</v>
          </cell>
          <cell r="K6241">
            <v>2</v>
          </cell>
        </row>
        <row r="6242">
          <cell r="C6242" t="str">
            <v>彭志豪</v>
          </cell>
          <cell r="F6242" t="str">
            <v>K250501R1</v>
          </cell>
          <cell r="J6242">
            <v>46038</v>
          </cell>
          <cell r="K6242">
            <v>4</v>
          </cell>
        </row>
        <row r="6243">
          <cell r="C6243" t="str">
            <v>彭志豪</v>
          </cell>
          <cell r="F6243" t="str">
            <v>K250501R2</v>
          </cell>
          <cell r="J6243">
            <v>46038</v>
          </cell>
          <cell r="K6243">
            <v>4</v>
          </cell>
        </row>
        <row r="6244">
          <cell r="C6244" t="str">
            <v>彭志豪</v>
          </cell>
          <cell r="F6244" t="str">
            <v>M251001R1</v>
          </cell>
          <cell r="J6244">
            <v>46041</v>
          </cell>
          <cell r="K6244">
            <v>3</v>
          </cell>
        </row>
        <row r="6245">
          <cell r="C6245" t="str">
            <v>彭志豪</v>
          </cell>
          <cell r="F6245" t="str">
            <v>K250501R2</v>
          </cell>
          <cell r="J6245">
            <v>46041</v>
          </cell>
          <cell r="K6245">
            <v>5</v>
          </cell>
        </row>
        <row r="6246">
          <cell r="C6246" t="str">
            <v>彭志豪</v>
          </cell>
          <cell r="F6246" t="str">
            <v>M251001R1</v>
          </cell>
          <cell r="J6246">
            <v>46042</v>
          </cell>
          <cell r="K6246">
            <v>4</v>
          </cell>
        </row>
        <row r="6247">
          <cell r="C6247" t="str">
            <v>彭志豪</v>
          </cell>
          <cell r="F6247" t="str">
            <v>K250501R2</v>
          </cell>
          <cell r="J6247">
            <v>46042</v>
          </cell>
          <cell r="K6247">
            <v>4</v>
          </cell>
        </row>
        <row r="6248">
          <cell r="C6248" t="str">
            <v>彭志豪</v>
          </cell>
          <cell r="J6248">
            <v>46043</v>
          </cell>
          <cell r="K6248">
            <v>8</v>
          </cell>
        </row>
        <row r="6249">
          <cell r="C6249" t="str">
            <v>彭志豪</v>
          </cell>
          <cell r="F6249" t="str">
            <v>M251001R1</v>
          </cell>
          <cell r="J6249">
            <v>46044</v>
          </cell>
          <cell r="K6249">
            <v>8</v>
          </cell>
        </row>
        <row r="6250">
          <cell r="C6250" t="str">
            <v>彭志豪</v>
          </cell>
          <cell r="F6250" t="str">
            <v>K250501R2</v>
          </cell>
          <cell r="J6250">
            <v>46045</v>
          </cell>
          <cell r="K6250">
            <v>8</v>
          </cell>
        </row>
        <row r="6251">
          <cell r="C6251" t="str">
            <v>彭志豪</v>
          </cell>
          <cell r="F6251" t="str">
            <v>M251001R1</v>
          </cell>
          <cell r="J6251">
            <v>46048</v>
          </cell>
          <cell r="K6251">
            <v>4</v>
          </cell>
        </row>
        <row r="6252">
          <cell r="C6252" t="str">
            <v>彭志豪</v>
          </cell>
          <cell r="F6252" t="str">
            <v>K250501R2</v>
          </cell>
          <cell r="J6252">
            <v>46048</v>
          </cell>
          <cell r="K6252">
            <v>4</v>
          </cell>
        </row>
        <row r="6253">
          <cell r="C6253" t="str">
            <v>彭志豪</v>
          </cell>
          <cell r="F6253" t="str">
            <v>M251001R1</v>
          </cell>
          <cell r="J6253">
            <v>46049</v>
          </cell>
          <cell r="K6253">
            <v>8</v>
          </cell>
        </row>
        <row r="6254">
          <cell r="C6254" t="str">
            <v>彭志豪</v>
          </cell>
          <cell r="J6254">
            <v>46050</v>
          </cell>
          <cell r="K6254">
            <v>2</v>
          </cell>
        </row>
        <row r="6255">
          <cell r="C6255" t="str">
            <v>彭志豪</v>
          </cell>
          <cell r="F6255" t="str">
            <v>M251001R1</v>
          </cell>
          <cell r="J6255">
            <v>46050</v>
          </cell>
          <cell r="K6255">
            <v>3</v>
          </cell>
        </row>
        <row r="6256">
          <cell r="C6256" t="str">
            <v>彭志豪</v>
          </cell>
          <cell r="F6256" t="str">
            <v>K250501R2</v>
          </cell>
          <cell r="J6256">
            <v>46050</v>
          </cell>
          <cell r="K6256">
            <v>3</v>
          </cell>
        </row>
        <row r="6257">
          <cell r="C6257" t="str">
            <v>彭志豪</v>
          </cell>
          <cell r="F6257" t="str">
            <v>M251001R1</v>
          </cell>
          <cell r="J6257">
            <v>46051</v>
          </cell>
          <cell r="K6257">
            <v>2</v>
          </cell>
        </row>
        <row r="6258">
          <cell r="C6258" t="str">
            <v>彭志豪</v>
          </cell>
          <cell r="F6258" t="str">
            <v>K250501R1</v>
          </cell>
          <cell r="J6258">
            <v>46051</v>
          </cell>
          <cell r="K6258">
            <v>1</v>
          </cell>
        </row>
        <row r="6259">
          <cell r="C6259" t="str">
            <v>彭志豪</v>
          </cell>
          <cell r="F6259" t="str">
            <v>M251001R1</v>
          </cell>
          <cell r="J6259">
            <v>46051</v>
          </cell>
          <cell r="K6259">
            <v>5</v>
          </cell>
        </row>
        <row r="6260">
          <cell r="C6260" t="str">
            <v>彭志豪</v>
          </cell>
          <cell r="F6260" t="str">
            <v>K250501R1</v>
          </cell>
          <cell r="J6260">
            <v>46052</v>
          </cell>
          <cell r="K6260">
            <v>5</v>
          </cell>
        </row>
        <row r="6261">
          <cell r="C6261" t="str">
            <v>彭志豪</v>
          </cell>
          <cell r="F6261" t="str">
            <v>M251001R1</v>
          </cell>
          <cell r="J6261">
            <v>46052</v>
          </cell>
          <cell r="K6261">
            <v>3</v>
          </cell>
        </row>
        <row r="6262">
          <cell r="C6262" t="str">
            <v>彭志豪</v>
          </cell>
          <cell r="F6262" t="str">
            <v>M251001R1</v>
          </cell>
          <cell r="J6262">
            <v>46055</v>
          </cell>
          <cell r="K6262">
            <v>4</v>
          </cell>
        </row>
        <row r="6263">
          <cell r="C6263" t="str">
            <v>彭志豪</v>
          </cell>
          <cell r="F6263" t="str">
            <v>M251001R1</v>
          </cell>
          <cell r="J6263">
            <v>46055</v>
          </cell>
          <cell r="K6263">
            <v>2</v>
          </cell>
        </row>
        <row r="6264">
          <cell r="C6264" t="str">
            <v>彭志豪</v>
          </cell>
          <cell r="F6264" t="str">
            <v>K250501R2</v>
          </cell>
          <cell r="J6264">
            <v>46055</v>
          </cell>
          <cell r="K6264">
            <v>2</v>
          </cell>
        </row>
        <row r="6265">
          <cell r="C6265" t="str">
            <v>彭志豪</v>
          </cell>
          <cell r="F6265" t="str">
            <v>M251001R1</v>
          </cell>
          <cell r="J6265">
            <v>46056</v>
          </cell>
          <cell r="K6265">
            <v>4</v>
          </cell>
        </row>
        <row r="6266">
          <cell r="C6266" t="str">
            <v>彭志豪</v>
          </cell>
          <cell r="F6266" t="str">
            <v>K250501R2</v>
          </cell>
          <cell r="J6266">
            <v>46056</v>
          </cell>
          <cell r="K6266">
            <v>4</v>
          </cell>
        </row>
        <row r="6267">
          <cell r="C6267" t="str">
            <v>彭志豪</v>
          </cell>
          <cell r="F6267" t="str">
            <v>M251001R1</v>
          </cell>
          <cell r="J6267">
            <v>46057</v>
          </cell>
          <cell r="K6267">
            <v>6</v>
          </cell>
        </row>
        <row r="6268">
          <cell r="C6268" t="str">
            <v>彭志豪</v>
          </cell>
          <cell r="F6268" t="str">
            <v>M251001R1</v>
          </cell>
          <cell r="J6268">
            <v>46057</v>
          </cell>
          <cell r="K6268">
            <v>2</v>
          </cell>
        </row>
        <row r="6269">
          <cell r="C6269" t="str">
            <v>彭志豪</v>
          </cell>
          <cell r="F6269" t="str">
            <v>M251001R1</v>
          </cell>
          <cell r="J6269">
            <v>46058</v>
          </cell>
          <cell r="K6269">
            <v>4</v>
          </cell>
        </row>
        <row r="6270">
          <cell r="C6270" t="str">
            <v>彭志豪</v>
          </cell>
          <cell r="F6270" t="str">
            <v>K250501R2</v>
          </cell>
          <cell r="J6270">
            <v>46058</v>
          </cell>
          <cell r="K6270">
            <v>4</v>
          </cell>
        </row>
        <row r="6271">
          <cell r="C6271" t="str">
            <v>彭志豪</v>
          </cell>
          <cell r="F6271" t="str">
            <v>M251001R1</v>
          </cell>
          <cell r="J6271">
            <v>46059</v>
          </cell>
          <cell r="K6271">
            <v>1</v>
          </cell>
        </row>
        <row r="6272">
          <cell r="C6272" t="str">
            <v>彭志豪</v>
          </cell>
          <cell r="F6272" t="str">
            <v>M251001R1</v>
          </cell>
          <cell r="J6272">
            <v>46059</v>
          </cell>
          <cell r="K6272">
            <v>3</v>
          </cell>
        </row>
        <row r="6273">
          <cell r="C6273" t="str">
            <v>彭志豪</v>
          </cell>
          <cell r="F6273" t="str">
            <v>K250501R2</v>
          </cell>
          <cell r="J6273">
            <v>46059</v>
          </cell>
          <cell r="K6273">
            <v>4</v>
          </cell>
        </row>
        <row r="6274">
          <cell r="C6274" t="str">
            <v>彭志豪</v>
          </cell>
          <cell r="F6274" t="str">
            <v>M251001R1</v>
          </cell>
          <cell r="J6274">
            <v>46062</v>
          </cell>
          <cell r="K6274">
            <v>6</v>
          </cell>
        </row>
        <row r="6275">
          <cell r="C6275" t="str">
            <v>彭志豪</v>
          </cell>
          <cell r="F6275" t="str">
            <v>K250501R2</v>
          </cell>
          <cell r="J6275">
            <v>46062</v>
          </cell>
          <cell r="K6275">
            <v>2</v>
          </cell>
        </row>
        <row r="6276">
          <cell r="C6276" t="str">
            <v>彭志豪</v>
          </cell>
          <cell r="F6276" t="str">
            <v>M251001R1</v>
          </cell>
          <cell r="J6276">
            <v>46063</v>
          </cell>
          <cell r="K6276">
            <v>2</v>
          </cell>
        </row>
        <row r="6277">
          <cell r="C6277" t="str">
            <v>彭志豪</v>
          </cell>
          <cell r="F6277" t="str">
            <v>K250501R2</v>
          </cell>
          <cell r="J6277">
            <v>46063</v>
          </cell>
          <cell r="K6277">
            <v>6</v>
          </cell>
        </row>
        <row r="6278">
          <cell r="C6278" t="str">
            <v>彭志豪</v>
          </cell>
          <cell r="F6278" t="str">
            <v>M251001R1</v>
          </cell>
          <cell r="J6278">
            <v>46064</v>
          </cell>
          <cell r="K6278">
            <v>5</v>
          </cell>
        </row>
        <row r="6279">
          <cell r="C6279" t="str">
            <v>彭志豪</v>
          </cell>
          <cell r="F6279" t="str">
            <v>K250501R2</v>
          </cell>
          <cell r="J6279">
            <v>46064</v>
          </cell>
          <cell r="K6279">
            <v>3</v>
          </cell>
        </row>
        <row r="6280">
          <cell r="C6280" t="str">
            <v>彭志豪</v>
          </cell>
          <cell r="F6280" t="str">
            <v>M251001R1</v>
          </cell>
          <cell r="J6280">
            <v>46065</v>
          </cell>
          <cell r="K6280">
            <v>3</v>
          </cell>
        </row>
        <row r="6281">
          <cell r="C6281" t="str">
            <v>彭志豪</v>
          </cell>
          <cell r="F6281" t="str">
            <v>K250501R2</v>
          </cell>
          <cell r="J6281">
            <v>46065</v>
          </cell>
          <cell r="K6281">
            <v>5</v>
          </cell>
        </row>
        <row r="6282">
          <cell r="C6282" t="str">
            <v>彭志豪</v>
          </cell>
          <cell r="J6282">
            <v>46066</v>
          </cell>
          <cell r="K6282">
            <v>3</v>
          </cell>
        </row>
        <row r="6283">
          <cell r="C6283" t="str">
            <v>彭志豪</v>
          </cell>
          <cell r="F6283" t="str">
            <v>M251001R1</v>
          </cell>
          <cell r="J6283">
            <v>46066</v>
          </cell>
          <cell r="K6283">
            <v>3</v>
          </cell>
        </row>
        <row r="6284">
          <cell r="C6284" t="str">
            <v>彭志豪</v>
          </cell>
          <cell r="F6284" t="str">
            <v>K250501R2</v>
          </cell>
          <cell r="J6284">
            <v>46066</v>
          </cell>
          <cell r="K6284">
            <v>2</v>
          </cell>
        </row>
        <row r="6285">
          <cell r="C6285" t="str">
            <v>彭志豪</v>
          </cell>
          <cell r="F6285" t="str">
            <v>M251001R1</v>
          </cell>
          <cell r="J6285">
            <v>46076</v>
          </cell>
          <cell r="K6285">
            <v>4</v>
          </cell>
        </row>
        <row r="6286">
          <cell r="C6286" t="str">
            <v>彭志豪</v>
          </cell>
          <cell r="F6286" t="str">
            <v>K250501R2</v>
          </cell>
          <cell r="J6286">
            <v>46076</v>
          </cell>
          <cell r="K6286">
            <v>4</v>
          </cell>
        </row>
        <row r="6287">
          <cell r="C6287" t="str">
            <v>彭志豪</v>
          </cell>
          <cell r="F6287" t="str">
            <v>M251001R1</v>
          </cell>
          <cell r="J6287">
            <v>46077</v>
          </cell>
          <cell r="K6287">
            <v>2</v>
          </cell>
        </row>
        <row r="6288">
          <cell r="C6288" t="str">
            <v>彭志豪</v>
          </cell>
          <cell r="F6288" t="str">
            <v>K250501R2</v>
          </cell>
          <cell r="J6288">
            <v>46077</v>
          </cell>
          <cell r="K6288">
            <v>6</v>
          </cell>
        </row>
        <row r="6289">
          <cell r="C6289" t="str">
            <v>彭志豪</v>
          </cell>
          <cell r="F6289" t="str">
            <v>M251001R1</v>
          </cell>
          <cell r="J6289">
            <v>46078</v>
          </cell>
          <cell r="K6289">
            <v>3</v>
          </cell>
        </row>
        <row r="6290">
          <cell r="C6290" t="str">
            <v>彭志豪</v>
          </cell>
          <cell r="F6290" t="str">
            <v>K250501R2</v>
          </cell>
          <cell r="J6290">
            <v>46078</v>
          </cell>
          <cell r="K6290">
            <v>5</v>
          </cell>
        </row>
        <row r="6291">
          <cell r="C6291" t="str">
            <v>彭志豪</v>
          </cell>
          <cell r="J6291">
            <v>46079</v>
          </cell>
          <cell r="K6291">
            <v>4</v>
          </cell>
        </row>
        <row r="6292">
          <cell r="C6292" t="str">
            <v>彭志豪</v>
          </cell>
          <cell r="F6292" t="str">
            <v>K250501R2</v>
          </cell>
          <cell r="J6292">
            <v>46079</v>
          </cell>
          <cell r="K6292">
            <v>1.5</v>
          </cell>
        </row>
        <row r="6293">
          <cell r="C6293" t="str">
            <v>彭志豪</v>
          </cell>
          <cell r="F6293" t="str">
            <v>K250501R2</v>
          </cell>
          <cell r="J6293">
            <v>46079</v>
          </cell>
          <cell r="K6293">
            <v>1.5</v>
          </cell>
        </row>
        <row r="6294">
          <cell r="C6294" t="str">
            <v>彭志豪</v>
          </cell>
          <cell r="F6294" t="str">
            <v>K250501R2</v>
          </cell>
          <cell r="J6294">
            <v>46079</v>
          </cell>
          <cell r="K6294">
            <v>1</v>
          </cell>
        </row>
        <row r="6295">
          <cell r="C6295" t="str">
            <v>彭志豪</v>
          </cell>
          <cell r="F6295" t="str">
            <v>M251001R1</v>
          </cell>
          <cell r="J6295">
            <v>46083</v>
          </cell>
          <cell r="K6295">
            <v>4</v>
          </cell>
        </row>
        <row r="6296">
          <cell r="C6296" t="str">
            <v>彭志豪</v>
          </cell>
          <cell r="F6296" t="str">
            <v>K250501R2</v>
          </cell>
          <cell r="J6296">
            <v>46083</v>
          </cell>
          <cell r="K6296">
            <v>4</v>
          </cell>
        </row>
        <row r="6297">
          <cell r="C6297" t="str">
            <v>彭志豪</v>
          </cell>
          <cell r="F6297" t="str">
            <v>K250501R2</v>
          </cell>
          <cell r="J6297">
            <v>46084</v>
          </cell>
          <cell r="K6297">
            <v>1</v>
          </cell>
        </row>
        <row r="6298">
          <cell r="C6298" t="str">
            <v>彭志豪</v>
          </cell>
          <cell r="F6298" t="str">
            <v>M251001R1</v>
          </cell>
          <cell r="J6298">
            <v>46084</v>
          </cell>
          <cell r="K6298">
            <v>7</v>
          </cell>
        </row>
        <row r="6299">
          <cell r="C6299" t="str">
            <v>彭志豪</v>
          </cell>
          <cell r="F6299" t="str">
            <v>M251001R1</v>
          </cell>
          <cell r="J6299">
            <v>46085</v>
          </cell>
          <cell r="K6299">
            <v>8</v>
          </cell>
        </row>
        <row r="6300">
          <cell r="C6300" t="str">
            <v>彭志豪</v>
          </cell>
          <cell r="F6300" t="str">
            <v>M251001R1</v>
          </cell>
          <cell r="J6300">
            <v>46086</v>
          </cell>
          <cell r="K6300">
            <v>8</v>
          </cell>
        </row>
        <row r="6301">
          <cell r="C6301" t="str">
            <v>彭志豪</v>
          </cell>
          <cell r="F6301" t="str">
            <v>M251001R1</v>
          </cell>
          <cell r="J6301">
            <v>46087</v>
          </cell>
          <cell r="K6301">
            <v>8</v>
          </cell>
        </row>
        <row r="6302">
          <cell r="C6302" t="str">
            <v>彭志豪</v>
          </cell>
          <cell r="F6302" t="str">
            <v>M251001R1</v>
          </cell>
          <cell r="J6302">
            <v>46090</v>
          </cell>
          <cell r="K6302">
            <v>5</v>
          </cell>
        </row>
        <row r="6303">
          <cell r="C6303" t="str">
            <v>彭志豪</v>
          </cell>
          <cell r="F6303" t="str">
            <v>K250501R2</v>
          </cell>
          <cell r="J6303">
            <v>46090</v>
          </cell>
          <cell r="K6303">
            <v>3</v>
          </cell>
        </row>
        <row r="6304">
          <cell r="C6304" t="str">
            <v>彭志豪</v>
          </cell>
          <cell r="F6304" t="str">
            <v>M251001R1</v>
          </cell>
          <cell r="J6304">
            <v>46091</v>
          </cell>
          <cell r="K6304">
            <v>2</v>
          </cell>
        </row>
        <row r="6305">
          <cell r="C6305" t="str">
            <v>彭志豪</v>
          </cell>
          <cell r="F6305" t="str">
            <v>K250501R2</v>
          </cell>
          <cell r="J6305">
            <v>46091</v>
          </cell>
          <cell r="K6305">
            <v>6</v>
          </cell>
        </row>
        <row r="6306">
          <cell r="C6306" t="str">
            <v>彭志豪</v>
          </cell>
          <cell r="F6306" t="str">
            <v>M251001R1</v>
          </cell>
          <cell r="J6306">
            <v>46092</v>
          </cell>
          <cell r="K6306">
            <v>4</v>
          </cell>
        </row>
        <row r="6307">
          <cell r="C6307" t="str">
            <v>彭志豪</v>
          </cell>
          <cell r="F6307" t="str">
            <v>K250501R2</v>
          </cell>
          <cell r="J6307">
            <v>46092</v>
          </cell>
          <cell r="K6307">
            <v>4</v>
          </cell>
        </row>
        <row r="6308">
          <cell r="C6308" t="str">
            <v>彭志豪</v>
          </cell>
          <cell r="F6308" t="str">
            <v>M251001R1</v>
          </cell>
          <cell r="J6308">
            <v>46093</v>
          </cell>
          <cell r="K6308">
            <v>2</v>
          </cell>
        </row>
        <row r="6309">
          <cell r="C6309" t="str">
            <v>彭志豪</v>
          </cell>
          <cell r="F6309" t="str">
            <v>K250501R2</v>
          </cell>
          <cell r="J6309">
            <v>46093</v>
          </cell>
          <cell r="K6309">
            <v>6</v>
          </cell>
        </row>
        <row r="6310">
          <cell r="C6310" t="str">
            <v>彭志豪</v>
          </cell>
          <cell r="F6310" t="str">
            <v>M251001R1</v>
          </cell>
          <cell r="J6310">
            <v>46094</v>
          </cell>
          <cell r="K6310">
            <v>2</v>
          </cell>
        </row>
        <row r="6311">
          <cell r="C6311" t="str">
            <v>彭志豪</v>
          </cell>
          <cell r="F6311" t="str">
            <v>K250501R2</v>
          </cell>
          <cell r="J6311">
            <v>46094</v>
          </cell>
          <cell r="K6311">
            <v>4</v>
          </cell>
        </row>
        <row r="6312">
          <cell r="C6312" t="str">
            <v>彭志豪</v>
          </cell>
          <cell r="F6312" t="str">
            <v>M251001R1</v>
          </cell>
          <cell r="J6312">
            <v>46094</v>
          </cell>
          <cell r="K6312">
            <v>2</v>
          </cell>
        </row>
        <row r="6313">
          <cell r="C6313" t="str">
            <v>彭志豪</v>
          </cell>
          <cell r="F6313" t="str">
            <v>M251001R1</v>
          </cell>
          <cell r="J6313">
            <v>46097</v>
          </cell>
          <cell r="K6313">
            <v>4</v>
          </cell>
        </row>
        <row r="6314">
          <cell r="C6314" t="str">
            <v>彭志豪</v>
          </cell>
          <cell r="F6314" t="str">
            <v>K250501R2</v>
          </cell>
          <cell r="J6314">
            <v>46097</v>
          </cell>
          <cell r="K6314">
            <v>4</v>
          </cell>
        </row>
        <row r="6315">
          <cell r="C6315" t="str">
            <v>彭志豪</v>
          </cell>
          <cell r="F6315" t="str">
            <v>K250501R2</v>
          </cell>
          <cell r="J6315">
            <v>46098</v>
          </cell>
          <cell r="K6315">
            <v>4</v>
          </cell>
        </row>
        <row r="6316">
          <cell r="C6316" t="str">
            <v>彭志豪</v>
          </cell>
          <cell r="F6316" t="str">
            <v>M251001R1</v>
          </cell>
          <cell r="J6316">
            <v>46098</v>
          </cell>
          <cell r="K6316">
            <v>4</v>
          </cell>
        </row>
        <row r="6317">
          <cell r="C6317" t="str">
            <v>彭志豪</v>
          </cell>
          <cell r="J6317">
            <v>46099</v>
          </cell>
          <cell r="K6317">
            <v>4</v>
          </cell>
        </row>
        <row r="6318">
          <cell r="C6318" t="str">
            <v>彭志豪</v>
          </cell>
          <cell r="F6318" t="str">
            <v>M251001R1</v>
          </cell>
          <cell r="J6318">
            <v>46099</v>
          </cell>
          <cell r="K6318">
            <v>4</v>
          </cell>
        </row>
        <row r="6319">
          <cell r="C6319" t="str">
            <v>彭志豪</v>
          </cell>
          <cell r="J6319">
            <v>46100</v>
          </cell>
          <cell r="K6319">
            <v>4</v>
          </cell>
        </row>
        <row r="6320">
          <cell r="C6320" t="str">
            <v>彭志豪</v>
          </cell>
          <cell r="F6320" t="str">
            <v>K250501R2</v>
          </cell>
          <cell r="J6320">
            <v>46100</v>
          </cell>
          <cell r="K6320">
            <v>4</v>
          </cell>
        </row>
        <row r="6321">
          <cell r="C6321" t="str">
            <v>彭志豪</v>
          </cell>
          <cell r="F6321" t="str">
            <v>M251001R1</v>
          </cell>
          <cell r="J6321">
            <v>46101</v>
          </cell>
          <cell r="K6321">
            <v>4</v>
          </cell>
        </row>
        <row r="6322">
          <cell r="C6322" t="str">
            <v>彭志豪</v>
          </cell>
          <cell r="F6322" t="str">
            <v>M251001R1</v>
          </cell>
          <cell r="J6322">
            <v>46101</v>
          </cell>
          <cell r="K6322">
            <v>4</v>
          </cell>
        </row>
        <row r="6323">
          <cell r="C6323" t="str">
            <v>彭志豪</v>
          </cell>
          <cell r="F6323" t="str">
            <v>M251001R1</v>
          </cell>
          <cell r="J6323">
            <v>46104</v>
          </cell>
          <cell r="K6323">
            <v>4</v>
          </cell>
        </row>
        <row r="6324">
          <cell r="C6324" t="str">
            <v>彭志豪</v>
          </cell>
          <cell r="F6324" t="str">
            <v>K250501R2</v>
          </cell>
          <cell r="J6324">
            <v>46104</v>
          </cell>
          <cell r="K6324">
            <v>4</v>
          </cell>
        </row>
        <row r="6325">
          <cell r="C6325" t="str">
            <v>彭志豪</v>
          </cell>
          <cell r="J6325">
            <v>46105</v>
          </cell>
          <cell r="K6325">
            <v>4</v>
          </cell>
        </row>
        <row r="6326">
          <cell r="C6326" t="str">
            <v>彭志豪</v>
          </cell>
          <cell r="F6326" t="str">
            <v>K250501R2</v>
          </cell>
          <cell r="J6326">
            <v>46105</v>
          </cell>
          <cell r="K6326">
            <v>4</v>
          </cell>
        </row>
        <row r="6327">
          <cell r="C6327" t="str">
            <v>彭志豪</v>
          </cell>
          <cell r="J6327">
            <v>46106</v>
          </cell>
          <cell r="K6327">
            <v>2</v>
          </cell>
        </row>
        <row r="6328">
          <cell r="C6328" t="str">
            <v>彭志豪</v>
          </cell>
          <cell r="F6328" t="str">
            <v>K250501R2</v>
          </cell>
          <cell r="J6328">
            <v>46106</v>
          </cell>
          <cell r="K6328">
            <v>6</v>
          </cell>
        </row>
        <row r="6329">
          <cell r="C6329" t="str">
            <v>彭志豪</v>
          </cell>
          <cell r="F6329" t="str">
            <v>K250501R2</v>
          </cell>
          <cell r="J6329">
            <v>46107</v>
          </cell>
          <cell r="K6329">
            <v>8</v>
          </cell>
        </row>
        <row r="6330">
          <cell r="C6330" t="str">
            <v>彭志豪</v>
          </cell>
          <cell r="F6330" t="str">
            <v>M251001R1</v>
          </cell>
          <cell r="J6330">
            <v>46108</v>
          </cell>
          <cell r="K6330">
            <v>4</v>
          </cell>
        </row>
        <row r="6331">
          <cell r="C6331" t="str">
            <v>彭志豪</v>
          </cell>
          <cell r="F6331" t="str">
            <v>K250501R2</v>
          </cell>
          <cell r="J6331">
            <v>46108</v>
          </cell>
          <cell r="K6331">
            <v>4</v>
          </cell>
        </row>
        <row r="6332">
          <cell r="C6332" t="str">
            <v>彭志豪</v>
          </cell>
          <cell r="F6332" t="str">
            <v>M251001R1</v>
          </cell>
          <cell r="J6332">
            <v>46111</v>
          </cell>
          <cell r="K6332">
            <v>4</v>
          </cell>
        </row>
        <row r="6333">
          <cell r="C6333" t="str">
            <v>彭志豪</v>
          </cell>
          <cell r="F6333" t="str">
            <v>K250501R2</v>
          </cell>
          <cell r="J6333">
            <v>46111</v>
          </cell>
          <cell r="K6333">
            <v>4</v>
          </cell>
        </row>
        <row r="6334">
          <cell r="C6334" t="str">
            <v>彭志豪</v>
          </cell>
          <cell r="F6334" t="str">
            <v>M251001R1</v>
          </cell>
          <cell r="J6334">
            <v>46112</v>
          </cell>
          <cell r="K6334">
            <v>2</v>
          </cell>
        </row>
        <row r="6335">
          <cell r="C6335" t="str">
            <v>彭志豪</v>
          </cell>
          <cell r="F6335" t="str">
            <v>K250501R2</v>
          </cell>
          <cell r="J6335">
            <v>46112</v>
          </cell>
          <cell r="K6335">
            <v>6</v>
          </cell>
        </row>
        <row r="6336">
          <cell r="C6336" t="str">
            <v>彭志豪</v>
          </cell>
          <cell r="J6336">
            <v>46113</v>
          </cell>
          <cell r="K6336">
            <v>4</v>
          </cell>
        </row>
        <row r="6337">
          <cell r="C6337" t="str">
            <v>彭志豪</v>
          </cell>
          <cell r="F6337" t="str">
            <v>K250501R2</v>
          </cell>
          <cell r="J6337">
            <v>46113</v>
          </cell>
          <cell r="K6337">
            <v>4</v>
          </cell>
        </row>
        <row r="6338">
          <cell r="C6338" t="str">
            <v>彭志豪</v>
          </cell>
          <cell r="F6338" t="str">
            <v>K250501R2</v>
          </cell>
          <cell r="J6338">
            <v>46114</v>
          </cell>
          <cell r="K6338">
            <v>2</v>
          </cell>
        </row>
        <row r="6339">
          <cell r="C6339" t="str">
            <v>彭志豪</v>
          </cell>
          <cell r="F6339" t="str">
            <v>M251001R1</v>
          </cell>
          <cell r="J6339">
            <v>46114</v>
          </cell>
          <cell r="K6339">
            <v>6</v>
          </cell>
        </row>
        <row r="6340">
          <cell r="C6340" t="str">
            <v>彭志豪</v>
          </cell>
          <cell r="J6340">
            <v>46119</v>
          </cell>
          <cell r="K6340">
            <v>6</v>
          </cell>
        </row>
        <row r="6341">
          <cell r="C6341" t="str">
            <v>彭志豪</v>
          </cell>
          <cell r="F6341" t="str">
            <v>M251001R1</v>
          </cell>
          <cell r="J6341">
            <v>46119</v>
          </cell>
          <cell r="K6341">
            <v>2</v>
          </cell>
        </row>
        <row r="6342">
          <cell r="C6342" t="str">
            <v>彭志豪</v>
          </cell>
          <cell r="F6342" t="str">
            <v>M251001R1</v>
          </cell>
          <cell r="J6342">
            <v>46120</v>
          </cell>
          <cell r="K6342">
            <v>6</v>
          </cell>
        </row>
        <row r="6343">
          <cell r="C6343" t="str">
            <v>彭志豪</v>
          </cell>
          <cell r="F6343" t="str">
            <v>K250501R2</v>
          </cell>
          <cell r="J6343">
            <v>46120</v>
          </cell>
          <cell r="K6343">
            <v>2</v>
          </cell>
        </row>
        <row r="6344">
          <cell r="C6344" t="str">
            <v>彭志豪</v>
          </cell>
          <cell r="J6344">
            <v>46121</v>
          </cell>
          <cell r="K6344">
            <v>6</v>
          </cell>
        </row>
        <row r="6345">
          <cell r="C6345" t="str">
            <v>彭志豪</v>
          </cell>
          <cell r="F6345" t="str">
            <v>K250501R2</v>
          </cell>
          <cell r="J6345">
            <v>46121</v>
          </cell>
          <cell r="K6345">
            <v>2</v>
          </cell>
        </row>
        <row r="6346">
          <cell r="C6346" t="str">
            <v>彭志豪</v>
          </cell>
          <cell r="F6346" t="str">
            <v>M251001R1</v>
          </cell>
          <cell r="J6346">
            <v>46122</v>
          </cell>
          <cell r="K6346">
            <v>5</v>
          </cell>
        </row>
        <row r="6347">
          <cell r="C6347" t="str">
            <v>彭志豪</v>
          </cell>
          <cell r="F6347" t="str">
            <v>K250501R2</v>
          </cell>
          <cell r="J6347">
            <v>46122</v>
          </cell>
          <cell r="K6347">
            <v>3</v>
          </cell>
        </row>
        <row r="6348">
          <cell r="C6348" t="str">
            <v>彭志豪</v>
          </cell>
          <cell r="F6348" t="str">
            <v>M251001R1</v>
          </cell>
          <cell r="J6348">
            <v>46125</v>
          </cell>
          <cell r="K6348">
            <v>6</v>
          </cell>
        </row>
        <row r="6349">
          <cell r="C6349" t="str">
            <v>彭志豪</v>
          </cell>
          <cell r="F6349" t="str">
            <v>K250501R2</v>
          </cell>
          <cell r="J6349">
            <v>46125</v>
          </cell>
          <cell r="K6349">
            <v>2</v>
          </cell>
        </row>
        <row r="6350">
          <cell r="C6350" t="str">
            <v>彭志豪</v>
          </cell>
          <cell r="F6350" t="str">
            <v>M251001R1</v>
          </cell>
          <cell r="J6350">
            <v>46126</v>
          </cell>
          <cell r="K6350">
            <v>6</v>
          </cell>
        </row>
        <row r="6351">
          <cell r="C6351" t="str">
            <v>彭志豪</v>
          </cell>
          <cell r="F6351" t="str">
            <v>K250501R2</v>
          </cell>
          <cell r="J6351">
            <v>46126</v>
          </cell>
          <cell r="K6351">
            <v>2</v>
          </cell>
        </row>
        <row r="6352">
          <cell r="C6352" t="str">
            <v>彭志豪</v>
          </cell>
          <cell r="F6352" t="str">
            <v>M251001R1</v>
          </cell>
          <cell r="J6352">
            <v>46127</v>
          </cell>
          <cell r="K6352">
            <v>6</v>
          </cell>
        </row>
        <row r="6353">
          <cell r="C6353" t="str">
            <v>彭志豪</v>
          </cell>
          <cell r="F6353" t="str">
            <v>K250501R2</v>
          </cell>
          <cell r="J6353">
            <v>46127</v>
          </cell>
          <cell r="K6353">
            <v>2</v>
          </cell>
        </row>
        <row r="6354">
          <cell r="C6354" t="str">
            <v>彭志豪</v>
          </cell>
          <cell r="F6354" t="str">
            <v>M251001R1</v>
          </cell>
          <cell r="J6354">
            <v>46128</v>
          </cell>
          <cell r="K6354">
            <v>8</v>
          </cell>
        </row>
        <row r="6355">
          <cell r="C6355" t="str">
            <v>彭志豪</v>
          </cell>
          <cell r="F6355" t="str">
            <v>M251001R1</v>
          </cell>
          <cell r="J6355">
            <v>46129</v>
          </cell>
          <cell r="K6355">
            <v>8</v>
          </cell>
        </row>
        <row r="6356">
          <cell r="C6356" t="str">
            <v>彭志豪</v>
          </cell>
          <cell r="F6356" t="str">
            <v>M251001R1</v>
          </cell>
          <cell r="J6356">
            <v>46132</v>
          </cell>
          <cell r="K6356">
            <v>6</v>
          </cell>
        </row>
        <row r="6357">
          <cell r="C6357" t="str">
            <v>彭志豪</v>
          </cell>
          <cell r="F6357" t="str">
            <v>K250501R2</v>
          </cell>
          <cell r="J6357">
            <v>46132</v>
          </cell>
          <cell r="K6357">
            <v>2</v>
          </cell>
        </row>
        <row r="6358">
          <cell r="C6358" t="str">
            <v>彭志豪</v>
          </cell>
          <cell r="F6358" t="str">
            <v>M251001R1</v>
          </cell>
          <cell r="J6358">
            <v>46133</v>
          </cell>
          <cell r="K6358">
            <v>6</v>
          </cell>
        </row>
        <row r="6359">
          <cell r="C6359" t="str">
            <v>彭志豪</v>
          </cell>
          <cell r="F6359" t="str">
            <v>K250501R2</v>
          </cell>
          <cell r="J6359">
            <v>46133</v>
          </cell>
          <cell r="K6359">
            <v>2</v>
          </cell>
        </row>
        <row r="6360">
          <cell r="C6360" t="str">
            <v>彭志豪</v>
          </cell>
          <cell r="F6360" t="str">
            <v>M251001R1</v>
          </cell>
          <cell r="J6360">
            <v>46134</v>
          </cell>
          <cell r="K6360">
            <v>8</v>
          </cell>
        </row>
        <row r="6361">
          <cell r="C6361" t="str">
            <v>彭志豪</v>
          </cell>
          <cell r="F6361" t="str">
            <v>M251001R1</v>
          </cell>
          <cell r="J6361">
            <v>46135</v>
          </cell>
          <cell r="K6361">
            <v>8</v>
          </cell>
        </row>
        <row r="6362">
          <cell r="C6362" t="str">
            <v>彭志豪</v>
          </cell>
          <cell r="F6362" t="str">
            <v>M251001R1</v>
          </cell>
          <cell r="J6362">
            <v>46136</v>
          </cell>
          <cell r="K6362">
            <v>6</v>
          </cell>
        </row>
        <row r="6363">
          <cell r="C6363" t="str">
            <v>彭志豪</v>
          </cell>
          <cell r="F6363" t="str">
            <v>K250501R2</v>
          </cell>
          <cell r="J6363">
            <v>46136</v>
          </cell>
          <cell r="K6363">
            <v>2</v>
          </cell>
        </row>
        <row r="6364">
          <cell r="C6364" t="str">
            <v>彭志豪</v>
          </cell>
          <cell r="F6364" t="str">
            <v>M251001R1</v>
          </cell>
          <cell r="J6364">
            <v>46139</v>
          </cell>
          <cell r="K6364">
            <v>8</v>
          </cell>
        </row>
        <row r="6365">
          <cell r="C6365" t="str">
            <v>彭志豪</v>
          </cell>
          <cell r="F6365" t="str">
            <v>M251001R1</v>
          </cell>
          <cell r="J6365">
            <v>46140</v>
          </cell>
          <cell r="K6365">
            <v>8</v>
          </cell>
        </row>
        <row r="6366">
          <cell r="C6366" t="str">
            <v>彭志豪</v>
          </cell>
          <cell r="F6366" t="str">
            <v>M251001R1</v>
          </cell>
          <cell r="J6366">
            <v>46141</v>
          </cell>
          <cell r="K6366">
            <v>6</v>
          </cell>
        </row>
        <row r="6367">
          <cell r="C6367" t="str">
            <v>彭志豪</v>
          </cell>
          <cell r="F6367" t="str">
            <v>K250501R2</v>
          </cell>
          <cell r="J6367">
            <v>46141</v>
          </cell>
          <cell r="K6367">
            <v>2</v>
          </cell>
        </row>
        <row r="6368">
          <cell r="C6368" t="str">
            <v>彭志豪</v>
          </cell>
          <cell r="F6368" t="str">
            <v>M251001R1</v>
          </cell>
          <cell r="J6368">
            <v>46142</v>
          </cell>
          <cell r="K6368">
            <v>4</v>
          </cell>
        </row>
        <row r="6369">
          <cell r="C6369" t="str">
            <v>彭志豪</v>
          </cell>
          <cell r="F6369" t="str">
            <v>K250501R2</v>
          </cell>
          <cell r="J6369">
            <v>46142</v>
          </cell>
          <cell r="K6369">
            <v>4</v>
          </cell>
        </row>
        <row r="6370">
          <cell r="C6370" t="str">
            <v>彭志豪</v>
          </cell>
          <cell r="F6370" t="str">
            <v>M251001R1</v>
          </cell>
          <cell r="J6370">
            <v>46146</v>
          </cell>
          <cell r="K6370">
            <v>6</v>
          </cell>
        </row>
        <row r="6371">
          <cell r="C6371" t="str">
            <v>彭志豪</v>
          </cell>
          <cell r="F6371" t="str">
            <v>K250501R2</v>
          </cell>
          <cell r="J6371">
            <v>46146</v>
          </cell>
          <cell r="K6371">
            <v>2</v>
          </cell>
        </row>
        <row r="6372">
          <cell r="C6372" t="str">
            <v>彭志豪</v>
          </cell>
          <cell r="F6372" t="str">
            <v>M251001R1</v>
          </cell>
          <cell r="J6372">
            <v>46147</v>
          </cell>
          <cell r="K6372">
            <v>5</v>
          </cell>
        </row>
        <row r="6373">
          <cell r="C6373" t="str">
            <v>彭志豪</v>
          </cell>
          <cell r="F6373" t="str">
            <v>K250501R2</v>
          </cell>
          <cell r="J6373">
            <v>46147</v>
          </cell>
          <cell r="K6373">
            <v>3</v>
          </cell>
        </row>
        <row r="6374">
          <cell r="C6374" t="str">
            <v>彭志豪</v>
          </cell>
          <cell r="J6374">
            <v>46148</v>
          </cell>
          <cell r="K6374">
            <v>6</v>
          </cell>
        </row>
        <row r="6375">
          <cell r="C6375" t="str">
            <v>彭志豪</v>
          </cell>
          <cell r="F6375" t="str">
            <v>K250501R2</v>
          </cell>
          <cell r="J6375">
            <v>46148</v>
          </cell>
          <cell r="K6375">
            <v>2</v>
          </cell>
        </row>
        <row r="6376">
          <cell r="C6376" t="str">
            <v>彭志豪</v>
          </cell>
          <cell r="F6376" t="str">
            <v>M251001R1</v>
          </cell>
          <cell r="J6376">
            <v>46149</v>
          </cell>
          <cell r="K6376">
            <v>6</v>
          </cell>
        </row>
        <row r="6377">
          <cell r="C6377" t="str">
            <v>彭志豪</v>
          </cell>
          <cell r="F6377" t="str">
            <v>K250501R2</v>
          </cell>
          <cell r="J6377">
            <v>46149</v>
          </cell>
          <cell r="K6377">
            <v>2</v>
          </cell>
        </row>
        <row r="6378">
          <cell r="C6378" t="str">
            <v>彭志豪</v>
          </cell>
          <cell r="F6378" t="str">
            <v>M251001R1</v>
          </cell>
          <cell r="J6378">
            <v>46150</v>
          </cell>
          <cell r="K6378">
            <v>5</v>
          </cell>
        </row>
        <row r="6379">
          <cell r="C6379" t="str">
            <v>彭志豪</v>
          </cell>
          <cell r="F6379" t="str">
            <v>K250501R2</v>
          </cell>
          <cell r="J6379">
            <v>46150</v>
          </cell>
          <cell r="K6379">
            <v>3</v>
          </cell>
        </row>
        <row r="6380">
          <cell r="C6380" t="str">
            <v>彭志豪</v>
          </cell>
          <cell r="F6380" t="str">
            <v>M251001R1</v>
          </cell>
          <cell r="J6380">
            <v>46153</v>
          </cell>
          <cell r="K6380">
            <v>6</v>
          </cell>
        </row>
        <row r="6381">
          <cell r="C6381" t="str">
            <v>彭志豪</v>
          </cell>
          <cell r="F6381" t="str">
            <v>K250501R2</v>
          </cell>
          <cell r="J6381">
            <v>46153</v>
          </cell>
          <cell r="K6381">
            <v>2</v>
          </cell>
        </row>
        <row r="6382">
          <cell r="C6382" t="str">
            <v>彭志豪</v>
          </cell>
          <cell r="F6382" t="str">
            <v>M251001R1</v>
          </cell>
          <cell r="J6382">
            <v>46154</v>
          </cell>
          <cell r="K6382">
            <v>5</v>
          </cell>
        </row>
        <row r="6383">
          <cell r="C6383" t="str">
            <v>彭志豪</v>
          </cell>
          <cell r="F6383" t="str">
            <v>K250501R2</v>
          </cell>
          <cell r="J6383">
            <v>46154</v>
          </cell>
          <cell r="K6383">
            <v>3</v>
          </cell>
        </row>
        <row r="6384">
          <cell r="C6384" t="str">
            <v>彭志豪</v>
          </cell>
          <cell r="F6384" t="str">
            <v>M251001R1</v>
          </cell>
          <cell r="J6384">
            <v>46155</v>
          </cell>
          <cell r="K6384">
            <v>8</v>
          </cell>
        </row>
        <row r="6385">
          <cell r="C6385" t="str">
            <v>彭志豪</v>
          </cell>
          <cell r="F6385" t="str">
            <v>M251001R1</v>
          </cell>
          <cell r="J6385">
            <v>46156</v>
          </cell>
          <cell r="K6385">
            <v>8</v>
          </cell>
        </row>
        <row r="6386">
          <cell r="C6386" t="str">
            <v>彭志豪</v>
          </cell>
          <cell r="F6386" t="str">
            <v>M251001R1</v>
          </cell>
          <cell r="J6386">
            <v>46157</v>
          </cell>
          <cell r="K6386">
            <v>8</v>
          </cell>
        </row>
        <row r="6387">
          <cell r="C6387" t="str">
            <v>彭志豪</v>
          </cell>
          <cell r="F6387" t="str">
            <v>M251001R1</v>
          </cell>
          <cell r="J6387">
            <v>46160</v>
          </cell>
          <cell r="K6387">
            <v>8</v>
          </cell>
        </row>
        <row r="6388">
          <cell r="C6388" t="str">
            <v>彭志豪</v>
          </cell>
          <cell r="F6388" t="str">
            <v>M251001R1</v>
          </cell>
          <cell r="J6388">
            <v>46161</v>
          </cell>
          <cell r="K6388">
            <v>7</v>
          </cell>
        </row>
        <row r="6389">
          <cell r="C6389" t="str">
            <v>彭志豪</v>
          </cell>
          <cell r="F6389" t="str">
            <v>K250501R2</v>
          </cell>
          <cell r="J6389">
            <v>46161</v>
          </cell>
          <cell r="K6389">
            <v>1</v>
          </cell>
        </row>
        <row r="6390">
          <cell r="C6390" t="str">
            <v>彭志豪</v>
          </cell>
          <cell r="F6390" t="str">
            <v>M251001R1</v>
          </cell>
          <cell r="J6390">
            <v>46162</v>
          </cell>
          <cell r="K6390">
            <v>8</v>
          </cell>
        </row>
        <row r="6391">
          <cell r="C6391" t="str">
            <v>李騏敬</v>
          </cell>
          <cell r="F6391" t="str">
            <v>D230201R1</v>
          </cell>
          <cell r="J6391">
            <v>45470</v>
          </cell>
          <cell r="K6391">
            <v>10</v>
          </cell>
        </row>
        <row r="6392">
          <cell r="C6392" t="str">
            <v>李騏敬</v>
          </cell>
          <cell r="J6392">
            <v>45471</v>
          </cell>
          <cell r="K6392">
            <v>8</v>
          </cell>
        </row>
        <row r="6393">
          <cell r="C6393" t="str">
            <v>李騏敬</v>
          </cell>
          <cell r="F6393" t="str">
            <v>M240101R1</v>
          </cell>
          <cell r="J6393">
            <v>45474</v>
          </cell>
          <cell r="K6393">
            <v>8</v>
          </cell>
        </row>
        <row r="6394">
          <cell r="C6394" t="str">
            <v>李騏敬</v>
          </cell>
          <cell r="J6394">
            <v>45475</v>
          </cell>
          <cell r="K6394">
            <v>8</v>
          </cell>
        </row>
        <row r="6395">
          <cell r="C6395" t="str">
            <v>李騏敬</v>
          </cell>
          <cell r="F6395" t="str">
            <v>D230201R1</v>
          </cell>
          <cell r="J6395">
            <v>45476</v>
          </cell>
          <cell r="K6395">
            <v>10</v>
          </cell>
        </row>
        <row r="6396">
          <cell r="C6396" t="str">
            <v>李騏敬</v>
          </cell>
          <cell r="J6396">
            <v>45477</v>
          </cell>
          <cell r="K6396">
            <v>8</v>
          </cell>
        </row>
        <row r="6397">
          <cell r="C6397" t="str">
            <v>李騏敬</v>
          </cell>
          <cell r="F6397" t="str">
            <v>D230201R1</v>
          </cell>
          <cell r="J6397">
            <v>45478</v>
          </cell>
          <cell r="K6397">
            <v>8</v>
          </cell>
        </row>
        <row r="6398">
          <cell r="C6398" t="str">
            <v>李騏敬</v>
          </cell>
          <cell r="F6398" t="str">
            <v>M240101R1</v>
          </cell>
          <cell r="J6398">
            <v>45481</v>
          </cell>
          <cell r="K6398">
            <v>10</v>
          </cell>
        </row>
        <row r="6399">
          <cell r="C6399" t="str">
            <v>李騏敬</v>
          </cell>
          <cell r="J6399">
            <v>45482</v>
          </cell>
          <cell r="K6399">
            <v>3</v>
          </cell>
        </row>
        <row r="6400">
          <cell r="C6400" t="str">
            <v>李騏敬</v>
          </cell>
          <cell r="J6400">
            <v>45482</v>
          </cell>
          <cell r="K6400">
            <v>1.5</v>
          </cell>
        </row>
        <row r="6401">
          <cell r="C6401" t="str">
            <v>李騏敬</v>
          </cell>
          <cell r="F6401" t="str">
            <v>M240101R1</v>
          </cell>
          <cell r="J6401">
            <v>45482</v>
          </cell>
          <cell r="K6401">
            <v>3.5</v>
          </cell>
        </row>
        <row r="6402">
          <cell r="C6402" t="str">
            <v>李騏敬</v>
          </cell>
          <cell r="J6402">
            <v>45483</v>
          </cell>
          <cell r="K6402">
            <v>4.5</v>
          </cell>
        </row>
        <row r="6403">
          <cell r="C6403" t="str">
            <v>李騏敬</v>
          </cell>
          <cell r="J6403">
            <v>45483</v>
          </cell>
          <cell r="K6403">
            <v>3.5</v>
          </cell>
        </row>
        <row r="6404">
          <cell r="C6404" t="str">
            <v>李騏敬</v>
          </cell>
          <cell r="J6404">
            <v>45484</v>
          </cell>
          <cell r="K6404">
            <v>8</v>
          </cell>
        </row>
        <row r="6405">
          <cell r="C6405" t="str">
            <v>李騏敬</v>
          </cell>
          <cell r="F6405" t="str">
            <v>D230201R1</v>
          </cell>
          <cell r="J6405">
            <v>45485</v>
          </cell>
          <cell r="K6405">
            <v>8</v>
          </cell>
        </row>
        <row r="6406">
          <cell r="C6406" t="str">
            <v>李騏敬</v>
          </cell>
          <cell r="J6406">
            <v>45488</v>
          </cell>
          <cell r="K6406">
            <v>8</v>
          </cell>
        </row>
        <row r="6407">
          <cell r="C6407" t="str">
            <v>李騏敬</v>
          </cell>
          <cell r="J6407">
            <v>45489</v>
          </cell>
          <cell r="K6407">
            <v>8</v>
          </cell>
        </row>
        <row r="6408">
          <cell r="C6408" t="str">
            <v>李騏敬</v>
          </cell>
          <cell r="J6408">
            <v>45490</v>
          </cell>
          <cell r="K6408">
            <v>8</v>
          </cell>
        </row>
        <row r="6409">
          <cell r="C6409" t="str">
            <v>李騏敬</v>
          </cell>
          <cell r="J6409">
            <v>45491</v>
          </cell>
          <cell r="K6409">
            <v>8</v>
          </cell>
        </row>
        <row r="6410">
          <cell r="C6410" t="str">
            <v>李騏敬</v>
          </cell>
          <cell r="F6410" t="str">
            <v>D230201R1</v>
          </cell>
          <cell r="J6410">
            <v>45492</v>
          </cell>
          <cell r="K6410">
            <v>9</v>
          </cell>
        </row>
        <row r="6411">
          <cell r="C6411" t="str">
            <v>李騏敬</v>
          </cell>
          <cell r="J6411">
            <v>45495</v>
          </cell>
          <cell r="K6411">
            <v>8</v>
          </cell>
        </row>
        <row r="6412">
          <cell r="C6412" t="str">
            <v>李騏敬</v>
          </cell>
          <cell r="J6412">
            <v>45496</v>
          </cell>
          <cell r="K6412">
            <v>3</v>
          </cell>
        </row>
        <row r="6413">
          <cell r="C6413" t="str">
            <v>李騏敬</v>
          </cell>
          <cell r="F6413" t="str">
            <v>M240101R1</v>
          </cell>
          <cell r="J6413">
            <v>45496</v>
          </cell>
          <cell r="K6413">
            <v>5</v>
          </cell>
        </row>
        <row r="6414">
          <cell r="C6414" t="str">
            <v>李騏敬</v>
          </cell>
          <cell r="J6414">
            <v>45497</v>
          </cell>
          <cell r="K6414">
            <v>8</v>
          </cell>
        </row>
        <row r="6415">
          <cell r="C6415" t="str">
            <v>李騏敬</v>
          </cell>
          <cell r="J6415">
            <v>45498</v>
          </cell>
          <cell r="K6415">
            <v>8</v>
          </cell>
        </row>
        <row r="6416">
          <cell r="C6416" t="str">
            <v>李騏敬</v>
          </cell>
          <cell r="F6416" t="str">
            <v>D230201R1</v>
          </cell>
          <cell r="J6416">
            <v>45499</v>
          </cell>
          <cell r="K6416">
            <v>8</v>
          </cell>
        </row>
        <row r="6417">
          <cell r="C6417" t="str">
            <v>李騏敬</v>
          </cell>
          <cell r="F6417" t="str">
            <v>M240101R1</v>
          </cell>
          <cell r="J6417">
            <v>45502</v>
          </cell>
          <cell r="K6417">
            <v>7</v>
          </cell>
        </row>
        <row r="6418">
          <cell r="C6418" t="str">
            <v>李騏敬</v>
          </cell>
          <cell r="J6418">
            <v>45502</v>
          </cell>
          <cell r="K6418">
            <v>1</v>
          </cell>
        </row>
        <row r="6419">
          <cell r="C6419" t="str">
            <v>李騏敬</v>
          </cell>
          <cell r="J6419">
            <v>45503</v>
          </cell>
          <cell r="K6419">
            <v>8</v>
          </cell>
        </row>
        <row r="6420">
          <cell r="C6420" t="str">
            <v>李騏敬</v>
          </cell>
          <cell r="J6420">
            <v>45504</v>
          </cell>
          <cell r="K6420">
            <v>5</v>
          </cell>
        </row>
        <row r="6421">
          <cell r="C6421" t="str">
            <v>李騏敬</v>
          </cell>
          <cell r="F6421" t="str">
            <v>M240101R1</v>
          </cell>
          <cell r="J6421">
            <v>45504</v>
          </cell>
          <cell r="K6421">
            <v>3</v>
          </cell>
        </row>
        <row r="6422">
          <cell r="C6422" t="str">
            <v>李騏敬</v>
          </cell>
          <cell r="J6422">
            <v>45505</v>
          </cell>
          <cell r="K6422">
            <v>4</v>
          </cell>
        </row>
        <row r="6423">
          <cell r="C6423" t="str">
            <v>李騏敬</v>
          </cell>
          <cell r="F6423" t="str">
            <v>M240101R1</v>
          </cell>
          <cell r="J6423">
            <v>45505</v>
          </cell>
          <cell r="K6423">
            <v>2</v>
          </cell>
        </row>
        <row r="6424">
          <cell r="C6424" t="str">
            <v>李騏敬</v>
          </cell>
          <cell r="F6424" t="str">
            <v>D230201R1</v>
          </cell>
          <cell r="J6424">
            <v>45505</v>
          </cell>
          <cell r="K6424">
            <v>5</v>
          </cell>
        </row>
        <row r="6425">
          <cell r="C6425" t="str">
            <v>李騏敬</v>
          </cell>
          <cell r="F6425" t="str">
            <v>D230201R1</v>
          </cell>
          <cell r="J6425">
            <v>45506</v>
          </cell>
          <cell r="K6425">
            <v>8</v>
          </cell>
        </row>
        <row r="6426">
          <cell r="C6426" t="str">
            <v>李騏敬</v>
          </cell>
          <cell r="J6426">
            <v>45509</v>
          </cell>
          <cell r="K6426">
            <v>8</v>
          </cell>
        </row>
        <row r="6427">
          <cell r="C6427" t="str">
            <v>李騏敬</v>
          </cell>
          <cell r="F6427" t="str">
            <v>D230201R1</v>
          </cell>
          <cell r="J6427">
            <v>45510</v>
          </cell>
          <cell r="K6427">
            <v>8</v>
          </cell>
        </row>
        <row r="6428">
          <cell r="C6428" t="str">
            <v>李騏敬</v>
          </cell>
          <cell r="F6428" t="str">
            <v>D230201R1</v>
          </cell>
          <cell r="J6428">
            <v>45511</v>
          </cell>
          <cell r="K6428">
            <v>8</v>
          </cell>
        </row>
        <row r="6429">
          <cell r="C6429" t="str">
            <v>李騏敬</v>
          </cell>
          <cell r="F6429" t="str">
            <v>D230201R1</v>
          </cell>
          <cell r="J6429">
            <v>45512</v>
          </cell>
          <cell r="K6429">
            <v>8</v>
          </cell>
        </row>
        <row r="6430">
          <cell r="C6430" t="str">
            <v>李騏敬</v>
          </cell>
          <cell r="F6430" t="str">
            <v>D230201R1</v>
          </cell>
          <cell r="J6430">
            <v>45513</v>
          </cell>
          <cell r="K6430">
            <v>8</v>
          </cell>
        </row>
        <row r="6431">
          <cell r="C6431" t="str">
            <v>李騏敬</v>
          </cell>
          <cell r="F6431" t="str">
            <v>D230201R1</v>
          </cell>
          <cell r="J6431">
            <v>45516</v>
          </cell>
          <cell r="K6431">
            <v>8</v>
          </cell>
        </row>
        <row r="6432">
          <cell r="C6432" t="str">
            <v>李騏敬</v>
          </cell>
          <cell r="F6432" t="str">
            <v>D230201R1</v>
          </cell>
          <cell r="J6432">
            <v>45517</v>
          </cell>
          <cell r="K6432">
            <v>8</v>
          </cell>
        </row>
        <row r="6433">
          <cell r="C6433" t="str">
            <v>李騏敬</v>
          </cell>
          <cell r="F6433" t="str">
            <v>D230201R1</v>
          </cell>
          <cell r="J6433">
            <v>45518</v>
          </cell>
          <cell r="K6433">
            <v>8</v>
          </cell>
        </row>
        <row r="6434">
          <cell r="C6434" t="str">
            <v>李騏敬</v>
          </cell>
          <cell r="F6434" t="str">
            <v>D230201R1</v>
          </cell>
          <cell r="J6434">
            <v>45519</v>
          </cell>
          <cell r="K6434">
            <v>8</v>
          </cell>
        </row>
        <row r="6435">
          <cell r="C6435" t="str">
            <v>李騏敬</v>
          </cell>
          <cell r="F6435" t="str">
            <v>D230201R1</v>
          </cell>
          <cell r="J6435">
            <v>45520</v>
          </cell>
          <cell r="K6435">
            <v>8</v>
          </cell>
        </row>
        <row r="6436">
          <cell r="C6436" t="str">
            <v>李騏敬</v>
          </cell>
          <cell r="F6436" t="str">
            <v>D230201R1</v>
          </cell>
          <cell r="J6436">
            <v>45523</v>
          </cell>
          <cell r="K6436">
            <v>8</v>
          </cell>
        </row>
        <row r="6437">
          <cell r="C6437" t="str">
            <v>李騏敬</v>
          </cell>
          <cell r="F6437" t="str">
            <v>D230201R1</v>
          </cell>
          <cell r="J6437">
            <v>45524</v>
          </cell>
          <cell r="K6437">
            <v>8</v>
          </cell>
        </row>
        <row r="6438">
          <cell r="C6438" t="str">
            <v>李騏敬</v>
          </cell>
          <cell r="F6438" t="str">
            <v>D230201R1</v>
          </cell>
          <cell r="J6438">
            <v>45525</v>
          </cell>
          <cell r="K6438">
            <v>8</v>
          </cell>
        </row>
        <row r="6439">
          <cell r="C6439" t="str">
            <v>李騏敬</v>
          </cell>
          <cell r="F6439" t="str">
            <v>D230201R1</v>
          </cell>
          <cell r="J6439">
            <v>45526</v>
          </cell>
          <cell r="K6439">
            <v>8</v>
          </cell>
        </row>
        <row r="6440">
          <cell r="C6440" t="str">
            <v>李騏敬</v>
          </cell>
          <cell r="F6440" t="str">
            <v>D230201R1</v>
          </cell>
          <cell r="J6440">
            <v>45527</v>
          </cell>
          <cell r="K6440">
            <v>8</v>
          </cell>
        </row>
        <row r="6441">
          <cell r="C6441" t="str">
            <v>李騏敬</v>
          </cell>
          <cell r="F6441" t="str">
            <v>D230201R1</v>
          </cell>
          <cell r="J6441">
            <v>45530</v>
          </cell>
          <cell r="K6441">
            <v>8</v>
          </cell>
        </row>
        <row r="6442">
          <cell r="C6442" t="str">
            <v>李騏敬</v>
          </cell>
          <cell r="F6442" t="str">
            <v>D230201R1</v>
          </cell>
          <cell r="J6442">
            <v>45531</v>
          </cell>
          <cell r="K6442">
            <v>8</v>
          </cell>
        </row>
        <row r="6443">
          <cell r="C6443" t="str">
            <v>李騏敬</v>
          </cell>
          <cell r="F6443" t="str">
            <v>D230201R1</v>
          </cell>
          <cell r="J6443">
            <v>45532</v>
          </cell>
          <cell r="K6443">
            <v>8</v>
          </cell>
        </row>
        <row r="6444">
          <cell r="C6444" t="str">
            <v>李騏敬</v>
          </cell>
          <cell r="F6444" t="str">
            <v>D230201R1</v>
          </cell>
          <cell r="J6444">
            <v>45533</v>
          </cell>
          <cell r="K6444">
            <v>8</v>
          </cell>
        </row>
        <row r="6445">
          <cell r="C6445" t="str">
            <v>李騏敬</v>
          </cell>
          <cell r="F6445" t="str">
            <v>D230201R1</v>
          </cell>
          <cell r="J6445">
            <v>45534</v>
          </cell>
          <cell r="K6445">
            <v>8</v>
          </cell>
        </row>
        <row r="6446">
          <cell r="C6446" t="str">
            <v>李騏敬</v>
          </cell>
          <cell r="J6446">
            <v>45537</v>
          </cell>
          <cell r="K6446">
            <v>8</v>
          </cell>
        </row>
        <row r="6447">
          <cell r="C6447" t="str">
            <v>李騏敬</v>
          </cell>
          <cell r="J6447">
            <v>45538</v>
          </cell>
          <cell r="K6447">
            <v>8</v>
          </cell>
        </row>
        <row r="6448">
          <cell r="C6448" t="str">
            <v>李騏敬</v>
          </cell>
          <cell r="J6448">
            <v>45539</v>
          </cell>
          <cell r="K6448">
            <v>8</v>
          </cell>
        </row>
        <row r="6449">
          <cell r="C6449" t="str">
            <v>李騏敬</v>
          </cell>
          <cell r="J6449">
            <v>45540</v>
          </cell>
          <cell r="K6449">
            <v>8</v>
          </cell>
        </row>
        <row r="6450">
          <cell r="C6450" t="str">
            <v>李騏敬</v>
          </cell>
          <cell r="J6450">
            <v>45541</v>
          </cell>
          <cell r="K6450">
            <v>8</v>
          </cell>
        </row>
        <row r="6451">
          <cell r="C6451" t="str">
            <v>李騏敬</v>
          </cell>
          <cell r="J6451">
            <v>45544</v>
          </cell>
          <cell r="K6451">
            <v>8</v>
          </cell>
        </row>
        <row r="6452">
          <cell r="C6452" t="str">
            <v>李騏敬</v>
          </cell>
          <cell r="F6452" t="str">
            <v>D230201R1</v>
          </cell>
          <cell r="J6452">
            <v>45545</v>
          </cell>
          <cell r="K6452">
            <v>8</v>
          </cell>
        </row>
        <row r="6453">
          <cell r="C6453" t="str">
            <v>李騏敬</v>
          </cell>
          <cell r="F6453" t="str">
            <v>D230201R1</v>
          </cell>
          <cell r="J6453">
            <v>45546</v>
          </cell>
          <cell r="K6453">
            <v>8</v>
          </cell>
        </row>
        <row r="6454">
          <cell r="C6454" t="str">
            <v>李騏敬</v>
          </cell>
          <cell r="F6454" t="str">
            <v>D230201R1</v>
          </cell>
          <cell r="J6454">
            <v>45547</v>
          </cell>
          <cell r="K6454">
            <v>8</v>
          </cell>
        </row>
        <row r="6455">
          <cell r="C6455" t="str">
            <v>李騏敬</v>
          </cell>
          <cell r="F6455" t="str">
            <v>D230201R1</v>
          </cell>
          <cell r="J6455">
            <v>45548</v>
          </cell>
          <cell r="K6455">
            <v>8</v>
          </cell>
        </row>
        <row r="6456">
          <cell r="C6456" t="str">
            <v>李騏敬</v>
          </cell>
          <cell r="F6456" t="str">
            <v>D230201R1</v>
          </cell>
          <cell r="J6456">
            <v>45551</v>
          </cell>
          <cell r="K6456">
            <v>8</v>
          </cell>
        </row>
        <row r="6457">
          <cell r="C6457" t="str">
            <v>李騏敬</v>
          </cell>
          <cell r="J6457">
            <v>45552</v>
          </cell>
          <cell r="K6457">
            <v>8</v>
          </cell>
        </row>
        <row r="6458">
          <cell r="C6458" t="str">
            <v>李騏敬</v>
          </cell>
          <cell r="J6458">
            <v>45553</v>
          </cell>
          <cell r="K6458">
            <v>8</v>
          </cell>
        </row>
        <row r="6459">
          <cell r="C6459" t="str">
            <v>李騏敬</v>
          </cell>
          <cell r="J6459">
            <v>45554</v>
          </cell>
          <cell r="K6459">
            <v>8</v>
          </cell>
        </row>
        <row r="6460">
          <cell r="C6460" t="str">
            <v>李騏敬</v>
          </cell>
          <cell r="J6460">
            <v>45555</v>
          </cell>
          <cell r="K6460">
            <v>8</v>
          </cell>
        </row>
        <row r="6461">
          <cell r="C6461" t="str">
            <v>李騏敬</v>
          </cell>
          <cell r="F6461" t="str">
            <v>M240705R1</v>
          </cell>
          <cell r="J6461">
            <v>45558</v>
          </cell>
          <cell r="K6461">
            <v>9.5</v>
          </cell>
        </row>
        <row r="6462">
          <cell r="C6462" t="str">
            <v>李騏敬</v>
          </cell>
          <cell r="F6462" t="str">
            <v>M240705R1</v>
          </cell>
          <cell r="J6462">
            <v>45559</v>
          </cell>
          <cell r="K6462">
            <v>9.5</v>
          </cell>
        </row>
        <row r="6463">
          <cell r="C6463" t="str">
            <v>李騏敬</v>
          </cell>
          <cell r="J6463">
            <v>45560</v>
          </cell>
          <cell r="K6463">
            <v>1.5</v>
          </cell>
        </row>
        <row r="6464">
          <cell r="C6464" t="str">
            <v>李騏敬</v>
          </cell>
          <cell r="F6464" t="str">
            <v>M240705R1</v>
          </cell>
          <cell r="J6464">
            <v>45560</v>
          </cell>
          <cell r="K6464">
            <v>4</v>
          </cell>
        </row>
        <row r="6465">
          <cell r="C6465" t="str">
            <v>李騏敬</v>
          </cell>
          <cell r="F6465" t="str">
            <v>M240701C1</v>
          </cell>
          <cell r="J6465">
            <v>45560</v>
          </cell>
          <cell r="K6465">
            <v>2.5</v>
          </cell>
        </row>
        <row r="6466">
          <cell r="C6466" t="str">
            <v>李騏敬</v>
          </cell>
          <cell r="J6466">
            <v>45561</v>
          </cell>
          <cell r="K6466">
            <v>2</v>
          </cell>
        </row>
        <row r="6467">
          <cell r="C6467" t="str">
            <v>李騏敬</v>
          </cell>
          <cell r="J6467">
            <v>45561</v>
          </cell>
          <cell r="K6467">
            <v>2</v>
          </cell>
        </row>
        <row r="6468">
          <cell r="C6468" t="str">
            <v>李騏敬</v>
          </cell>
          <cell r="F6468" t="str">
            <v>M240701C1</v>
          </cell>
          <cell r="J6468">
            <v>45561</v>
          </cell>
          <cell r="K6468">
            <v>4</v>
          </cell>
        </row>
        <row r="6469">
          <cell r="C6469" t="str">
            <v>李騏敬</v>
          </cell>
          <cell r="J6469">
            <v>45562</v>
          </cell>
          <cell r="K6469">
            <v>2</v>
          </cell>
        </row>
        <row r="6470">
          <cell r="C6470" t="str">
            <v>李騏敬</v>
          </cell>
          <cell r="F6470" t="str">
            <v>M240701C1</v>
          </cell>
          <cell r="J6470">
            <v>45562</v>
          </cell>
          <cell r="K6470">
            <v>6</v>
          </cell>
        </row>
        <row r="6471">
          <cell r="C6471" t="str">
            <v>李騏敬</v>
          </cell>
          <cell r="J6471">
            <v>45565</v>
          </cell>
          <cell r="K6471">
            <v>4</v>
          </cell>
        </row>
        <row r="6472">
          <cell r="C6472" t="str">
            <v>李騏敬</v>
          </cell>
          <cell r="F6472" t="str">
            <v>M240701C1</v>
          </cell>
          <cell r="J6472">
            <v>45565</v>
          </cell>
          <cell r="K6472">
            <v>4</v>
          </cell>
        </row>
        <row r="6473">
          <cell r="C6473" t="str">
            <v>李騏敬</v>
          </cell>
          <cell r="F6473" t="str">
            <v>M240701C1</v>
          </cell>
          <cell r="J6473">
            <v>45566</v>
          </cell>
          <cell r="K6473">
            <v>9</v>
          </cell>
        </row>
        <row r="6474">
          <cell r="C6474" t="str">
            <v>李騏敬</v>
          </cell>
          <cell r="J6474">
            <v>45567</v>
          </cell>
          <cell r="K6474">
            <v>8</v>
          </cell>
        </row>
        <row r="6475">
          <cell r="C6475" t="str">
            <v>李騏敬</v>
          </cell>
          <cell r="J6475">
            <v>45568</v>
          </cell>
          <cell r="K6475">
            <v>8</v>
          </cell>
        </row>
        <row r="6476">
          <cell r="C6476" t="str">
            <v>李騏敬</v>
          </cell>
          <cell r="F6476" t="str">
            <v>M240701C1</v>
          </cell>
          <cell r="J6476">
            <v>45569</v>
          </cell>
          <cell r="K6476">
            <v>8</v>
          </cell>
        </row>
        <row r="6477">
          <cell r="C6477" t="str">
            <v>李騏敬</v>
          </cell>
          <cell r="J6477">
            <v>45571</v>
          </cell>
          <cell r="K6477">
            <v>8</v>
          </cell>
        </row>
        <row r="6478">
          <cell r="C6478" t="str">
            <v>李騏敬</v>
          </cell>
          <cell r="J6478">
            <v>45572</v>
          </cell>
          <cell r="K6478">
            <v>4</v>
          </cell>
        </row>
        <row r="6479">
          <cell r="C6479" t="str">
            <v>李騏敬</v>
          </cell>
          <cell r="F6479" t="str">
            <v>M240701C1</v>
          </cell>
          <cell r="J6479">
            <v>45572</v>
          </cell>
          <cell r="K6479">
            <v>4</v>
          </cell>
        </row>
        <row r="6480">
          <cell r="C6480" t="str">
            <v>李騏敬</v>
          </cell>
          <cell r="J6480">
            <v>45573</v>
          </cell>
          <cell r="K6480">
            <v>2</v>
          </cell>
        </row>
        <row r="6481">
          <cell r="C6481" t="str">
            <v>李騏敬</v>
          </cell>
          <cell r="F6481" t="str">
            <v>M240701C1</v>
          </cell>
          <cell r="J6481">
            <v>45573</v>
          </cell>
          <cell r="K6481">
            <v>6</v>
          </cell>
        </row>
        <row r="6482">
          <cell r="C6482" t="str">
            <v>李騏敬</v>
          </cell>
          <cell r="J6482">
            <v>45574</v>
          </cell>
          <cell r="K6482">
            <v>8</v>
          </cell>
        </row>
        <row r="6483">
          <cell r="C6483" t="str">
            <v>李騏敬</v>
          </cell>
          <cell r="J6483">
            <v>45575</v>
          </cell>
          <cell r="K6483">
            <v>8</v>
          </cell>
        </row>
        <row r="6484">
          <cell r="C6484" t="str">
            <v>李騏敬</v>
          </cell>
          <cell r="J6484">
            <v>45576</v>
          </cell>
          <cell r="K6484">
            <v>8</v>
          </cell>
        </row>
        <row r="6485">
          <cell r="C6485" t="str">
            <v>李騏敬</v>
          </cell>
          <cell r="J6485">
            <v>45577</v>
          </cell>
          <cell r="K6485">
            <v>4</v>
          </cell>
        </row>
        <row r="6486">
          <cell r="C6486" t="str">
            <v>李騏敬</v>
          </cell>
          <cell r="J6486">
            <v>45579</v>
          </cell>
          <cell r="K6486">
            <v>8</v>
          </cell>
        </row>
        <row r="6487">
          <cell r="C6487" t="str">
            <v>李騏敬</v>
          </cell>
          <cell r="F6487" t="str">
            <v>M240701C1</v>
          </cell>
          <cell r="J6487">
            <v>45580</v>
          </cell>
          <cell r="K6487">
            <v>8</v>
          </cell>
        </row>
        <row r="6488">
          <cell r="C6488" t="str">
            <v>李騏敬</v>
          </cell>
          <cell r="J6488">
            <v>45581</v>
          </cell>
          <cell r="K6488">
            <v>8</v>
          </cell>
        </row>
        <row r="6489">
          <cell r="C6489" t="str">
            <v>李騏敬</v>
          </cell>
          <cell r="J6489">
            <v>45582</v>
          </cell>
          <cell r="K6489">
            <v>1</v>
          </cell>
        </row>
        <row r="6490">
          <cell r="C6490" t="str">
            <v>李騏敬</v>
          </cell>
          <cell r="F6490" t="str">
            <v>D240901R1</v>
          </cell>
          <cell r="J6490">
            <v>45582</v>
          </cell>
          <cell r="K6490">
            <v>7</v>
          </cell>
        </row>
        <row r="6491">
          <cell r="C6491" t="str">
            <v>李騏敬</v>
          </cell>
          <cell r="J6491">
            <v>45583</v>
          </cell>
          <cell r="K6491">
            <v>4</v>
          </cell>
        </row>
        <row r="6492">
          <cell r="C6492" t="str">
            <v>李騏敬</v>
          </cell>
          <cell r="F6492" t="str">
            <v>M240701C1</v>
          </cell>
          <cell r="J6492">
            <v>45583</v>
          </cell>
          <cell r="K6492">
            <v>4</v>
          </cell>
        </row>
        <row r="6493">
          <cell r="C6493" t="str">
            <v>李騏敬</v>
          </cell>
          <cell r="J6493">
            <v>45586</v>
          </cell>
          <cell r="K6493">
            <v>1</v>
          </cell>
        </row>
        <row r="6494">
          <cell r="C6494" t="str">
            <v>李騏敬</v>
          </cell>
          <cell r="F6494" t="str">
            <v>D240901R1</v>
          </cell>
          <cell r="J6494">
            <v>45586</v>
          </cell>
          <cell r="K6494">
            <v>3</v>
          </cell>
        </row>
        <row r="6495">
          <cell r="C6495" t="str">
            <v>李騏敬</v>
          </cell>
          <cell r="F6495" t="str">
            <v>M240701C1</v>
          </cell>
          <cell r="J6495">
            <v>45586</v>
          </cell>
          <cell r="K6495">
            <v>4</v>
          </cell>
        </row>
        <row r="6496">
          <cell r="C6496" t="str">
            <v>李騏敬</v>
          </cell>
          <cell r="J6496">
            <v>45587</v>
          </cell>
          <cell r="K6496">
            <v>1</v>
          </cell>
        </row>
        <row r="6497">
          <cell r="C6497" t="str">
            <v>李騏敬</v>
          </cell>
          <cell r="F6497" t="str">
            <v>D241001R1</v>
          </cell>
          <cell r="J6497">
            <v>45587</v>
          </cell>
          <cell r="K6497">
            <v>8</v>
          </cell>
        </row>
        <row r="6498">
          <cell r="C6498" t="str">
            <v>李騏敬</v>
          </cell>
          <cell r="J6498">
            <v>45588</v>
          </cell>
          <cell r="K6498">
            <v>1</v>
          </cell>
        </row>
        <row r="6499">
          <cell r="C6499" t="str">
            <v>李騏敬</v>
          </cell>
          <cell r="F6499" t="str">
            <v>M240701C1</v>
          </cell>
          <cell r="J6499">
            <v>45588</v>
          </cell>
          <cell r="K6499">
            <v>8</v>
          </cell>
        </row>
        <row r="6500">
          <cell r="C6500" t="str">
            <v>李騏敬</v>
          </cell>
          <cell r="F6500" t="str">
            <v>D240901R1</v>
          </cell>
          <cell r="J6500">
            <v>45589</v>
          </cell>
          <cell r="K6500">
            <v>4</v>
          </cell>
        </row>
        <row r="6501">
          <cell r="C6501" t="str">
            <v>李騏敬</v>
          </cell>
          <cell r="F6501" t="str">
            <v>M240701C1</v>
          </cell>
          <cell r="J6501">
            <v>45589</v>
          </cell>
          <cell r="K6501">
            <v>4</v>
          </cell>
        </row>
        <row r="6502">
          <cell r="C6502" t="str">
            <v>李騏敬</v>
          </cell>
          <cell r="J6502">
            <v>45590</v>
          </cell>
          <cell r="K6502">
            <v>4</v>
          </cell>
        </row>
        <row r="6503">
          <cell r="C6503" t="str">
            <v>李騏敬</v>
          </cell>
          <cell r="F6503" t="str">
            <v>M240701C1</v>
          </cell>
          <cell r="J6503">
            <v>45590</v>
          </cell>
          <cell r="K6503">
            <v>4</v>
          </cell>
        </row>
        <row r="6504">
          <cell r="C6504" t="str">
            <v>李騏敬</v>
          </cell>
          <cell r="F6504" t="str">
            <v>M240703R1</v>
          </cell>
          <cell r="J6504">
            <v>45593</v>
          </cell>
          <cell r="K6504">
            <v>8</v>
          </cell>
        </row>
        <row r="6505">
          <cell r="C6505" t="str">
            <v>李騏敬</v>
          </cell>
          <cell r="F6505" t="str">
            <v>M240701C1</v>
          </cell>
          <cell r="J6505">
            <v>45594</v>
          </cell>
          <cell r="K6505">
            <v>9</v>
          </cell>
        </row>
        <row r="6506">
          <cell r="C6506" t="str">
            <v>李騏敬</v>
          </cell>
          <cell r="F6506" t="str">
            <v>M240701C1</v>
          </cell>
          <cell r="J6506">
            <v>45595</v>
          </cell>
          <cell r="K6506">
            <v>8</v>
          </cell>
        </row>
        <row r="6507">
          <cell r="C6507" t="str">
            <v>李騏敬</v>
          </cell>
          <cell r="J6507">
            <v>45596</v>
          </cell>
          <cell r="K6507">
            <v>8</v>
          </cell>
        </row>
        <row r="6508">
          <cell r="C6508" t="str">
            <v>李騏敬</v>
          </cell>
          <cell r="J6508">
            <v>45597</v>
          </cell>
          <cell r="K6508">
            <v>4</v>
          </cell>
        </row>
        <row r="6509">
          <cell r="C6509" t="str">
            <v>李騏敬</v>
          </cell>
          <cell r="F6509" t="str">
            <v>M240701C1</v>
          </cell>
          <cell r="J6509">
            <v>45597</v>
          </cell>
          <cell r="K6509">
            <v>4</v>
          </cell>
        </row>
        <row r="6510">
          <cell r="C6510" t="str">
            <v>李騏敬</v>
          </cell>
          <cell r="F6510" t="str">
            <v>M240701C1</v>
          </cell>
          <cell r="J6510">
            <v>45600</v>
          </cell>
          <cell r="K6510">
            <v>8</v>
          </cell>
        </row>
        <row r="6511">
          <cell r="C6511" t="str">
            <v>李騏敬</v>
          </cell>
          <cell r="F6511" t="str">
            <v>M240701C1</v>
          </cell>
          <cell r="J6511">
            <v>45601</v>
          </cell>
          <cell r="K6511">
            <v>8</v>
          </cell>
        </row>
        <row r="6512">
          <cell r="C6512" t="str">
            <v>李騏敬</v>
          </cell>
          <cell r="J6512">
            <v>45602</v>
          </cell>
          <cell r="K6512">
            <v>2</v>
          </cell>
        </row>
        <row r="6513">
          <cell r="C6513" t="str">
            <v>李騏敬</v>
          </cell>
          <cell r="F6513" t="str">
            <v>D240901R1</v>
          </cell>
          <cell r="J6513">
            <v>45602</v>
          </cell>
          <cell r="K6513">
            <v>4</v>
          </cell>
        </row>
        <row r="6514">
          <cell r="C6514" t="str">
            <v>李騏敬</v>
          </cell>
          <cell r="F6514" t="str">
            <v>M240101R1</v>
          </cell>
          <cell r="J6514">
            <v>45602</v>
          </cell>
          <cell r="K6514">
            <v>2</v>
          </cell>
        </row>
        <row r="6515">
          <cell r="C6515" t="str">
            <v>李騏敬</v>
          </cell>
          <cell r="J6515">
            <v>45603</v>
          </cell>
          <cell r="K6515">
            <v>0.5</v>
          </cell>
        </row>
        <row r="6516">
          <cell r="C6516" t="str">
            <v>李騏敬</v>
          </cell>
          <cell r="F6516" t="str">
            <v>M240701C1</v>
          </cell>
          <cell r="J6516">
            <v>45603</v>
          </cell>
          <cell r="K6516">
            <v>7.5</v>
          </cell>
        </row>
        <row r="6517">
          <cell r="C6517" t="str">
            <v>李騏敬</v>
          </cell>
          <cell r="F6517" t="str">
            <v>M240101R1</v>
          </cell>
          <cell r="J6517">
            <v>45604</v>
          </cell>
          <cell r="K6517">
            <v>8</v>
          </cell>
        </row>
        <row r="6518">
          <cell r="C6518" t="str">
            <v>李騏敬</v>
          </cell>
          <cell r="F6518" t="str">
            <v>M240703R1</v>
          </cell>
          <cell r="J6518">
            <v>45607</v>
          </cell>
          <cell r="K6518">
            <v>5</v>
          </cell>
        </row>
        <row r="6519">
          <cell r="C6519" t="str">
            <v>李騏敬</v>
          </cell>
          <cell r="F6519" t="str">
            <v>M240101R1</v>
          </cell>
          <cell r="J6519">
            <v>45607</v>
          </cell>
          <cell r="K6519">
            <v>5</v>
          </cell>
        </row>
        <row r="6520">
          <cell r="C6520" t="str">
            <v>李騏敬</v>
          </cell>
          <cell r="J6520">
            <v>45608</v>
          </cell>
          <cell r="K6520">
            <v>2</v>
          </cell>
        </row>
        <row r="6521">
          <cell r="C6521" t="str">
            <v>李騏敬</v>
          </cell>
          <cell r="J6521">
            <v>45608</v>
          </cell>
          <cell r="K6521">
            <v>0.5</v>
          </cell>
        </row>
        <row r="6522">
          <cell r="C6522" t="str">
            <v>李騏敬</v>
          </cell>
          <cell r="F6522" t="str">
            <v>M240703R1</v>
          </cell>
          <cell r="J6522">
            <v>45608</v>
          </cell>
          <cell r="K6522">
            <v>4</v>
          </cell>
        </row>
        <row r="6523">
          <cell r="C6523" t="str">
            <v>李騏敬</v>
          </cell>
          <cell r="F6523" t="str">
            <v>M240101R1</v>
          </cell>
          <cell r="J6523">
            <v>45608</v>
          </cell>
          <cell r="K6523">
            <v>1</v>
          </cell>
        </row>
        <row r="6524">
          <cell r="C6524" t="str">
            <v>李騏敬</v>
          </cell>
          <cell r="F6524" t="str">
            <v>M240701C1</v>
          </cell>
          <cell r="J6524">
            <v>45608</v>
          </cell>
          <cell r="K6524">
            <v>1.5</v>
          </cell>
        </row>
        <row r="6525">
          <cell r="C6525" t="str">
            <v>李騏敬</v>
          </cell>
          <cell r="J6525">
            <v>45609</v>
          </cell>
          <cell r="K6525">
            <v>1</v>
          </cell>
        </row>
        <row r="6526">
          <cell r="C6526" t="str">
            <v>李騏敬</v>
          </cell>
          <cell r="F6526" t="str">
            <v>M240101P1</v>
          </cell>
          <cell r="J6526">
            <v>45609</v>
          </cell>
          <cell r="K6526">
            <v>7</v>
          </cell>
        </row>
        <row r="6527">
          <cell r="C6527" t="str">
            <v>李騏敬</v>
          </cell>
          <cell r="F6527" t="str">
            <v>M240703R1</v>
          </cell>
          <cell r="J6527">
            <v>45610</v>
          </cell>
          <cell r="K6527">
            <v>2.5</v>
          </cell>
        </row>
        <row r="6528">
          <cell r="C6528" t="str">
            <v>李騏敬</v>
          </cell>
          <cell r="F6528" t="str">
            <v>M240101R1</v>
          </cell>
          <cell r="J6528">
            <v>45610</v>
          </cell>
          <cell r="K6528">
            <v>4.5</v>
          </cell>
        </row>
        <row r="6529">
          <cell r="C6529" t="str">
            <v>李騏敬</v>
          </cell>
          <cell r="F6529" t="str">
            <v>M240701C1</v>
          </cell>
          <cell r="J6529">
            <v>45610</v>
          </cell>
          <cell r="K6529">
            <v>1</v>
          </cell>
        </row>
        <row r="6530">
          <cell r="C6530" t="str">
            <v>李騏敬</v>
          </cell>
          <cell r="F6530" t="str">
            <v>M240703R1</v>
          </cell>
          <cell r="J6530">
            <v>45611</v>
          </cell>
          <cell r="K6530">
            <v>5</v>
          </cell>
        </row>
        <row r="6531">
          <cell r="C6531" t="str">
            <v>李騏敬</v>
          </cell>
          <cell r="F6531" t="str">
            <v>M240101P1</v>
          </cell>
          <cell r="J6531">
            <v>45611</v>
          </cell>
          <cell r="K6531">
            <v>3</v>
          </cell>
        </row>
        <row r="6532">
          <cell r="C6532" t="str">
            <v>李騏敬</v>
          </cell>
          <cell r="F6532" t="str">
            <v>M240703R1</v>
          </cell>
          <cell r="J6532">
            <v>45614</v>
          </cell>
          <cell r="K6532">
            <v>7</v>
          </cell>
        </row>
        <row r="6533">
          <cell r="C6533" t="str">
            <v>李騏敬</v>
          </cell>
          <cell r="F6533" t="str">
            <v>M240101P1</v>
          </cell>
          <cell r="J6533">
            <v>45614</v>
          </cell>
          <cell r="K6533">
            <v>1</v>
          </cell>
        </row>
        <row r="6534">
          <cell r="C6534" t="str">
            <v>李騏敬</v>
          </cell>
          <cell r="F6534" t="str">
            <v>M240101P1</v>
          </cell>
          <cell r="J6534">
            <v>45615</v>
          </cell>
          <cell r="K6534">
            <v>8</v>
          </cell>
        </row>
        <row r="6535">
          <cell r="C6535" t="str">
            <v>李騏敬</v>
          </cell>
          <cell r="J6535">
            <v>45616</v>
          </cell>
          <cell r="K6535">
            <v>1</v>
          </cell>
        </row>
        <row r="6536">
          <cell r="C6536" t="str">
            <v>李騏敬</v>
          </cell>
          <cell r="F6536" t="str">
            <v>M240703R1</v>
          </cell>
          <cell r="J6536">
            <v>45616</v>
          </cell>
          <cell r="K6536">
            <v>7</v>
          </cell>
        </row>
        <row r="6537">
          <cell r="C6537" t="str">
            <v>李騏敬</v>
          </cell>
          <cell r="F6537" t="str">
            <v>M240703R1</v>
          </cell>
          <cell r="J6537">
            <v>45617</v>
          </cell>
          <cell r="K6537">
            <v>7</v>
          </cell>
        </row>
        <row r="6538">
          <cell r="C6538" t="str">
            <v>李騏敬</v>
          </cell>
          <cell r="F6538" t="str">
            <v>D240901R1</v>
          </cell>
          <cell r="J6538">
            <v>45617</v>
          </cell>
          <cell r="K6538">
            <v>1</v>
          </cell>
        </row>
        <row r="6539">
          <cell r="C6539" t="str">
            <v>李騏敬</v>
          </cell>
          <cell r="F6539" t="str">
            <v>D241001R1</v>
          </cell>
          <cell r="J6539">
            <v>45618</v>
          </cell>
          <cell r="K6539">
            <v>8</v>
          </cell>
        </row>
        <row r="6540">
          <cell r="C6540" t="str">
            <v>李騏敬</v>
          </cell>
          <cell r="F6540" t="str">
            <v>D241001R1</v>
          </cell>
          <cell r="J6540">
            <v>45621</v>
          </cell>
          <cell r="K6540">
            <v>8</v>
          </cell>
        </row>
        <row r="6541">
          <cell r="C6541" t="str">
            <v>李騏敬</v>
          </cell>
          <cell r="F6541" t="str">
            <v>D241001R1</v>
          </cell>
          <cell r="J6541">
            <v>45622</v>
          </cell>
          <cell r="K6541">
            <v>8</v>
          </cell>
        </row>
        <row r="6542">
          <cell r="C6542" t="str">
            <v>李騏敬</v>
          </cell>
          <cell r="F6542" t="str">
            <v>D241001R1</v>
          </cell>
          <cell r="J6542">
            <v>45623</v>
          </cell>
          <cell r="K6542">
            <v>8</v>
          </cell>
        </row>
        <row r="6543">
          <cell r="C6543" t="str">
            <v>李騏敬</v>
          </cell>
          <cell r="J6543">
            <v>45624</v>
          </cell>
          <cell r="K6543">
            <v>0.5</v>
          </cell>
        </row>
        <row r="6544">
          <cell r="C6544" t="str">
            <v>李騏敬</v>
          </cell>
          <cell r="F6544" t="str">
            <v>D241001R1</v>
          </cell>
          <cell r="J6544">
            <v>45624</v>
          </cell>
          <cell r="K6544">
            <v>7.5</v>
          </cell>
        </row>
        <row r="6545">
          <cell r="C6545" t="str">
            <v>李騏敬</v>
          </cell>
          <cell r="J6545">
            <v>45625</v>
          </cell>
          <cell r="K6545">
            <v>6</v>
          </cell>
        </row>
        <row r="6546">
          <cell r="C6546" t="str">
            <v>李騏敬</v>
          </cell>
          <cell r="F6546" t="str">
            <v>D241001R1</v>
          </cell>
          <cell r="J6546">
            <v>45625</v>
          </cell>
          <cell r="K6546">
            <v>2</v>
          </cell>
        </row>
        <row r="6547">
          <cell r="C6547" t="str">
            <v>李騏敬</v>
          </cell>
          <cell r="F6547" t="str">
            <v>M240703R1</v>
          </cell>
          <cell r="J6547">
            <v>45628</v>
          </cell>
          <cell r="K6547">
            <v>1</v>
          </cell>
        </row>
        <row r="6548">
          <cell r="C6548" t="str">
            <v>李騏敬</v>
          </cell>
          <cell r="F6548" t="str">
            <v>D241001R1</v>
          </cell>
          <cell r="J6548">
            <v>45628</v>
          </cell>
          <cell r="K6548">
            <v>7</v>
          </cell>
        </row>
        <row r="6549">
          <cell r="C6549" t="str">
            <v>李騏敬</v>
          </cell>
          <cell r="J6549">
            <v>45629</v>
          </cell>
          <cell r="K6549">
            <v>2</v>
          </cell>
        </row>
        <row r="6550">
          <cell r="C6550" t="str">
            <v>李騏敬</v>
          </cell>
          <cell r="F6550" t="str">
            <v>D241001R1</v>
          </cell>
          <cell r="J6550">
            <v>45629</v>
          </cell>
          <cell r="K6550">
            <v>7</v>
          </cell>
        </row>
        <row r="6551">
          <cell r="C6551" t="str">
            <v>李騏敬</v>
          </cell>
          <cell r="F6551" t="str">
            <v>D241001R1</v>
          </cell>
          <cell r="J6551">
            <v>45630</v>
          </cell>
          <cell r="K6551">
            <v>8</v>
          </cell>
        </row>
        <row r="6552">
          <cell r="C6552" t="str">
            <v>李騏敬</v>
          </cell>
          <cell r="J6552">
            <v>45631</v>
          </cell>
          <cell r="K6552">
            <v>5</v>
          </cell>
        </row>
        <row r="6553">
          <cell r="C6553" t="str">
            <v>李騏敬</v>
          </cell>
          <cell r="F6553" t="str">
            <v>D241001R1</v>
          </cell>
          <cell r="J6553">
            <v>45631</v>
          </cell>
          <cell r="K6553">
            <v>3</v>
          </cell>
        </row>
        <row r="6554">
          <cell r="C6554" t="str">
            <v>李騏敬</v>
          </cell>
          <cell r="J6554">
            <v>45632</v>
          </cell>
          <cell r="K6554">
            <v>2</v>
          </cell>
        </row>
        <row r="6555">
          <cell r="C6555" t="str">
            <v>李騏敬</v>
          </cell>
          <cell r="F6555" t="str">
            <v>D241001R1</v>
          </cell>
          <cell r="J6555">
            <v>45632</v>
          </cell>
          <cell r="K6555">
            <v>6</v>
          </cell>
        </row>
        <row r="6556">
          <cell r="C6556" t="str">
            <v>李騏敬</v>
          </cell>
          <cell r="F6556" t="str">
            <v>D241001R1</v>
          </cell>
          <cell r="J6556">
            <v>45635</v>
          </cell>
          <cell r="K6556">
            <v>8</v>
          </cell>
        </row>
        <row r="6557">
          <cell r="C6557" t="str">
            <v>李騏敬</v>
          </cell>
          <cell r="F6557" t="str">
            <v>D241001R1</v>
          </cell>
          <cell r="J6557">
            <v>45636</v>
          </cell>
          <cell r="K6557">
            <v>8</v>
          </cell>
        </row>
        <row r="6558">
          <cell r="C6558" t="str">
            <v>李騏敬</v>
          </cell>
          <cell r="F6558" t="str">
            <v>D241001R1</v>
          </cell>
          <cell r="J6558">
            <v>45637</v>
          </cell>
          <cell r="K6558">
            <v>8</v>
          </cell>
        </row>
        <row r="6559">
          <cell r="C6559" t="str">
            <v>李騏敬</v>
          </cell>
          <cell r="F6559" t="str">
            <v>D240901R1</v>
          </cell>
          <cell r="J6559">
            <v>45638</v>
          </cell>
          <cell r="K6559">
            <v>8</v>
          </cell>
        </row>
        <row r="6560">
          <cell r="C6560" t="str">
            <v>李騏敬</v>
          </cell>
          <cell r="F6560" t="str">
            <v>D241001R1</v>
          </cell>
          <cell r="J6560">
            <v>45639</v>
          </cell>
          <cell r="K6560">
            <v>5</v>
          </cell>
        </row>
        <row r="6561">
          <cell r="C6561" t="str">
            <v>李騏敬</v>
          </cell>
          <cell r="F6561" t="str">
            <v>D240901R1</v>
          </cell>
          <cell r="J6561">
            <v>45639</v>
          </cell>
          <cell r="K6561">
            <v>3</v>
          </cell>
        </row>
        <row r="6562">
          <cell r="C6562" t="str">
            <v>李騏敬</v>
          </cell>
          <cell r="F6562" t="str">
            <v>D241001R1</v>
          </cell>
          <cell r="J6562">
            <v>45642</v>
          </cell>
          <cell r="K6562">
            <v>8</v>
          </cell>
        </row>
        <row r="6563">
          <cell r="C6563" t="str">
            <v>李騏敬</v>
          </cell>
          <cell r="F6563" t="str">
            <v>D241001R1</v>
          </cell>
          <cell r="J6563">
            <v>45643</v>
          </cell>
          <cell r="K6563">
            <v>8</v>
          </cell>
        </row>
        <row r="6564">
          <cell r="C6564" t="str">
            <v>李騏敬</v>
          </cell>
          <cell r="J6564">
            <v>45644</v>
          </cell>
          <cell r="K6564">
            <v>4</v>
          </cell>
        </row>
        <row r="6565">
          <cell r="C6565" t="str">
            <v>李騏敬</v>
          </cell>
          <cell r="F6565" t="str">
            <v>D241001R1</v>
          </cell>
          <cell r="J6565">
            <v>45644</v>
          </cell>
          <cell r="K6565">
            <v>4</v>
          </cell>
        </row>
        <row r="6566">
          <cell r="C6566" t="str">
            <v>李騏敬</v>
          </cell>
          <cell r="J6566">
            <v>45645</v>
          </cell>
          <cell r="K6566">
            <v>8</v>
          </cell>
        </row>
        <row r="6567">
          <cell r="C6567" t="str">
            <v>李騏敬</v>
          </cell>
          <cell r="F6567" t="str">
            <v>D241001R1</v>
          </cell>
          <cell r="J6567">
            <v>45646</v>
          </cell>
          <cell r="K6567">
            <v>8</v>
          </cell>
        </row>
        <row r="6568">
          <cell r="C6568" t="str">
            <v>李騏敬</v>
          </cell>
          <cell r="F6568" t="str">
            <v>D241001R1</v>
          </cell>
          <cell r="J6568">
            <v>45649</v>
          </cell>
          <cell r="K6568">
            <v>8</v>
          </cell>
        </row>
        <row r="6569">
          <cell r="C6569" t="str">
            <v>李騏敬</v>
          </cell>
          <cell r="J6569">
            <v>45650</v>
          </cell>
          <cell r="K6569">
            <v>8</v>
          </cell>
        </row>
        <row r="6570">
          <cell r="C6570" t="str">
            <v>李騏敬</v>
          </cell>
          <cell r="J6570">
            <v>45651</v>
          </cell>
          <cell r="K6570">
            <v>8</v>
          </cell>
        </row>
        <row r="6571">
          <cell r="C6571" t="str">
            <v>李騏敬</v>
          </cell>
          <cell r="F6571" t="str">
            <v>D241001R1</v>
          </cell>
          <cell r="J6571">
            <v>45652</v>
          </cell>
          <cell r="K6571">
            <v>8</v>
          </cell>
        </row>
        <row r="6572">
          <cell r="C6572" t="str">
            <v>李騏敬</v>
          </cell>
          <cell r="F6572" t="str">
            <v>D241001R1</v>
          </cell>
          <cell r="J6572">
            <v>45653</v>
          </cell>
          <cell r="K6572">
            <v>1</v>
          </cell>
        </row>
        <row r="6573">
          <cell r="C6573" t="str">
            <v>李騏敬</v>
          </cell>
          <cell r="J6573">
            <v>45653</v>
          </cell>
          <cell r="K6573">
            <v>3</v>
          </cell>
        </row>
        <row r="6574">
          <cell r="C6574" t="str">
            <v>李騏敬</v>
          </cell>
          <cell r="F6574" t="str">
            <v>M240703R1</v>
          </cell>
          <cell r="J6574">
            <v>45653</v>
          </cell>
          <cell r="K6574">
            <v>4</v>
          </cell>
        </row>
        <row r="6575">
          <cell r="C6575" t="str">
            <v>李騏敬</v>
          </cell>
          <cell r="F6575" t="str">
            <v>D241001R1</v>
          </cell>
          <cell r="J6575">
            <v>45656</v>
          </cell>
          <cell r="K6575">
            <v>8</v>
          </cell>
        </row>
        <row r="6576">
          <cell r="C6576" t="str">
            <v>李騏敬</v>
          </cell>
          <cell r="J6576">
            <v>45657</v>
          </cell>
          <cell r="K6576">
            <v>8</v>
          </cell>
        </row>
        <row r="6577">
          <cell r="C6577" t="str">
            <v>李騏敬</v>
          </cell>
          <cell r="J6577">
            <v>45658</v>
          </cell>
          <cell r="K6577">
            <v>8</v>
          </cell>
        </row>
        <row r="6578">
          <cell r="C6578" t="str">
            <v>李騏敬</v>
          </cell>
          <cell r="F6578" t="str">
            <v>D241001R1</v>
          </cell>
          <cell r="J6578">
            <v>45659</v>
          </cell>
          <cell r="K6578">
            <v>8</v>
          </cell>
        </row>
        <row r="6579">
          <cell r="C6579" t="str">
            <v>李騏敬</v>
          </cell>
          <cell r="F6579" t="str">
            <v>D241001R1</v>
          </cell>
          <cell r="J6579">
            <v>45660</v>
          </cell>
          <cell r="K6579">
            <v>8</v>
          </cell>
        </row>
        <row r="6580">
          <cell r="C6580" t="str">
            <v>李騏敬</v>
          </cell>
          <cell r="J6580">
            <v>45663</v>
          </cell>
          <cell r="K6580">
            <v>5</v>
          </cell>
        </row>
        <row r="6581">
          <cell r="C6581" t="str">
            <v>李騏敬</v>
          </cell>
          <cell r="F6581" t="str">
            <v>M240101R1</v>
          </cell>
          <cell r="J6581">
            <v>45663</v>
          </cell>
          <cell r="K6581">
            <v>3</v>
          </cell>
        </row>
        <row r="6582">
          <cell r="C6582" t="str">
            <v>李騏敬</v>
          </cell>
          <cell r="F6582" t="str">
            <v>M240101R1</v>
          </cell>
          <cell r="J6582">
            <v>45664</v>
          </cell>
          <cell r="K6582">
            <v>3</v>
          </cell>
        </row>
        <row r="6583">
          <cell r="C6583" t="str">
            <v>李騏敬</v>
          </cell>
          <cell r="F6583" t="str">
            <v>M240101R1</v>
          </cell>
          <cell r="J6583">
            <v>45664</v>
          </cell>
          <cell r="K6583">
            <v>5</v>
          </cell>
        </row>
        <row r="6584">
          <cell r="C6584" t="str">
            <v>李騏敬</v>
          </cell>
          <cell r="J6584">
            <v>45665</v>
          </cell>
          <cell r="K6584">
            <v>8</v>
          </cell>
        </row>
        <row r="6585">
          <cell r="C6585" t="str">
            <v>李騏敬</v>
          </cell>
          <cell r="J6585">
            <v>45666</v>
          </cell>
          <cell r="K6585">
            <v>9</v>
          </cell>
        </row>
        <row r="6586">
          <cell r="C6586" t="str">
            <v>李騏敬</v>
          </cell>
          <cell r="J6586">
            <v>45667</v>
          </cell>
          <cell r="K6586">
            <v>3</v>
          </cell>
        </row>
        <row r="6587">
          <cell r="C6587" t="str">
            <v>李騏敬</v>
          </cell>
          <cell r="F6587" t="str">
            <v>M240703R1</v>
          </cell>
          <cell r="J6587">
            <v>45667</v>
          </cell>
          <cell r="K6587">
            <v>3.5</v>
          </cell>
        </row>
        <row r="6588">
          <cell r="C6588" t="str">
            <v>李騏敬</v>
          </cell>
          <cell r="J6588">
            <v>45670</v>
          </cell>
          <cell r="K6588">
            <v>5</v>
          </cell>
        </row>
        <row r="6589">
          <cell r="C6589" t="str">
            <v>李騏敬</v>
          </cell>
          <cell r="F6589" t="str">
            <v>M240703R1</v>
          </cell>
          <cell r="J6589">
            <v>45670</v>
          </cell>
          <cell r="K6589">
            <v>3</v>
          </cell>
        </row>
        <row r="6590">
          <cell r="C6590" t="str">
            <v>李騏敬</v>
          </cell>
          <cell r="J6590">
            <v>45671</v>
          </cell>
          <cell r="K6590">
            <v>1</v>
          </cell>
        </row>
        <row r="6591">
          <cell r="C6591" t="str">
            <v>李騏敬</v>
          </cell>
          <cell r="J6591">
            <v>45671</v>
          </cell>
          <cell r="K6591">
            <v>2</v>
          </cell>
        </row>
        <row r="6592">
          <cell r="C6592" t="str">
            <v>李騏敬</v>
          </cell>
          <cell r="F6592" t="str">
            <v>M240101P1</v>
          </cell>
          <cell r="J6592">
            <v>45671</v>
          </cell>
          <cell r="K6592">
            <v>5</v>
          </cell>
        </row>
        <row r="6593">
          <cell r="C6593" t="str">
            <v>李騏敬</v>
          </cell>
          <cell r="J6593">
            <v>45672</v>
          </cell>
          <cell r="K6593">
            <v>1</v>
          </cell>
        </row>
        <row r="6594">
          <cell r="C6594" t="str">
            <v>李騏敬</v>
          </cell>
          <cell r="J6594">
            <v>45672</v>
          </cell>
          <cell r="K6594">
            <v>1</v>
          </cell>
        </row>
        <row r="6595">
          <cell r="C6595" t="str">
            <v>李騏敬</v>
          </cell>
          <cell r="F6595" t="str">
            <v>M240703R1</v>
          </cell>
          <cell r="J6595">
            <v>45672</v>
          </cell>
          <cell r="K6595">
            <v>6</v>
          </cell>
        </row>
        <row r="6596">
          <cell r="C6596" t="str">
            <v>李騏敬</v>
          </cell>
          <cell r="J6596">
            <v>45673</v>
          </cell>
          <cell r="K6596">
            <v>8</v>
          </cell>
        </row>
        <row r="6597">
          <cell r="C6597" t="str">
            <v>李騏敬</v>
          </cell>
          <cell r="J6597">
            <v>45674</v>
          </cell>
          <cell r="K6597">
            <v>1</v>
          </cell>
        </row>
        <row r="6598">
          <cell r="C6598" t="str">
            <v>李騏敬</v>
          </cell>
          <cell r="F6598" t="str">
            <v>M240703R1</v>
          </cell>
          <cell r="J6598">
            <v>45674</v>
          </cell>
          <cell r="K6598">
            <v>3</v>
          </cell>
        </row>
        <row r="6599">
          <cell r="C6599" t="str">
            <v>李騏敬</v>
          </cell>
          <cell r="F6599" t="str">
            <v>M240101P1</v>
          </cell>
          <cell r="J6599">
            <v>45674</v>
          </cell>
          <cell r="K6599">
            <v>4</v>
          </cell>
        </row>
        <row r="6600">
          <cell r="C6600" t="str">
            <v>李騏敬</v>
          </cell>
          <cell r="F6600" t="str">
            <v>M240101P1</v>
          </cell>
          <cell r="J6600">
            <v>45677</v>
          </cell>
          <cell r="K6600">
            <v>8</v>
          </cell>
        </row>
        <row r="6601">
          <cell r="C6601" t="str">
            <v>李騏敬</v>
          </cell>
          <cell r="F6601" t="str">
            <v>D250101R1</v>
          </cell>
          <cell r="J6601">
            <v>45678</v>
          </cell>
          <cell r="K6601">
            <v>6.5</v>
          </cell>
        </row>
        <row r="6602">
          <cell r="C6602" t="str">
            <v>李騏敬</v>
          </cell>
          <cell r="F6602" t="str">
            <v>M240101P1</v>
          </cell>
          <cell r="J6602">
            <v>45678</v>
          </cell>
          <cell r="K6602">
            <v>3</v>
          </cell>
        </row>
        <row r="6603">
          <cell r="C6603" t="str">
            <v>李騏敬</v>
          </cell>
          <cell r="F6603" t="str">
            <v>D250101R1</v>
          </cell>
          <cell r="J6603">
            <v>45679</v>
          </cell>
          <cell r="K6603">
            <v>8</v>
          </cell>
        </row>
        <row r="6604">
          <cell r="C6604" t="str">
            <v>李騏敬</v>
          </cell>
          <cell r="J6604">
            <v>45680</v>
          </cell>
          <cell r="K6604">
            <v>1</v>
          </cell>
        </row>
        <row r="6605">
          <cell r="C6605" t="str">
            <v>李騏敬</v>
          </cell>
          <cell r="F6605" t="str">
            <v>M240101P1</v>
          </cell>
          <cell r="J6605">
            <v>45680</v>
          </cell>
          <cell r="K6605">
            <v>2</v>
          </cell>
        </row>
        <row r="6606">
          <cell r="C6606" t="str">
            <v>李騏敬</v>
          </cell>
          <cell r="F6606" t="str">
            <v>D250101R1</v>
          </cell>
          <cell r="J6606">
            <v>45680</v>
          </cell>
          <cell r="K6606">
            <v>5</v>
          </cell>
        </row>
        <row r="6607">
          <cell r="C6607" t="str">
            <v>李騏敬</v>
          </cell>
          <cell r="J6607">
            <v>45681</v>
          </cell>
          <cell r="K6607">
            <v>8</v>
          </cell>
        </row>
        <row r="6608">
          <cell r="C6608" t="str">
            <v>李騏敬</v>
          </cell>
          <cell r="F6608" t="str">
            <v>D250101R1</v>
          </cell>
          <cell r="J6608">
            <v>45691</v>
          </cell>
          <cell r="K6608">
            <v>4</v>
          </cell>
        </row>
        <row r="6609">
          <cell r="C6609" t="str">
            <v>李騏敬</v>
          </cell>
          <cell r="J6609">
            <v>45691</v>
          </cell>
          <cell r="K6609">
            <v>1</v>
          </cell>
        </row>
        <row r="6610">
          <cell r="C6610" t="str">
            <v>李騏敬</v>
          </cell>
          <cell r="F6610" t="str">
            <v>M240703R1</v>
          </cell>
          <cell r="J6610">
            <v>45691</v>
          </cell>
          <cell r="K6610">
            <v>3</v>
          </cell>
        </row>
        <row r="6611">
          <cell r="C6611" t="str">
            <v>李騏敬</v>
          </cell>
          <cell r="J6611">
            <v>45692</v>
          </cell>
          <cell r="K6611">
            <v>7.5</v>
          </cell>
        </row>
        <row r="6612">
          <cell r="C6612" t="str">
            <v>李騏敬</v>
          </cell>
          <cell r="F6612" t="str">
            <v>M240703R1</v>
          </cell>
          <cell r="J6612">
            <v>45692</v>
          </cell>
          <cell r="K6612">
            <v>0.5</v>
          </cell>
        </row>
        <row r="6613">
          <cell r="C6613" t="str">
            <v>李騏敬</v>
          </cell>
          <cell r="F6613" t="str">
            <v>D241001R1</v>
          </cell>
          <cell r="J6613">
            <v>45693</v>
          </cell>
          <cell r="K6613">
            <v>8</v>
          </cell>
        </row>
        <row r="6614">
          <cell r="C6614" t="str">
            <v>李騏敬</v>
          </cell>
          <cell r="J6614">
            <v>45694</v>
          </cell>
          <cell r="K6614">
            <v>2.5</v>
          </cell>
        </row>
        <row r="6615">
          <cell r="C6615" t="str">
            <v>李騏敬</v>
          </cell>
          <cell r="F6615" t="str">
            <v>D250101R1</v>
          </cell>
          <cell r="J6615">
            <v>45694</v>
          </cell>
          <cell r="K6615">
            <v>5.5</v>
          </cell>
        </row>
        <row r="6616">
          <cell r="C6616" t="str">
            <v>李騏敬</v>
          </cell>
          <cell r="F6616" t="str">
            <v>M240101P1</v>
          </cell>
          <cell r="J6616">
            <v>45695</v>
          </cell>
          <cell r="K6616">
            <v>5</v>
          </cell>
        </row>
        <row r="6617">
          <cell r="C6617" t="str">
            <v>李騏敬</v>
          </cell>
          <cell r="F6617" t="str">
            <v>D250101R1</v>
          </cell>
          <cell r="J6617">
            <v>45695</v>
          </cell>
          <cell r="K6617">
            <v>3</v>
          </cell>
        </row>
        <row r="6618">
          <cell r="C6618" t="str">
            <v>李騏敬</v>
          </cell>
          <cell r="F6618" t="str">
            <v>M240703R1</v>
          </cell>
          <cell r="J6618">
            <v>45696</v>
          </cell>
          <cell r="K6618">
            <v>6</v>
          </cell>
        </row>
        <row r="6619">
          <cell r="C6619" t="str">
            <v>李騏敬</v>
          </cell>
          <cell r="F6619" t="str">
            <v>D241001R1</v>
          </cell>
          <cell r="J6619">
            <v>45696</v>
          </cell>
          <cell r="K6619">
            <v>2</v>
          </cell>
        </row>
        <row r="6620">
          <cell r="C6620" t="str">
            <v>李騏敬</v>
          </cell>
          <cell r="F6620" t="str">
            <v>D241001R1</v>
          </cell>
          <cell r="J6620">
            <v>45698</v>
          </cell>
          <cell r="K6620">
            <v>8</v>
          </cell>
        </row>
        <row r="6621">
          <cell r="C6621" t="str">
            <v>李騏敬</v>
          </cell>
          <cell r="F6621" t="str">
            <v>D241001R1</v>
          </cell>
          <cell r="J6621">
            <v>45699</v>
          </cell>
          <cell r="K6621">
            <v>3</v>
          </cell>
        </row>
        <row r="6622">
          <cell r="C6622" t="str">
            <v>李騏敬</v>
          </cell>
          <cell r="F6622" t="str">
            <v>D250101R1</v>
          </cell>
          <cell r="J6622">
            <v>45699</v>
          </cell>
          <cell r="K6622">
            <v>6.5</v>
          </cell>
        </row>
        <row r="6623">
          <cell r="C6623" t="str">
            <v>李騏敬</v>
          </cell>
          <cell r="F6623" t="str">
            <v>D241001R1</v>
          </cell>
          <cell r="J6623">
            <v>45700</v>
          </cell>
          <cell r="K6623">
            <v>4</v>
          </cell>
        </row>
        <row r="6624">
          <cell r="C6624" t="str">
            <v>李騏敬</v>
          </cell>
          <cell r="F6624" t="str">
            <v>D250101R1</v>
          </cell>
          <cell r="J6624">
            <v>45700</v>
          </cell>
          <cell r="K6624">
            <v>5</v>
          </cell>
        </row>
        <row r="6625">
          <cell r="C6625" t="str">
            <v>李騏敬</v>
          </cell>
          <cell r="J6625">
            <v>45701</v>
          </cell>
          <cell r="K6625">
            <v>5</v>
          </cell>
        </row>
        <row r="6626">
          <cell r="C6626" t="str">
            <v>李騏敬</v>
          </cell>
          <cell r="F6626" t="str">
            <v>D241001R1</v>
          </cell>
          <cell r="J6626">
            <v>45701</v>
          </cell>
          <cell r="K6626">
            <v>1</v>
          </cell>
        </row>
        <row r="6627">
          <cell r="C6627" t="str">
            <v>李騏敬</v>
          </cell>
          <cell r="F6627" t="str">
            <v>D250101R1</v>
          </cell>
          <cell r="J6627">
            <v>45701</v>
          </cell>
          <cell r="K6627">
            <v>3.5</v>
          </cell>
        </row>
        <row r="6628">
          <cell r="C6628" t="str">
            <v>李騏敬</v>
          </cell>
          <cell r="J6628">
            <v>45702</v>
          </cell>
          <cell r="K6628">
            <v>5</v>
          </cell>
        </row>
        <row r="6629">
          <cell r="C6629" t="str">
            <v>李騏敬</v>
          </cell>
          <cell r="F6629" t="str">
            <v>D240901R1</v>
          </cell>
          <cell r="J6629">
            <v>45702</v>
          </cell>
          <cell r="K6629">
            <v>3</v>
          </cell>
        </row>
        <row r="6630">
          <cell r="C6630" t="str">
            <v>李騏敬</v>
          </cell>
          <cell r="J6630">
            <v>45705</v>
          </cell>
          <cell r="K6630">
            <v>4</v>
          </cell>
        </row>
        <row r="6631">
          <cell r="C6631" t="str">
            <v>李騏敬</v>
          </cell>
          <cell r="F6631" t="str">
            <v>D241001R1</v>
          </cell>
          <cell r="J6631">
            <v>45705</v>
          </cell>
          <cell r="K6631">
            <v>4</v>
          </cell>
        </row>
        <row r="6632">
          <cell r="C6632" t="str">
            <v>李騏敬</v>
          </cell>
          <cell r="F6632" t="str">
            <v>M240101R1</v>
          </cell>
          <cell r="J6632">
            <v>45706</v>
          </cell>
          <cell r="K6632">
            <v>9</v>
          </cell>
        </row>
        <row r="6633">
          <cell r="C6633" t="str">
            <v>李騏敬</v>
          </cell>
          <cell r="J6633">
            <v>45707</v>
          </cell>
          <cell r="K6633">
            <v>6</v>
          </cell>
        </row>
        <row r="6634">
          <cell r="C6634" t="str">
            <v>李騏敬</v>
          </cell>
          <cell r="F6634" t="str">
            <v>M240101R1</v>
          </cell>
          <cell r="J6634">
            <v>45707</v>
          </cell>
          <cell r="K6634">
            <v>3</v>
          </cell>
        </row>
        <row r="6635">
          <cell r="C6635" t="str">
            <v>李騏敬</v>
          </cell>
          <cell r="F6635" t="str">
            <v>D241001R1</v>
          </cell>
          <cell r="J6635">
            <v>45708</v>
          </cell>
          <cell r="K6635">
            <v>4</v>
          </cell>
        </row>
        <row r="6636">
          <cell r="C6636" t="str">
            <v>李騏敬</v>
          </cell>
          <cell r="F6636" t="str">
            <v>M230901R1</v>
          </cell>
          <cell r="J6636">
            <v>45708</v>
          </cell>
          <cell r="K6636">
            <v>5</v>
          </cell>
        </row>
        <row r="6637">
          <cell r="C6637" t="str">
            <v>李騏敬</v>
          </cell>
          <cell r="F6637" t="str">
            <v>M240101R1</v>
          </cell>
          <cell r="J6637">
            <v>45709</v>
          </cell>
          <cell r="K6637">
            <v>3</v>
          </cell>
        </row>
        <row r="6638">
          <cell r="C6638" t="str">
            <v>李騏敬</v>
          </cell>
          <cell r="F6638" t="str">
            <v>D241001R1</v>
          </cell>
          <cell r="J6638">
            <v>45709</v>
          </cell>
          <cell r="K6638">
            <v>5</v>
          </cell>
        </row>
        <row r="6639">
          <cell r="C6639" t="str">
            <v>李騏敬</v>
          </cell>
          <cell r="F6639" t="str">
            <v>D241001R1</v>
          </cell>
          <cell r="J6639">
            <v>45712</v>
          </cell>
          <cell r="K6639">
            <v>4</v>
          </cell>
        </row>
        <row r="6640">
          <cell r="C6640" t="str">
            <v>李騏敬</v>
          </cell>
          <cell r="F6640" t="str">
            <v>D240901R1</v>
          </cell>
          <cell r="J6640">
            <v>45712</v>
          </cell>
          <cell r="K6640">
            <v>4</v>
          </cell>
        </row>
        <row r="6641">
          <cell r="C6641" t="str">
            <v>李騏敬</v>
          </cell>
          <cell r="F6641" t="str">
            <v>D241001R1</v>
          </cell>
          <cell r="J6641">
            <v>45713</v>
          </cell>
          <cell r="K6641">
            <v>9</v>
          </cell>
        </row>
        <row r="6642">
          <cell r="C6642" t="str">
            <v>李騏敬</v>
          </cell>
          <cell r="J6642">
            <v>45714</v>
          </cell>
          <cell r="K6642">
            <v>0.5</v>
          </cell>
        </row>
        <row r="6643">
          <cell r="C6643" t="str">
            <v>李騏敬</v>
          </cell>
          <cell r="F6643" t="str">
            <v>D240901R1</v>
          </cell>
          <cell r="J6643">
            <v>45714</v>
          </cell>
          <cell r="K6643">
            <v>0.5</v>
          </cell>
        </row>
        <row r="6644">
          <cell r="C6644" t="str">
            <v>李騏敬</v>
          </cell>
          <cell r="F6644" t="str">
            <v>D241001R1</v>
          </cell>
          <cell r="J6644">
            <v>45714</v>
          </cell>
          <cell r="K6644">
            <v>4</v>
          </cell>
        </row>
        <row r="6645">
          <cell r="C6645" t="str">
            <v>李騏敬</v>
          </cell>
          <cell r="F6645" t="str">
            <v>D241001R1</v>
          </cell>
          <cell r="J6645">
            <v>45714</v>
          </cell>
          <cell r="K6645">
            <v>3</v>
          </cell>
        </row>
        <row r="6646">
          <cell r="C6646" t="str">
            <v>李騏敬</v>
          </cell>
          <cell r="F6646" t="str">
            <v>D241001R1</v>
          </cell>
          <cell r="J6646">
            <v>45715</v>
          </cell>
          <cell r="K6646">
            <v>4</v>
          </cell>
        </row>
        <row r="6647">
          <cell r="C6647" t="str">
            <v>李騏敬</v>
          </cell>
          <cell r="F6647" t="str">
            <v>D241001R1</v>
          </cell>
          <cell r="J6647">
            <v>45715</v>
          </cell>
          <cell r="K6647">
            <v>4</v>
          </cell>
        </row>
        <row r="6648">
          <cell r="C6648" t="str">
            <v>李騏敬</v>
          </cell>
          <cell r="J6648">
            <v>45716</v>
          </cell>
          <cell r="K6648">
            <v>8</v>
          </cell>
        </row>
        <row r="6649">
          <cell r="C6649" t="str">
            <v>李騏敬</v>
          </cell>
          <cell r="F6649" t="str">
            <v>D240901R1</v>
          </cell>
          <cell r="J6649">
            <v>45719</v>
          </cell>
          <cell r="K6649">
            <v>9</v>
          </cell>
        </row>
        <row r="6650">
          <cell r="C6650" t="str">
            <v>李騏敬</v>
          </cell>
          <cell r="J6650">
            <v>45720</v>
          </cell>
          <cell r="K6650">
            <v>3</v>
          </cell>
        </row>
        <row r="6651">
          <cell r="C6651" t="str">
            <v>李騏敬</v>
          </cell>
          <cell r="F6651" t="str">
            <v>D240901R1</v>
          </cell>
          <cell r="J6651">
            <v>45720</v>
          </cell>
          <cell r="K6651">
            <v>3</v>
          </cell>
        </row>
        <row r="6652">
          <cell r="C6652" t="str">
            <v>李騏敬</v>
          </cell>
          <cell r="F6652" t="str">
            <v>D240901R1</v>
          </cell>
          <cell r="J6652">
            <v>45720</v>
          </cell>
          <cell r="K6652">
            <v>2</v>
          </cell>
        </row>
        <row r="6653">
          <cell r="C6653" t="str">
            <v>李騏敬</v>
          </cell>
          <cell r="J6653">
            <v>45721</v>
          </cell>
          <cell r="K6653">
            <v>6</v>
          </cell>
        </row>
        <row r="6654">
          <cell r="C6654" t="str">
            <v>李騏敬</v>
          </cell>
          <cell r="F6654" t="str">
            <v>D250101R1</v>
          </cell>
          <cell r="J6654">
            <v>45721</v>
          </cell>
          <cell r="K6654">
            <v>1</v>
          </cell>
        </row>
        <row r="6655">
          <cell r="C6655" t="str">
            <v>李騏敬</v>
          </cell>
          <cell r="F6655" t="str">
            <v>D240901R1</v>
          </cell>
          <cell r="J6655">
            <v>45721</v>
          </cell>
          <cell r="K6655">
            <v>1</v>
          </cell>
        </row>
        <row r="6656">
          <cell r="C6656" t="str">
            <v>李騏敬</v>
          </cell>
          <cell r="F6656" t="str">
            <v>D240901R1</v>
          </cell>
          <cell r="J6656">
            <v>45722</v>
          </cell>
          <cell r="K6656">
            <v>3</v>
          </cell>
        </row>
        <row r="6657">
          <cell r="C6657" t="str">
            <v>李騏敬</v>
          </cell>
          <cell r="F6657" t="str">
            <v>M240701C1</v>
          </cell>
          <cell r="J6657">
            <v>45722</v>
          </cell>
          <cell r="K6657">
            <v>3</v>
          </cell>
        </row>
        <row r="6658">
          <cell r="C6658" t="str">
            <v>李騏敬</v>
          </cell>
          <cell r="F6658" t="str">
            <v>D240901R1</v>
          </cell>
          <cell r="J6658">
            <v>45722</v>
          </cell>
          <cell r="K6658">
            <v>2</v>
          </cell>
        </row>
        <row r="6659">
          <cell r="C6659" t="str">
            <v>李騏敬</v>
          </cell>
          <cell r="F6659" t="str">
            <v>M240701C1</v>
          </cell>
          <cell r="J6659">
            <v>45723</v>
          </cell>
          <cell r="K6659">
            <v>8</v>
          </cell>
        </row>
        <row r="6660">
          <cell r="C6660" t="str">
            <v>李騏敬</v>
          </cell>
          <cell r="F6660" t="str">
            <v>M240703R1</v>
          </cell>
          <cell r="J6660">
            <v>45726</v>
          </cell>
          <cell r="K6660">
            <v>8</v>
          </cell>
        </row>
        <row r="6661">
          <cell r="C6661" t="str">
            <v>李騏敬</v>
          </cell>
          <cell r="J6661">
            <v>45727</v>
          </cell>
          <cell r="K6661">
            <v>3</v>
          </cell>
        </row>
        <row r="6662">
          <cell r="C6662" t="str">
            <v>李騏敬</v>
          </cell>
          <cell r="F6662" t="str">
            <v>D240901R1</v>
          </cell>
          <cell r="J6662">
            <v>45727</v>
          </cell>
          <cell r="K6662">
            <v>5</v>
          </cell>
        </row>
        <row r="6663">
          <cell r="C6663" t="str">
            <v>李騏敬</v>
          </cell>
          <cell r="J6663">
            <v>45728</v>
          </cell>
          <cell r="K6663">
            <v>8</v>
          </cell>
        </row>
        <row r="6664">
          <cell r="C6664" t="str">
            <v>李騏敬</v>
          </cell>
          <cell r="J6664">
            <v>45729</v>
          </cell>
          <cell r="K6664">
            <v>8</v>
          </cell>
        </row>
        <row r="6665">
          <cell r="C6665" t="str">
            <v>李騏敬</v>
          </cell>
          <cell r="F6665" t="str">
            <v>D241001R1</v>
          </cell>
          <cell r="J6665">
            <v>45730</v>
          </cell>
          <cell r="K6665">
            <v>1.5</v>
          </cell>
        </row>
        <row r="6666">
          <cell r="C6666" t="str">
            <v>李騏敬</v>
          </cell>
          <cell r="F6666" t="str">
            <v>M240703R1</v>
          </cell>
          <cell r="J6666">
            <v>45730</v>
          </cell>
          <cell r="K6666">
            <v>3</v>
          </cell>
        </row>
        <row r="6667">
          <cell r="C6667" t="str">
            <v>李騏敬</v>
          </cell>
          <cell r="F6667" t="str">
            <v>M240703R1</v>
          </cell>
          <cell r="J6667">
            <v>45730</v>
          </cell>
          <cell r="K6667">
            <v>2</v>
          </cell>
        </row>
        <row r="6668">
          <cell r="C6668" t="str">
            <v>李騏敬</v>
          </cell>
          <cell r="F6668" t="str">
            <v>D241001R1</v>
          </cell>
          <cell r="J6668">
            <v>45730</v>
          </cell>
          <cell r="K6668">
            <v>1.5</v>
          </cell>
        </row>
        <row r="6669">
          <cell r="C6669" t="str">
            <v>李騏敬</v>
          </cell>
          <cell r="F6669" t="str">
            <v>D241001R1</v>
          </cell>
          <cell r="J6669">
            <v>45733</v>
          </cell>
          <cell r="K6669">
            <v>2</v>
          </cell>
        </row>
        <row r="6670">
          <cell r="C6670" t="str">
            <v>李騏敬</v>
          </cell>
          <cell r="F6670" t="str">
            <v>D250101R1</v>
          </cell>
          <cell r="J6670">
            <v>45733</v>
          </cell>
          <cell r="K6670">
            <v>2</v>
          </cell>
        </row>
        <row r="6671">
          <cell r="C6671" t="str">
            <v>李騏敬</v>
          </cell>
          <cell r="F6671" t="str">
            <v>D241001R1</v>
          </cell>
          <cell r="J6671">
            <v>45733</v>
          </cell>
          <cell r="K6671">
            <v>4</v>
          </cell>
        </row>
        <row r="6672">
          <cell r="C6672" t="str">
            <v>李騏敬</v>
          </cell>
          <cell r="F6672" t="str">
            <v>D250101R1</v>
          </cell>
          <cell r="J6672">
            <v>45734</v>
          </cell>
          <cell r="K6672">
            <v>9.5</v>
          </cell>
        </row>
        <row r="6673">
          <cell r="C6673" t="str">
            <v>李騏敬</v>
          </cell>
          <cell r="F6673" t="str">
            <v>D250101R1</v>
          </cell>
          <cell r="J6673">
            <v>45735</v>
          </cell>
          <cell r="K6673">
            <v>2</v>
          </cell>
        </row>
        <row r="6674">
          <cell r="C6674" t="str">
            <v>李騏敬</v>
          </cell>
          <cell r="F6674" t="str">
            <v>D250101R1</v>
          </cell>
          <cell r="J6674">
            <v>45735</v>
          </cell>
          <cell r="K6674">
            <v>6</v>
          </cell>
        </row>
        <row r="6675">
          <cell r="C6675" t="str">
            <v>李騏敬</v>
          </cell>
          <cell r="J6675">
            <v>45736</v>
          </cell>
          <cell r="K6675">
            <v>4</v>
          </cell>
        </row>
        <row r="6676">
          <cell r="C6676" t="str">
            <v>李騏敬</v>
          </cell>
          <cell r="F6676" t="str">
            <v>M240703R1</v>
          </cell>
          <cell r="J6676">
            <v>45736</v>
          </cell>
          <cell r="K6676">
            <v>2</v>
          </cell>
        </row>
        <row r="6677">
          <cell r="C6677" t="str">
            <v>李騏敬</v>
          </cell>
          <cell r="F6677" t="str">
            <v>D250101R1</v>
          </cell>
          <cell r="J6677">
            <v>45736</v>
          </cell>
          <cell r="K6677">
            <v>2</v>
          </cell>
        </row>
        <row r="6678">
          <cell r="C6678" t="str">
            <v>李騏敬</v>
          </cell>
          <cell r="F6678" t="str">
            <v>M240703R1</v>
          </cell>
          <cell r="J6678">
            <v>45737</v>
          </cell>
          <cell r="K6678">
            <v>8</v>
          </cell>
        </row>
        <row r="6679">
          <cell r="C6679" t="str">
            <v>李騏敬</v>
          </cell>
          <cell r="J6679">
            <v>45740</v>
          </cell>
          <cell r="K6679">
            <v>6</v>
          </cell>
        </row>
        <row r="6680">
          <cell r="C6680" t="str">
            <v>李騏敬</v>
          </cell>
          <cell r="F6680" t="str">
            <v>D250101R1</v>
          </cell>
          <cell r="J6680">
            <v>45740</v>
          </cell>
          <cell r="K6680">
            <v>2</v>
          </cell>
        </row>
        <row r="6681">
          <cell r="C6681" t="str">
            <v>李騏敬</v>
          </cell>
          <cell r="F6681" t="str">
            <v>D250101R1</v>
          </cell>
          <cell r="J6681">
            <v>45741</v>
          </cell>
          <cell r="K6681">
            <v>2</v>
          </cell>
        </row>
        <row r="6682">
          <cell r="C6682" t="str">
            <v>李騏敬</v>
          </cell>
          <cell r="J6682">
            <v>45742</v>
          </cell>
          <cell r="K6682">
            <v>2</v>
          </cell>
        </row>
        <row r="6683">
          <cell r="C6683" t="str">
            <v>李騏敬</v>
          </cell>
          <cell r="J6683">
            <v>45742</v>
          </cell>
          <cell r="K6683">
            <v>1</v>
          </cell>
        </row>
        <row r="6684">
          <cell r="C6684" t="str">
            <v>李騏敬</v>
          </cell>
          <cell r="F6684" t="str">
            <v>M240703R1</v>
          </cell>
          <cell r="J6684">
            <v>45742</v>
          </cell>
          <cell r="K6684">
            <v>4</v>
          </cell>
        </row>
        <row r="6685">
          <cell r="C6685" t="str">
            <v>李騏敬</v>
          </cell>
          <cell r="F6685" t="str">
            <v>M240703R1</v>
          </cell>
          <cell r="J6685">
            <v>45742</v>
          </cell>
          <cell r="K6685">
            <v>3</v>
          </cell>
        </row>
        <row r="6686">
          <cell r="C6686" t="str">
            <v>李騏敬</v>
          </cell>
          <cell r="F6686" t="str">
            <v>D250101R1</v>
          </cell>
          <cell r="J6686">
            <v>45742</v>
          </cell>
          <cell r="K6686">
            <v>4</v>
          </cell>
        </row>
        <row r="6687">
          <cell r="C6687" t="str">
            <v>李騏敬</v>
          </cell>
          <cell r="F6687" t="str">
            <v>D241001R1</v>
          </cell>
          <cell r="J6687">
            <v>45743</v>
          </cell>
          <cell r="K6687">
            <v>8</v>
          </cell>
        </row>
        <row r="6688">
          <cell r="C6688" t="str">
            <v>李騏敬</v>
          </cell>
          <cell r="F6688" t="str">
            <v>D241001R1</v>
          </cell>
          <cell r="J6688">
            <v>45744</v>
          </cell>
          <cell r="K6688">
            <v>4</v>
          </cell>
        </row>
        <row r="6689">
          <cell r="C6689" t="str">
            <v>李騏敬</v>
          </cell>
          <cell r="F6689" t="str">
            <v>D250101R1</v>
          </cell>
          <cell r="J6689">
            <v>45744</v>
          </cell>
          <cell r="K6689">
            <v>4</v>
          </cell>
        </row>
        <row r="6690">
          <cell r="C6690" t="str">
            <v>李騏敬</v>
          </cell>
          <cell r="F6690" t="str">
            <v>D241001R1</v>
          </cell>
          <cell r="J6690">
            <v>45747</v>
          </cell>
          <cell r="K6690">
            <v>4</v>
          </cell>
        </row>
        <row r="6691">
          <cell r="C6691" t="str">
            <v>李騏敬</v>
          </cell>
          <cell r="F6691" t="str">
            <v>D250101R1</v>
          </cell>
          <cell r="J6691">
            <v>45747</v>
          </cell>
          <cell r="K6691">
            <v>4</v>
          </cell>
        </row>
        <row r="6692">
          <cell r="C6692" t="str">
            <v>李騏敬</v>
          </cell>
          <cell r="F6692" t="str">
            <v>D241001R1</v>
          </cell>
          <cell r="J6692">
            <v>45748</v>
          </cell>
          <cell r="K6692">
            <v>8</v>
          </cell>
        </row>
        <row r="6693">
          <cell r="C6693" t="str">
            <v>李騏敬</v>
          </cell>
          <cell r="F6693" t="str">
            <v>D250101R1</v>
          </cell>
          <cell r="J6693">
            <v>45748</v>
          </cell>
          <cell r="K6693">
            <v>1</v>
          </cell>
        </row>
        <row r="6694">
          <cell r="C6694" t="str">
            <v>李騏敬</v>
          </cell>
          <cell r="F6694" t="str">
            <v>D241001R1</v>
          </cell>
          <cell r="J6694">
            <v>45749</v>
          </cell>
          <cell r="K6694">
            <v>6</v>
          </cell>
        </row>
        <row r="6695">
          <cell r="C6695" t="str">
            <v>李騏敬</v>
          </cell>
          <cell r="F6695" t="str">
            <v>D250101R1</v>
          </cell>
          <cell r="J6695">
            <v>45749</v>
          </cell>
          <cell r="K6695">
            <v>2</v>
          </cell>
        </row>
        <row r="6696">
          <cell r="C6696" t="str">
            <v>李騏敬</v>
          </cell>
          <cell r="F6696" t="str">
            <v>D241001R1</v>
          </cell>
          <cell r="J6696">
            <v>45754</v>
          </cell>
          <cell r="K6696">
            <v>4</v>
          </cell>
        </row>
        <row r="6697">
          <cell r="C6697" t="str">
            <v>李騏敬</v>
          </cell>
          <cell r="F6697" t="str">
            <v>D250101R1</v>
          </cell>
          <cell r="J6697">
            <v>45754</v>
          </cell>
          <cell r="K6697">
            <v>4</v>
          </cell>
        </row>
        <row r="6698">
          <cell r="C6698" t="str">
            <v>李騏敬</v>
          </cell>
          <cell r="F6698" t="str">
            <v>D241001R1</v>
          </cell>
          <cell r="J6698">
            <v>45755</v>
          </cell>
          <cell r="K6698">
            <v>1</v>
          </cell>
        </row>
        <row r="6699">
          <cell r="C6699" t="str">
            <v>李騏敬</v>
          </cell>
          <cell r="F6699" t="str">
            <v>D250101R1</v>
          </cell>
          <cell r="J6699">
            <v>45755</v>
          </cell>
          <cell r="K6699">
            <v>8</v>
          </cell>
        </row>
        <row r="6700">
          <cell r="C6700" t="str">
            <v>李騏敬</v>
          </cell>
          <cell r="F6700" t="str">
            <v>D241001R1</v>
          </cell>
          <cell r="J6700">
            <v>45756</v>
          </cell>
          <cell r="K6700">
            <v>9</v>
          </cell>
        </row>
        <row r="6701">
          <cell r="C6701" t="str">
            <v>李騏敬</v>
          </cell>
          <cell r="F6701" t="str">
            <v>M240703R1</v>
          </cell>
          <cell r="J6701">
            <v>45757</v>
          </cell>
          <cell r="K6701">
            <v>2</v>
          </cell>
        </row>
        <row r="6702">
          <cell r="C6702" t="str">
            <v>李騏敬</v>
          </cell>
          <cell r="F6702" t="str">
            <v>D241001R1</v>
          </cell>
          <cell r="J6702">
            <v>45757</v>
          </cell>
          <cell r="K6702">
            <v>6</v>
          </cell>
        </row>
        <row r="6703">
          <cell r="C6703" t="str">
            <v>李騏敬</v>
          </cell>
          <cell r="F6703" t="str">
            <v>D241001R1</v>
          </cell>
          <cell r="J6703">
            <v>45758</v>
          </cell>
          <cell r="K6703">
            <v>4</v>
          </cell>
        </row>
        <row r="6704">
          <cell r="C6704" t="str">
            <v>李騏敬</v>
          </cell>
          <cell r="F6704" t="str">
            <v>M240703R1</v>
          </cell>
          <cell r="J6704">
            <v>45758</v>
          </cell>
          <cell r="K6704">
            <v>4</v>
          </cell>
        </row>
        <row r="6705">
          <cell r="C6705" t="str">
            <v>李騏敬</v>
          </cell>
          <cell r="F6705" t="str">
            <v>D241001R1</v>
          </cell>
          <cell r="J6705">
            <v>45761</v>
          </cell>
          <cell r="K6705">
            <v>2</v>
          </cell>
        </row>
        <row r="6706">
          <cell r="C6706" t="str">
            <v>李騏敬</v>
          </cell>
          <cell r="F6706" t="str">
            <v>M240703R1</v>
          </cell>
          <cell r="J6706">
            <v>45761</v>
          </cell>
          <cell r="K6706">
            <v>6</v>
          </cell>
        </row>
        <row r="6707">
          <cell r="C6707" t="str">
            <v>李騏敬</v>
          </cell>
          <cell r="F6707" t="str">
            <v>M240703R1</v>
          </cell>
          <cell r="J6707">
            <v>45762</v>
          </cell>
          <cell r="K6707">
            <v>9</v>
          </cell>
        </row>
        <row r="6708">
          <cell r="C6708" t="str">
            <v>李騏敬</v>
          </cell>
          <cell r="F6708" t="str">
            <v>D241001R1</v>
          </cell>
          <cell r="J6708">
            <v>45763</v>
          </cell>
          <cell r="K6708">
            <v>9</v>
          </cell>
        </row>
        <row r="6709">
          <cell r="C6709" t="str">
            <v>李騏敬</v>
          </cell>
          <cell r="F6709" t="str">
            <v>D241001R1</v>
          </cell>
          <cell r="J6709">
            <v>45764</v>
          </cell>
          <cell r="K6709">
            <v>9</v>
          </cell>
        </row>
        <row r="6710">
          <cell r="C6710" t="str">
            <v>李騏敬</v>
          </cell>
          <cell r="F6710" t="str">
            <v>D241001R1</v>
          </cell>
          <cell r="J6710">
            <v>45765</v>
          </cell>
          <cell r="K6710">
            <v>4</v>
          </cell>
        </row>
        <row r="6711">
          <cell r="C6711" t="str">
            <v>李騏敬</v>
          </cell>
          <cell r="F6711" t="str">
            <v>M240703R1</v>
          </cell>
          <cell r="J6711">
            <v>45765</v>
          </cell>
          <cell r="K6711">
            <v>4</v>
          </cell>
        </row>
        <row r="6712">
          <cell r="C6712" t="str">
            <v>李騏敬</v>
          </cell>
          <cell r="F6712" t="str">
            <v>M240703R1</v>
          </cell>
          <cell r="J6712">
            <v>45768</v>
          </cell>
          <cell r="K6712">
            <v>8</v>
          </cell>
        </row>
        <row r="6713">
          <cell r="C6713" t="str">
            <v>李騏敬</v>
          </cell>
          <cell r="F6713" t="str">
            <v>D241001R1</v>
          </cell>
          <cell r="J6713">
            <v>45769</v>
          </cell>
          <cell r="K6713">
            <v>9</v>
          </cell>
        </row>
        <row r="6714">
          <cell r="C6714" t="str">
            <v>李騏敬</v>
          </cell>
          <cell r="F6714" t="str">
            <v>D241001R1</v>
          </cell>
          <cell r="J6714">
            <v>45770</v>
          </cell>
          <cell r="K6714">
            <v>8</v>
          </cell>
        </row>
        <row r="6715">
          <cell r="C6715" t="str">
            <v>李騏敬</v>
          </cell>
          <cell r="F6715" t="str">
            <v>D241001R1</v>
          </cell>
          <cell r="J6715">
            <v>45771</v>
          </cell>
          <cell r="K6715">
            <v>8</v>
          </cell>
        </row>
        <row r="6716">
          <cell r="C6716" t="str">
            <v>李騏敬</v>
          </cell>
          <cell r="F6716" t="str">
            <v>D241001R1</v>
          </cell>
          <cell r="J6716">
            <v>45772</v>
          </cell>
          <cell r="K6716">
            <v>8</v>
          </cell>
        </row>
        <row r="6717">
          <cell r="C6717" t="str">
            <v>李騏敬</v>
          </cell>
          <cell r="J6717">
            <v>45775</v>
          </cell>
          <cell r="K6717">
            <v>4</v>
          </cell>
        </row>
        <row r="6718">
          <cell r="C6718" t="str">
            <v>李騏敬</v>
          </cell>
          <cell r="F6718" t="str">
            <v>D241001R1</v>
          </cell>
          <cell r="J6718">
            <v>45775</v>
          </cell>
          <cell r="K6718">
            <v>1</v>
          </cell>
        </row>
        <row r="6719">
          <cell r="C6719" t="str">
            <v>李騏敬</v>
          </cell>
          <cell r="F6719" t="str">
            <v>D241001R1</v>
          </cell>
          <cell r="J6719">
            <v>45775</v>
          </cell>
          <cell r="K6719">
            <v>1</v>
          </cell>
        </row>
        <row r="6720">
          <cell r="C6720" t="str">
            <v>李騏敬</v>
          </cell>
          <cell r="F6720" t="str">
            <v>M240101P1</v>
          </cell>
          <cell r="J6720">
            <v>45775</v>
          </cell>
          <cell r="K6720">
            <v>2</v>
          </cell>
        </row>
        <row r="6721">
          <cell r="C6721" t="str">
            <v>李騏敬</v>
          </cell>
          <cell r="J6721">
            <v>45776</v>
          </cell>
          <cell r="K6721">
            <v>3</v>
          </cell>
        </row>
        <row r="6722">
          <cell r="C6722" t="str">
            <v>李騏敬</v>
          </cell>
          <cell r="J6722">
            <v>45776</v>
          </cell>
          <cell r="K6722">
            <v>5</v>
          </cell>
        </row>
        <row r="6723">
          <cell r="C6723" t="str">
            <v>李騏敬</v>
          </cell>
          <cell r="J6723">
            <v>45777</v>
          </cell>
          <cell r="K6723">
            <v>8</v>
          </cell>
        </row>
        <row r="6724">
          <cell r="C6724" t="str">
            <v>李騏敬</v>
          </cell>
          <cell r="J6724">
            <v>45779</v>
          </cell>
          <cell r="K6724">
            <v>8</v>
          </cell>
        </row>
        <row r="6725">
          <cell r="C6725" t="str">
            <v>李騏敬</v>
          </cell>
          <cell r="F6725" t="str">
            <v>M240101P1</v>
          </cell>
          <cell r="J6725">
            <v>45782</v>
          </cell>
          <cell r="K6725">
            <v>2</v>
          </cell>
        </row>
        <row r="6726">
          <cell r="C6726" t="str">
            <v>李騏敬</v>
          </cell>
          <cell r="F6726" t="str">
            <v>D240901R1</v>
          </cell>
          <cell r="J6726">
            <v>45782</v>
          </cell>
          <cell r="K6726">
            <v>6</v>
          </cell>
        </row>
        <row r="6727">
          <cell r="C6727" t="str">
            <v>李騏敬</v>
          </cell>
          <cell r="J6727">
            <v>45783</v>
          </cell>
          <cell r="K6727">
            <v>5</v>
          </cell>
        </row>
        <row r="6728">
          <cell r="C6728" t="str">
            <v>李騏敬</v>
          </cell>
          <cell r="F6728" t="str">
            <v>M240101P1</v>
          </cell>
          <cell r="J6728">
            <v>45783</v>
          </cell>
          <cell r="K6728">
            <v>3</v>
          </cell>
        </row>
        <row r="6729">
          <cell r="C6729" t="str">
            <v>李騏敬</v>
          </cell>
          <cell r="J6729">
            <v>45784</v>
          </cell>
          <cell r="K6729">
            <v>1</v>
          </cell>
        </row>
        <row r="6730">
          <cell r="C6730" t="str">
            <v>李騏敬</v>
          </cell>
          <cell r="J6730">
            <v>45784</v>
          </cell>
          <cell r="K6730">
            <v>8</v>
          </cell>
        </row>
        <row r="6731">
          <cell r="C6731" t="str">
            <v>李騏敬</v>
          </cell>
          <cell r="J6731">
            <v>45785</v>
          </cell>
          <cell r="K6731">
            <v>8</v>
          </cell>
        </row>
        <row r="6732">
          <cell r="C6732" t="str">
            <v>李騏敬</v>
          </cell>
          <cell r="J6732">
            <v>45786</v>
          </cell>
          <cell r="K6732">
            <v>8</v>
          </cell>
        </row>
        <row r="6733">
          <cell r="C6733" t="str">
            <v>李騏敬</v>
          </cell>
          <cell r="J6733">
            <v>45789</v>
          </cell>
          <cell r="K6733">
            <v>8</v>
          </cell>
        </row>
        <row r="6734">
          <cell r="C6734" t="str">
            <v>李騏敬</v>
          </cell>
          <cell r="J6734">
            <v>45790</v>
          </cell>
          <cell r="K6734">
            <v>8</v>
          </cell>
        </row>
        <row r="6735">
          <cell r="C6735" t="str">
            <v>李騏敬</v>
          </cell>
          <cell r="J6735">
            <v>45791</v>
          </cell>
          <cell r="K6735">
            <v>5</v>
          </cell>
        </row>
        <row r="6736">
          <cell r="C6736" t="str">
            <v>李騏敬</v>
          </cell>
          <cell r="F6736" t="str">
            <v>D250101R1</v>
          </cell>
          <cell r="J6736">
            <v>45791</v>
          </cell>
          <cell r="K6736">
            <v>3</v>
          </cell>
        </row>
        <row r="6737">
          <cell r="C6737" t="str">
            <v>李騏敬</v>
          </cell>
          <cell r="J6737">
            <v>45792</v>
          </cell>
          <cell r="K6737">
            <v>3</v>
          </cell>
        </row>
        <row r="6738">
          <cell r="C6738" t="str">
            <v>李騏敬</v>
          </cell>
          <cell r="J6738">
            <v>45792</v>
          </cell>
          <cell r="K6738">
            <v>2</v>
          </cell>
        </row>
        <row r="6739">
          <cell r="C6739" t="str">
            <v>李騏敬</v>
          </cell>
          <cell r="F6739" t="str">
            <v>D250101R1</v>
          </cell>
          <cell r="J6739">
            <v>45792</v>
          </cell>
          <cell r="K6739">
            <v>3</v>
          </cell>
        </row>
        <row r="6740">
          <cell r="C6740" t="str">
            <v>李騏敬</v>
          </cell>
          <cell r="J6740">
            <v>45793</v>
          </cell>
          <cell r="K6740">
            <v>8</v>
          </cell>
        </row>
        <row r="6741">
          <cell r="C6741" t="str">
            <v>李騏敬</v>
          </cell>
          <cell r="F6741" t="str">
            <v>D240901R1</v>
          </cell>
          <cell r="J6741">
            <v>45796</v>
          </cell>
          <cell r="K6741">
            <v>8</v>
          </cell>
        </row>
        <row r="6742">
          <cell r="C6742" t="str">
            <v>李騏敬</v>
          </cell>
          <cell r="J6742">
            <v>45797</v>
          </cell>
          <cell r="K6742">
            <v>2</v>
          </cell>
        </row>
        <row r="6743">
          <cell r="C6743" t="str">
            <v>李騏敬</v>
          </cell>
          <cell r="F6743" t="str">
            <v>D250101R1</v>
          </cell>
          <cell r="J6743">
            <v>45797</v>
          </cell>
          <cell r="K6743">
            <v>6</v>
          </cell>
        </row>
        <row r="6744">
          <cell r="C6744" t="str">
            <v>李騏敬</v>
          </cell>
          <cell r="J6744">
            <v>45798</v>
          </cell>
          <cell r="K6744">
            <v>4</v>
          </cell>
        </row>
        <row r="6745">
          <cell r="C6745" t="str">
            <v>李騏敬</v>
          </cell>
          <cell r="F6745" t="str">
            <v>D250101R1</v>
          </cell>
          <cell r="J6745">
            <v>45798</v>
          </cell>
          <cell r="K6745">
            <v>4</v>
          </cell>
        </row>
        <row r="6746">
          <cell r="C6746" t="str">
            <v>李騏敬</v>
          </cell>
          <cell r="F6746" t="str">
            <v>D250101R1</v>
          </cell>
          <cell r="J6746">
            <v>45799</v>
          </cell>
          <cell r="K6746">
            <v>6</v>
          </cell>
        </row>
        <row r="6747">
          <cell r="C6747" t="str">
            <v>李騏敬</v>
          </cell>
          <cell r="F6747" t="str">
            <v>D250101R1</v>
          </cell>
          <cell r="J6747">
            <v>45800</v>
          </cell>
          <cell r="K6747">
            <v>8</v>
          </cell>
        </row>
        <row r="6748">
          <cell r="C6748" t="str">
            <v>李騏敬</v>
          </cell>
          <cell r="J6748">
            <v>45803</v>
          </cell>
          <cell r="K6748">
            <v>8</v>
          </cell>
        </row>
        <row r="6749">
          <cell r="C6749" t="str">
            <v>李騏敬</v>
          </cell>
          <cell r="F6749" t="str">
            <v>D240901R1</v>
          </cell>
          <cell r="J6749">
            <v>45804</v>
          </cell>
          <cell r="K6749">
            <v>8</v>
          </cell>
        </row>
        <row r="6750">
          <cell r="C6750" t="str">
            <v>李騏敬</v>
          </cell>
          <cell r="F6750" t="str">
            <v>D250101R1</v>
          </cell>
          <cell r="J6750">
            <v>45805</v>
          </cell>
          <cell r="K6750">
            <v>6</v>
          </cell>
        </row>
        <row r="6751">
          <cell r="C6751" t="str">
            <v>李騏敬</v>
          </cell>
          <cell r="F6751" t="str">
            <v>D240901R1</v>
          </cell>
          <cell r="J6751">
            <v>45805</v>
          </cell>
          <cell r="K6751">
            <v>2</v>
          </cell>
        </row>
        <row r="6752">
          <cell r="C6752" t="str">
            <v>李騏敬</v>
          </cell>
          <cell r="J6752">
            <v>45806</v>
          </cell>
          <cell r="K6752">
            <v>4</v>
          </cell>
        </row>
        <row r="6753">
          <cell r="C6753" t="str">
            <v>李騏敬</v>
          </cell>
          <cell r="F6753" t="str">
            <v>D250101R1</v>
          </cell>
          <cell r="J6753">
            <v>45806</v>
          </cell>
          <cell r="K6753">
            <v>4</v>
          </cell>
        </row>
        <row r="6754">
          <cell r="C6754" t="str">
            <v>李騏敬</v>
          </cell>
          <cell r="J6754">
            <v>45810</v>
          </cell>
          <cell r="K6754">
            <v>2</v>
          </cell>
        </row>
        <row r="6755">
          <cell r="C6755" t="str">
            <v>李騏敬</v>
          </cell>
          <cell r="F6755" t="str">
            <v>D250101R1</v>
          </cell>
          <cell r="J6755">
            <v>45810</v>
          </cell>
          <cell r="K6755">
            <v>6</v>
          </cell>
        </row>
        <row r="6756">
          <cell r="C6756" t="str">
            <v>李騏敬</v>
          </cell>
          <cell r="F6756" t="str">
            <v>D250101R1</v>
          </cell>
          <cell r="J6756">
            <v>45811</v>
          </cell>
          <cell r="K6756">
            <v>8</v>
          </cell>
        </row>
        <row r="6757">
          <cell r="C6757" t="str">
            <v>李騏敬</v>
          </cell>
          <cell r="F6757" t="str">
            <v>D250101R1</v>
          </cell>
          <cell r="J6757">
            <v>45812</v>
          </cell>
          <cell r="K6757">
            <v>9</v>
          </cell>
        </row>
        <row r="6758">
          <cell r="C6758" t="str">
            <v>李騏敬</v>
          </cell>
          <cell r="F6758" t="str">
            <v>D241001R1</v>
          </cell>
          <cell r="J6758">
            <v>45813</v>
          </cell>
          <cell r="K6758">
            <v>4</v>
          </cell>
        </row>
        <row r="6759">
          <cell r="C6759" t="str">
            <v>李騏敬</v>
          </cell>
          <cell r="F6759" t="str">
            <v>D241001R1</v>
          </cell>
          <cell r="J6759">
            <v>45813</v>
          </cell>
          <cell r="K6759">
            <v>4</v>
          </cell>
        </row>
        <row r="6760">
          <cell r="C6760" t="str">
            <v>李騏敬</v>
          </cell>
          <cell r="F6760" t="str">
            <v>D250101R1</v>
          </cell>
          <cell r="J6760">
            <v>45814</v>
          </cell>
          <cell r="K6760">
            <v>8</v>
          </cell>
        </row>
        <row r="6761">
          <cell r="C6761" t="str">
            <v>李騏敬</v>
          </cell>
          <cell r="F6761" t="str">
            <v>D250101R1</v>
          </cell>
          <cell r="J6761">
            <v>45817</v>
          </cell>
          <cell r="K6761">
            <v>8</v>
          </cell>
        </row>
        <row r="6762">
          <cell r="C6762" t="str">
            <v>李騏敬</v>
          </cell>
          <cell r="F6762" t="str">
            <v>D241001R1</v>
          </cell>
          <cell r="J6762">
            <v>45818</v>
          </cell>
          <cell r="K6762">
            <v>5</v>
          </cell>
        </row>
        <row r="6763">
          <cell r="C6763" t="str">
            <v>李騏敬</v>
          </cell>
          <cell r="F6763" t="str">
            <v>D250101R1</v>
          </cell>
          <cell r="J6763">
            <v>45818</v>
          </cell>
          <cell r="K6763">
            <v>3</v>
          </cell>
        </row>
        <row r="6764">
          <cell r="C6764" t="str">
            <v>李騏敬</v>
          </cell>
          <cell r="F6764" t="str">
            <v>M240703R1</v>
          </cell>
          <cell r="J6764">
            <v>45819</v>
          </cell>
          <cell r="K6764">
            <v>1</v>
          </cell>
        </row>
        <row r="6765">
          <cell r="C6765" t="str">
            <v>李騏敬</v>
          </cell>
          <cell r="F6765" t="str">
            <v>D241001R1</v>
          </cell>
          <cell r="J6765">
            <v>45819</v>
          </cell>
          <cell r="K6765">
            <v>8</v>
          </cell>
        </row>
        <row r="6766">
          <cell r="C6766" t="str">
            <v>李騏敬</v>
          </cell>
          <cell r="F6766" t="str">
            <v>M240703R1</v>
          </cell>
          <cell r="J6766">
            <v>45820</v>
          </cell>
          <cell r="K6766">
            <v>8</v>
          </cell>
        </row>
        <row r="6767">
          <cell r="C6767" t="str">
            <v>李騏敬</v>
          </cell>
          <cell r="F6767" t="str">
            <v>D241001R1</v>
          </cell>
          <cell r="J6767">
            <v>45821</v>
          </cell>
          <cell r="K6767">
            <v>8</v>
          </cell>
        </row>
        <row r="6768">
          <cell r="C6768" t="str">
            <v>李騏敬</v>
          </cell>
          <cell r="F6768" t="str">
            <v>D241001R1</v>
          </cell>
          <cell r="J6768">
            <v>45824</v>
          </cell>
          <cell r="K6768">
            <v>8</v>
          </cell>
        </row>
        <row r="6769">
          <cell r="C6769" t="str">
            <v>李騏敬</v>
          </cell>
          <cell r="J6769">
            <v>45826</v>
          </cell>
          <cell r="K6769">
            <v>2</v>
          </cell>
        </row>
        <row r="6770">
          <cell r="C6770" t="str">
            <v>李騏敬</v>
          </cell>
          <cell r="F6770" t="str">
            <v>D241001R1</v>
          </cell>
          <cell r="J6770">
            <v>45826</v>
          </cell>
          <cell r="K6770">
            <v>6</v>
          </cell>
        </row>
        <row r="6771">
          <cell r="C6771" t="str">
            <v>李騏敬</v>
          </cell>
          <cell r="J6771">
            <v>45827</v>
          </cell>
          <cell r="K6771">
            <v>2</v>
          </cell>
        </row>
        <row r="6772">
          <cell r="C6772" t="str">
            <v>李騏敬</v>
          </cell>
          <cell r="F6772" t="str">
            <v>D241001R1</v>
          </cell>
          <cell r="J6772">
            <v>45827</v>
          </cell>
          <cell r="K6772">
            <v>6</v>
          </cell>
        </row>
        <row r="6773">
          <cell r="C6773" t="str">
            <v>李騏敬</v>
          </cell>
          <cell r="F6773" t="str">
            <v>D250101R1</v>
          </cell>
          <cell r="J6773">
            <v>45828</v>
          </cell>
          <cell r="K6773">
            <v>8</v>
          </cell>
        </row>
        <row r="6774">
          <cell r="C6774" t="str">
            <v>李騏敬</v>
          </cell>
          <cell r="J6774">
            <v>45831</v>
          </cell>
          <cell r="K6774">
            <v>8</v>
          </cell>
        </row>
        <row r="6775">
          <cell r="C6775" t="str">
            <v>李騏敬</v>
          </cell>
          <cell r="F6775" t="str">
            <v>M250201C1</v>
          </cell>
          <cell r="J6775">
            <v>45832</v>
          </cell>
          <cell r="K6775">
            <v>8</v>
          </cell>
        </row>
        <row r="6776">
          <cell r="C6776" t="str">
            <v>李騏敬</v>
          </cell>
          <cell r="F6776" t="str">
            <v>M250201C1</v>
          </cell>
          <cell r="J6776">
            <v>45833</v>
          </cell>
          <cell r="K6776">
            <v>8</v>
          </cell>
        </row>
        <row r="6777">
          <cell r="C6777" t="str">
            <v>李騏敬</v>
          </cell>
          <cell r="J6777">
            <v>45834</v>
          </cell>
          <cell r="K6777">
            <v>2</v>
          </cell>
        </row>
        <row r="6778">
          <cell r="C6778" t="str">
            <v>李騏敬</v>
          </cell>
          <cell r="F6778" t="str">
            <v>M250201C1</v>
          </cell>
          <cell r="J6778">
            <v>45834</v>
          </cell>
          <cell r="K6778">
            <v>6</v>
          </cell>
        </row>
        <row r="6779">
          <cell r="C6779" t="str">
            <v>李騏敬</v>
          </cell>
          <cell r="F6779" t="str">
            <v>D240901R1</v>
          </cell>
          <cell r="J6779">
            <v>45835</v>
          </cell>
          <cell r="K6779">
            <v>1</v>
          </cell>
        </row>
        <row r="6780">
          <cell r="C6780" t="str">
            <v>李騏敬</v>
          </cell>
          <cell r="F6780" t="str">
            <v>M250201C1</v>
          </cell>
          <cell r="J6780">
            <v>45835</v>
          </cell>
          <cell r="K6780">
            <v>2</v>
          </cell>
        </row>
        <row r="6781">
          <cell r="C6781" t="str">
            <v>李騏敬</v>
          </cell>
          <cell r="F6781" t="str">
            <v>D241001R1</v>
          </cell>
          <cell r="J6781">
            <v>45835</v>
          </cell>
          <cell r="K6781">
            <v>4</v>
          </cell>
        </row>
        <row r="6782">
          <cell r="C6782" t="str">
            <v>李騏敬</v>
          </cell>
          <cell r="J6782">
            <v>45838</v>
          </cell>
          <cell r="K6782">
            <v>3</v>
          </cell>
        </row>
        <row r="6783">
          <cell r="C6783" t="str">
            <v>李騏敬</v>
          </cell>
          <cell r="F6783" t="str">
            <v>D240901R1</v>
          </cell>
          <cell r="J6783">
            <v>45838</v>
          </cell>
          <cell r="K6783">
            <v>5</v>
          </cell>
        </row>
        <row r="6784">
          <cell r="C6784" t="str">
            <v>李騏敬</v>
          </cell>
          <cell r="J6784">
            <v>45839</v>
          </cell>
          <cell r="K6784">
            <v>3</v>
          </cell>
        </row>
        <row r="6785">
          <cell r="C6785" t="str">
            <v>李騏敬</v>
          </cell>
          <cell r="F6785" t="str">
            <v>M250201C1</v>
          </cell>
          <cell r="J6785">
            <v>45839</v>
          </cell>
          <cell r="K6785">
            <v>2</v>
          </cell>
        </row>
        <row r="6786">
          <cell r="C6786" t="str">
            <v>李騏敬</v>
          </cell>
          <cell r="F6786" t="str">
            <v>D240901R1</v>
          </cell>
          <cell r="J6786">
            <v>45839</v>
          </cell>
          <cell r="K6786">
            <v>3</v>
          </cell>
        </row>
        <row r="6787">
          <cell r="C6787" t="str">
            <v>李騏敬</v>
          </cell>
          <cell r="J6787">
            <v>45840</v>
          </cell>
          <cell r="K6787">
            <v>8</v>
          </cell>
        </row>
        <row r="6788">
          <cell r="C6788" t="str">
            <v>李騏敬</v>
          </cell>
          <cell r="J6788">
            <v>45841</v>
          </cell>
          <cell r="K6788">
            <v>8</v>
          </cell>
        </row>
        <row r="6789">
          <cell r="C6789" t="str">
            <v>李騏敬</v>
          </cell>
          <cell r="J6789">
            <v>45842</v>
          </cell>
          <cell r="K6789">
            <v>8</v>
          </cell>
        </row>
        <row r="6790">
          <cell r="C6790" t="str">
            <v>李騏敬</v>
          </cell>
          <cell r="F6790" t="str">
            <v>D241001R1</v>
          </cell>
          <cell r="J6790">
            <v>45845</v>
          </cell>
          <cell r="K6790">
            <v>5</v>
          </cell>
        </row>
        <row r="6791">
          <cell r="C6791" t="str">
            <v>李騏敬</v>
          </cell>
          <cell r="F6791" t="str">
            <v>D250101R1</v>
          </cell>
          <cell r="J6791">
            <v>45845</v>
          </cell>
          <cell r="K6791">
            <v>1</v>
          </cell>
        </row>
        <row r="6792">
          <cell r="C6792" t="str">
            <v>李騏敬</v>
          </cell>
          <cell r="F6792" t="str">
            <v>D240901R1</v>
          </cell>
          <cell r="J6792">
            <v>45845</v>
          </cell>
          <cell r="K6792">
            <v>2</v>
          </cell>
        </row>
        <row r="6793">
          <cell r="C6793" t="str">
            <v>李騏敬</v>
          </cell>
          <cell r="F6793" t="str">
            <v>D240901R1</v>
          </cell>
          <cell r="J6793">
            <v>45846</v>
          </cell>
          <cell r="K6793">
            <v>8</v>
          </cell>
        </row>
        <row r="6794">
          <cell r="C6794" t="str">
            <v>李騏敬</v>
          </cell>
          <cell r="F6794" t="str">
            <v>M250201C1</v>
          </cell>
          <cell r="J6794">
            <v>45847</v>
          </cell>
          <cell r="K6794">
            <v>4</v>
          </cell>
        </row>
        <row r="6795">
          <cell r="C6795" t="str">
            <v>李騏敬</v>
          </cell>
          <cell r="F6795" t="str">
            <v>D240901R1</v>
          </cell>
          <cell r="J6795">
            <v>45847</v>
          </cell>
          <cell r="K6795">
            <v>4</v>
          </cell>
        </row>
        <row r="6796">
          <cell r="C6796" t="str">
            <v>李騏敬</v>
          </cell>
          <cell r="J6796">
            <v>45848</v>
          </cell>
          <cell r="K6796">
            <v>4</v>
          </cell>
        </row>
        <row r="6797">
          <cell r="C6797" t="str">
            <v>李騏敬</v>
          </cell>
          <cell r="F6797" t="str">
            <v>D250101R1</v>
          </cell>
          <cell r="J6797">
            <v>45848</v>
          </cell>
          <cell r="K6797">
            <v>2</v>
          </cell>
        </row>
        <row r="6798">
          <cell r="C6798" t="str">
            <v>李騏敬</v>
          </cell>
          <cell r="F6798" t="str">
            <v>D250101R1</v>
          </cell>
          <cell r="J6798">
            <v>45849</v>
          </cell>
          <cell r="K6798">
            <v>4</v>
          </cell>
        </row>
        <row r="6799">
          <cell r="C6799" t="str">
            <v>李騏敬</v>
          </cell>
          <cell r="F6799" t="str">
            <v>D250101R1</v>
          </cell>
          <cell r="J6799">
            <v>45849</v>
          </cell>
          <cell r="K6799">
            <v>4</v>
          </cell>
        </row>
        <row r="6800">
          <cell r="C6800" t="str">
            <v>李騏敬</v>
          </cell>
          <cell r="F6800" t="str">
            <v>D250101R1</v>
          </cell>
          <cell r="J6800">
            <v>45852</v>
          </cell>
          <cell r="K6800">
            <v>9</v>
          </cell>
        </row>
        <row r="6801">
          <cell r="C6801" t="str">
            <v>李騏敬</v>
          </cell>
          <cell r="F6801" t="str">
            <v>D250101R1</v>
          </cell>
          <cell r="J6801">
            <v>45853</v>
          </cell>
          <cell r="K6801">
            <v>8</v>
          </cell>
        </row>
        <row r="6802">
          <cell r="C6802" t="str">
            <v>李騏敬</v>
          </cell>
          <cell r="F6802" t="str">
            <v>D250101R1</v>
          </cell>
          <cell r="J6802">
            <v>45854</v>
          </cell>
          <cell r="K6802">
            <v>8</v>
          </cell>
        </row>
        <row r="6803">
          <cell r="C6803" t="str">
            <v>李騏敬</v>
          </cell>
          <cell r="J6803">
            <v>45855</v>
          </cell>
          <cell r="K6803">
            <v>2</v>
          </cell>
        </row>
        <row r="6804">
          <cell r="C6804" t="str">
            <v>李騏敬</v>
          </cell>
          <cell r="F6804" t="str">
            <v>D240901R1</v>
          </cell>
          <cell r="J6804">
            <v>45855</v>
          </cell>
          <cell r="K6804">
            <v>6</v>
          </cell>
        </row>
        <row r="6805">
          <cell r="C6805" t="str">
            <v>李騏敬</v>
          </cell>
          <cell r="J6805">
            <v>45856</v>
          </cell>
          <cell r="K6805">
            <v>4</v>
          </cell>
        </row>
        <row r="6806">
          <cell r="C6806" t="str">
            <v>李騏敬</v>
          </cell>
          <cell r="F6806" t="str">
            <v>D240901R1</v>
          </cell>
          <cell r="J6806">
            <v>45856</v>
          </cell>
          <cell r="K6806">
            <v>4</v>
          </cell>
        </row>
        <row r="6807">
          <cell r="C6807" t="str">
            <v>李騏敬</v>
          </cell>
          <cell r="J6807">
            <v>45859</v>
          </cell>
          <cell r="K6807">
            <v>8</v>
          </cell>
        </row>
        <row r="6808">
          <cell r="C6808" t="str">
            <v>李騏敬</v>
          </cell>
          <cell r="F6808" t="str">
            <v>D250101R1</v>
          </cell>
          <cell r="J6808">
            <v>45860</v>
          </cell>
          <cell r="K6808">
            <v>2</v>
          </cell>
        </row>
        <row r="6809">
          <cell r="C6809" t="str">
            <v>李騏敬</v>
          </cell>
          <cell r="F6809" t="str">
            <v>D240901R1</v>
          </cell>
          <cell r="J6809">
            <v>45860</v>
          </cell>
          <cell r="K6809">
            <v>3</v>
          </cell>
        </row>
        <row r="6810">
          <cell r="C6810" t="str">
            <v>李騏敬</v>
          </cell>
          <cell r="F6810" t="str">
            <v>D241001R1</v>
          </cell>
          <cell r="J6810">
            <v>45860</v>
          </cell>
          <cell r="K6810">
            <v>3</v>
          </cell>
        </row>
        <row r="6811">
          <cell r="C6811" t="str">
            <v>李騏敬</v>
          </cell>
          <cell r="F6811" t="str">
            <v>D250101R1</v>
          </cell>
          <cell r="J6811">
            <v>45861</v>
          </cell>
          <cell r="K6811">
            <v>4</v>
          </cell>
        </row>
        <row r="6812">
          <cell r="C6812" t="str">
            <v>李騏敬</v>
          </cell>
          <cell r="F6812" t="str">
            <v>D240901R1</v>
          </cell>
          <cell r="J6812">
            <v>45861</v>
          </cell>
          <cell r="K6812">
            <v>4</v>
          </cell>
        </row>
        <row r="6813">
          <cell r="C6813" t="str">
            <v>李騏敬</v>
          </cell>
          <cell r="F6813" t="str">
            <v>D250101R1</v>
          </cell>
          <cell r="J6813">
            <v>45862</v>
          </cell>
          <cell r="K6813">
            <v>8</v>
          </cell>
        </row>
        <row r="6814">
          <cell r="C6814" t="str">
            <v>李騏敬</v>
          </cell>
          <cell r="F6814" t="str">
            <v>D250101R1</v>
          </cell>
          <cell r="J6814">
            <v>45863</v>
          </cell>
          <cell r="K6814">
            <v>4</v>
          </cell>
        </row>
        <row r="6815">
          <cell r="C6815" t="str">
            <v>李騏敬</v>
          </cell>
          <cell r="F6815" t="str">
            <v>D250101R1</v>
          </cell>
          <cell r="J6815">
            <v>45863</v>
          </cell>
          <cell r="K6815">
            <v>4</v>
          </cell>
        </row>
        <row r="6816">
          <cell r="C6816" t="str">
            <v>李騏敬</v>
          </cell>
          <cell r="F6816" t="str">
            <v>M250201C1</v>
          </cell>
          <cell r="J6816">
            <v>45866</v>
          </cell>
          <cell r="K6816">
            <v>4</v>
          </cell>
        </row>
        <row r="6817">
          <cell r="C6817" t="str">
            <v>李騏敬</v>
          </cell>
          <cell r="F6817" t="str">
            <v>D250101R1</v>
          </cell>
          <cell r="J6817">
            <v>45866</v>
          </cell>
          <cell r="K6817">
            <v>4</v>
          </cell>
        </row>
        <row r="6818">
          <cell r="C6818" t="str">
            <v>李騏敬</v>
          </cell>
          <cell r="F6818" t="str">
            <v>D250101R1</v>
          </cell>
          <cell r="J6818">
            <v>45867</v>
          </cell>
          <cell r="K6818">
            <v>8</v>
          </cell>
        </row>
        <row r="6819">
          <cell r="C6819" t="str">
            <v>李騏敬</v>
          </cell>
          <cell r="F6819" t="str">
            <v>D250101R1</v>
          </cell>
          <cell r="J6819">
            <v>45868</v>
          </cell>
          <cell r="K6819">
            <v>8</v>
          </cell>
        </row>
        <row r="6820">
          <cell r="C6820" t="str">
            <v>李騏敬</v>
          </cell>
          <cell r="F6820" t="str">
            <v>D250101R1</v>
          </cell>
          <cell r="J6820">
            <v>45869</v>
          </cell>
          <cell r="K6820">
            <v>8</v>
          </cell>
        </row>
        <row r="6821">
          <cell r="C6821" t="str">
            <v>李騏敬</v>
          </cell>
          <cell r="F6821" t="str">
            <v>D250101R1</v>
          </cell>
          <cell r="J6821">
            <v>45870</v>
          </cell>
          <cell r="K6821">
            <v>8</v>
          </cell>
        </row>
        <row r="6822">
          <cell r="C6822" t="str">
            <v>李騏敬</v>
          </cell>
          <cell r="F6822" t="str">
            <v>D240901R1</v>
          </cell>
          <cell r="J6822">
            <v>45873</v>
          </cell>
          <cell r="K6822">
            <v>3</v>
          </cell>
        </row>
        <row r="6823">
          <cell r="C6823" t="str">
            <v>李騏敬</v>
          </cell>
          <cell r="F6823" t="str">
            <v>D240901R1</v>
          </cell>
          <cell r="J6823">
            <v>45873</v>
          </cell>
          <cell r="K6823">
            <v>5</v>
          </cell>
        </row>
        <row r="6824">
          <cell r="C6824" t="str">
            <v>李騏敬</v>
          </cell>
          <cell r="F6824" t="str">
            <v>D250101R1</v>
          </cell>
          <cell r="J6824">
            <v>45874</v>
          </cell>
          <cell r="K6824">
            <v>4</v>
          </cell>
        </row>
        <row r="6825">
          <cell r="C6825" t="str">
            <v>李騏敬</v>
          </cell>
          <cell r="F6825" t="str">
            <v>D250101R1</v>
          </cell>
          <cell r="J6825">
            <v>45874</v>
          </cell>
          <cell r="K6825">
            <v>4</v>
          </cell>
        </row>
        <row r="6826">
          <cell r="C6826" t="str">
            <v>李騏敬</v>
          </cell>
          <cell r="F6826" t="str">
            <v>D250101R1</v>
          </cell>
          <cell r="J6826">
            <v>45875</v>
          </cell>
          <cell r="K6826">
            <v>8</v>
          </cell>
        </row>
        <row r="6827">
          <cell r="C6827" t="str">
            <v>李騏敬</v>
          </cell>
          <cell r="J6827">
            <v>45876</v>
          </cell>
          <cell r="K6827">
            <v>1</v>
          </cell>
        </row>
        <row r="6828">
          <cell r="C6828" t="str">
            <v>李騏敬</v>
          </cell>
          <cell r="F6828" t="str">
            <v>D250101R1</v>
          </cell>
          <cell r="J6828">
            <v>45876</v>
          </cell>
          <cell r="K6828">
            <v>4</v>
          </cell>
        </row>
        <row r="6829">
          <cell r="C6829" t="str">
            <v>李騏敬</v>
          </cell>
          <cell r="F6829" t="str">
            <v>D250101R1</v>
          </cell>
          <cell r="J6829">
            <v>45876</v>
          </cell>
          <cell r="K6829">
            <v>3</v>
          </cell>
        </row>
        <row r="6830">
          <cell r="C6830" t="str">
            <v>李騏敬</v>
          </cell>
          <cell r="F6830" t="str">
            <v>D250101R1</v>
          </cell>
          <cell r="J6830">
            <v>45877</v>
          </cell>
          <cell r="K6830">
            <v>8</v>
          </cell>
        </row>
        <row r="6831">
          <cell r="C6831" t="str">
            <v>李騏敬</v>
          </cell>
          <cell r="F6831" t="str">
            <v>D250101R1</v>
          </cell>
          <cell r="J6831">
            <v>45880</v>
          </cell>
          <cell r="K6831">
            <v>3</v>
          </cell>
        </row>
        <row r="6832">
          <cell r="C6832" t="str">
            <v>李騏敬</v>
          </cell>
          <cell r="F6832" t="str">
            <v>D250101R1</v>
          </cell>
          <cell r="J6832">
            <v>45880</v>
          </cell>
          <cell r="K6832">
            <v>2</v>
          </cell>
        </row>
        <row r="6833">
          <cell r="C6833" t="str">
            <v>李騏敬</v>
          </cell>
          <cell r="F6833" t="str">
            <v>D250101R1</v>
          </cell>
          <cell r="J6833">
            <v>45880</v>
          </cell>
          <cell r="K6833">
            <v>3</v>
          </cell>
        </row>
        <row r="6834">
          <cell r="C6834" t="str">
            <v>李騏敬</v>
          </cell>
          <cell r="J6834">
            <v>45881</v>
          </cell>
          <cell r="K6834">
            <v>4</v>
          </cell>
        </row>
        <row r="6835">
          <cell r="C6835" t="str">
            <v>李騏敬</v>
          </cell>
          <cell r="F6835" t="str">
            <v>D240901R1</v>
          </cell>
          <cell r="J6835">
            <v>45881</v>
          </cell>
          <cell r="K6835">
            <v>4</v>
          </cell>
        </row>
        <row r="6836">
          <cell r="C6836" t="str">
            <v>李騏敬</v>
          </cell>
          <cell r="F6836" t="str">
            <v>D250101R1</v>
          </cell>
          <cell r="J6836">
            <v>45882</v>
          </cell>
          <cell r="K6836">
            <v>8</v>
          </cell>
        </row>
        <row r="6837">
          <cell r="C6837" t="str">
            <v>李騏敬</v>
          </cell>
          <cell r="J6837">
            <v>45883</v>
          </cell>
          <cell r="K6837">
            <v>2</v>
          </cell>
        </row>
        <row r="6838">
          <cell r="C6838" t="str">
            <v>李騏敬</v>
          </cell>
          <cell r="F6838" t="str">
            <v>M250201C1</v>
          </cell>
          <cell r="J6838">
            <v>45883</v>
          </cell>
          <cell r="K6838">
            <v>4</v>
          </cell>
        </row>
        <row r="6839">
          <cell r="C6839" t="str">
            <v>李騏敬</v>
          </cell>
          <cell r="F6839" t="str">
            <v>D241001R1</v>
          </cell>
          <cell r="J6839">
            <v>45883</v>
          </cell>
          <cell r="K6839">
            <v>1</v>
          </cell>
        </row>
        <row r="6840">
          <cell r="C6840" t="str">
            <v>李騏敬</v>
          </cell>
          <cell r="F6840" t="str">
            <v>D250101R1</v>
          </cell>
          <cell r="J6840">
            <v>45883</v>
          </cell>
          <cell r="K6840">
            <v>1</v>
          </cell>
        </row>
        <row r="6841">
          <cell r="C6841" t="str">
            <v>李騏敬</v>
          </cell>
          <cell r="J6841">
            <v>45884</v>
          </cell>
          <cell r="K6841">
            <v>8</v>
          </cell>
        </row>
        <row r="6842">
          <cell r="C6842" t="str">
            <v>李騏敬</v>
          </cell>
          <cell r="F6842" t="str">
            <v>D250101R1</v>
          </cell>
          <cell r="J6842">
            <v>45887</v>
          </cell>
          <cell r="K6842">
            <v>5</v>
          </cell>
        </row>
        <row r="6843">
          <cell r="C6843" t="str">
            <v>李騏敬</v>
          </cell>
          <cell r="F6843" t="str">
            <v>D250101R1</v>
          </cell>
          <cell r="J6843">
            <v>45887</v>
          </cell>
          <cell r="K6843">
            <v>3</v>
          </cell>
        </row>
        <row r="6844">
          <cell r="C6844" t="str">
            <v>李騏敬</v>
          </cell>
          <cell r="F6844" t="str">
            <v>D250101R1</v>
          </cell>
          <cell r="J6844">
            <v>45888</v>
          </cell>
          <cell r="K6844">
            <v>4</v>
          </cell>
        </row>
        <row r="6845">
          <cell r="C6845" t="str">
            <v>李騏敬</v>
          </cell>
          <cell r="F6845" t="str">
            <v>M250201C1</v>
          </cell>
          <cell r="J6845">
            <v>45888</v>
          </cell>
          <cell r="K6845">
            <v>4</v>
          </cell>
        </row>
        <row r="6846">
          <cell r="C6846" t="str">
            <v>李騏敬</v>
          </cell>
          <cell r="F6846" t="str">
            <v>M250201C1</v>
          </cell>
          <cell r="J6846">
            <v>45889</v>
          </cell>
          <cell r="K6846">
            <v>8</v>
          </cell>
        </row>
        <row r="6847">
          <cell r="C6847" t="str">
            <v>李騏敬</v>
          </cell>
          <cell r="J6847">
            <v>45890</v>
          </cell>
          <cell r="K6847">
            <v>2</v>
          </cell>
        </row>
        <row r="6848">
          <cell r="C6848" t="str">
            <v>李騏敬</v>
          </cell>
          <cell r="F6848" t="str">
            <v>D250101R1</v>
          </cell>
          <cell r="J6848">
            <v>45890</v>
          </cell>
          <cell r="K6848">
            <v>3</v>
          </cell>
        </row>
        <row r="6849">
          <cell r="C6849" t="str">
            <v>李騏敬</v>
          </cell>
          <cell r="F6849" t="str">
            <v>M250201C1</v>
          </cell>
          <cell r="J6849">
            <v>45890</v>
          </cell>
          <cell r="K6849">
            <v>3</v>
          </cell>
        </row>
        <row r="6850">
          <cell r="C6850" t="str">
            <v>李騏敬</v>
          </cell>
          <cell r="F6850" t="str">
            <v>D241001R1</v>
          </cell>
          <cell r="J6850">
            <v>45891</v>
          </cell>
          <cell r="K6850">
            <v>2</v>
          </cell>
        </row>
        <row r="6851">
          <cell r="C6851" t="str">
            <v>李騏敬</v>
          </cell>
          <cell r="F6851" t="str">
            <v>M250201C1</v>
          </cell>
          <cell r="J6851">
            <v>45891</v>
          </cell>
          <cell r="K6851">
            <v>6</v>
          </cell>
        </row>
        <row r="6852">
          <cell r="C6852" t="str">
            <v>李騏敬</v>
          </cell>
          <cell r="J6852">
            <v>45894</v>
          </cell>
          <cell r="K6852">
            <v>3</v>
          </cell>
        </row>
        <row r="6853">
          <cell r="C6853" t="str">
            <v>李騏敬</v>
          </cell>
          <cell r="F6853" t="str">
            <v>D241001R1</v>
          </cell>
          <cell r="J6853">
            <v>45894</v>
          </cell>
          <cell r="K6853">
            <v>2</v>
          </cell>
        </row>
        <row r="6854">
          <cell r="C6854" t="str">
            <v>李騏敬</v>
          </cell>
          <cell r="F6854" t="str">
            <v>M250201C1</v>
          </cell>
          <cell r="J6854">
            <v>45894</v>
          </cell>
          <cell r="K6854">
            <v>3</v>
          </cell>
        </row>
        <row r="6855">
          <cell r="C6855" t="str">
            <v>李騏敬</v>
          </cell>
          <cell r="F6855" t="str">
            <v>D250101R1</v>
          </cell>
          <cell r="J6855">
            <v>45895</v>
          </cell>
          <cell r="K6855">
            <v>2</v>
          </cell>
        </row>
        <row r="6856">
          <cell r="C6856" t="str">
            <v>李騏敬</v>
          </cell>
          <cell r="F6856" t="str">
            <v>D250101R1</v>
          </cell>
          <cell r="J6856">
            <v>45895</v>
          </cell>
          <cell r="K6856">
            <v>2</v>
          </cell>
        </row>
        <row r="6857">
          <cell r="C6857" t="str">
            <v>李騏敬</v>
          </cell>
          <cell r="F6857" t="str">
            <v>D250101R1</v>
          </cell>
          <cell r="J6857">
            <v>45895</v>
          </cell>
          <cell r="K6857">
            <v>4</v>
          </cell>
        </row>
        <row r="6858">
          <cell r="C6858" t="str">
            <v>李騏敬</v>
          </cell>
          <cell r="F6858" t="str">
            <v>D241001R1</v>
          </cell>
          <cell r="J6858">
            <v>45896</v>
          </cell>
          <cell r="K6858">
            <v>4</v>
          </cell>
        </row>
        <row r="6859">
          <cell r="C6859" t="str">
            <v>李騏敬</v>
          </cell>
          <cell r="J6859">
            <v>45896</v>
          </cell>
          <cell r="K6859">
            <v>2</v>
          </cell>
        </row>
        <row r="6860">
          <cell r="C6860" t="str">
            <v>李騏敬</v>
          </cell>
          <cell r="F6860" t="str">
            <v>M250201C1</v>
          </cell>
          <cell r="J6860">
            <v>45896</v>
          </cell>
          <cell r="K6860">
            <v>2</v>
          </cell>
        </row>
        <row r="6861">
          <cell r="C6861" t="str">
            <v>李騏敬</v>
          </cell>
          <cell r="J6861">
            <v>45897</v>
          </cell>
          <cell r="K6861">
            <v>4</v>
          </cell>
        </row>
        <row r="6862">
          <cell r="C6862" t="str">
            <v>李騏敬</v>
          </cell>
          <cell r="F6862" t="str">
            <v>M250201C1</v>
          </cell>
          <cell r="J6862">
            <v>45897</v>
          </cell>
          <cell r="K6862">
            <v>4</v>
          </cell>
        </row>
        <row r="6863">
          <cell r="C6863" t="str">
            <v>李騏敬</v>
          </cell>
          <cell r="F6863" t="str">
            <v>D241001R1</v>
          </cell>
          <cell r="J6863">
            <v>45898</v>
          </cell>
          <cell r="K6863">
            <v>4</v>
          </cell>
        </row>
        <row r="6864">
          <cell r="C6864" t="str">
            <v>李騏敬</v>
          </cell>
          <cell r="F6864" t="str">
            <v>D250702R1</v>
          </cell>
          <cell r="J6864">
            <v>45898</v>
          </cell>
          <cell r="K6864">
            <v>2</v>
          </cell>
        </row>
        <row r="6865">
          <cell r="C6865" t="str">
            <v>李騏敬</v>
          </cell>
          <cell r="J6865">
            <v>45901</v>
          </cell>
          <cell r="K6865">
            <v>2</v>
          </cell>
        </row>
        <row r="6866">
          <cell r="C6866" t="str">
            <v>李騏敬</v>
          </cell>
          <cell r="F6866" t="str">
            <v>D250101R1</v>
          </cell>
          <cell r="J6866">
            <v>45901</v>
          </cell>
          <cell r="K6866">
            <v>6</v>
          </cell>
        </row>
        <row r="6867">
          <cell r="C6867" t="str">
            <v>李騏敬</v>
          </cell>
          <cell r="F6867" t="str">
            <v>D250101R1</v>
          </cell>
          <cell r="J6867">
            <v>45902</v>
          </cell>
          <cell r="K6867">
            <v>8</v>
          </cell>
        </row>
        <row r="6868">
          <cell r="C6868" t="str">
            <v>李騏敬</v>
          </cell>
          <cell r="F6868" t="str">
            <v>D250101R1</v>
          </cell>
          <cell r="J6868">
            <v>45903</v>
          </cell>
          <cell r="K6868">
            <v>8</v>
          </cell>
        </row>
        <row r="6869">
          <cell r="C6869" t="str">
            <v>李騏敬</v>
          </cell>
          <cell r="J6869">
            <v>45904</v>
          </cell>
          <cell r="K6869">
            <v>2</v>
          </cell>
        </row>
        <row r="6870">
          <cell r="C6870" t="str">
            <v>李騏敬</v>
          </cell>
          <cell r="F6870" t="str">
            <v>M250201C1</v>
          </cell>
          <cell r="J6870">
            <v>45904</v>
          </cell>
          <cell r="K6870">
            <v>4</v>
          </cell>
        </row>
        <row r="6871">
          <cell r="C6871" t="str">
            <v>李騏敬</v>
          </cell>
          <cell r="F6871" t="str">
            <v>D250101R1</v>
          </cell>
          <cell r="J6871">
            <v>45904</v>
          </cell>
          <cell r="K6871">
            <v>2</v>
          </cell>
        </row>
        <row r="6872">
          <cell r="C6872" t="str">
            <v>李騏敬</v>
          </cell>
          <cell r="F6872" t="str">
            <v>M250201C1</v>
          </cell>
          <cell r="J6872">
            <v>45905</v>
          </cell>
          <cell r="K6872">
            <v>6</v>
          </cell>
        </row>
        <row r="6873">
          <cell r="C6873" t="str">
            <v>李騏敬</v>
          </cell>
          <cell r="F6873" t="str">
            <v>D250101R1</v>
          </cell>
          <cell r="J6873">
            <v>45905</v>
          </cell>
          <cell r="K6873">
            <v>2</v>
          </cell>
        </row>
        <row r="6874">
          <cell r="C6874" t="str">
            <v>李騏敬</v>
          </cell>
          <cell r="F6874" t="str">
            <v>M250201C1</v>
          </cell>
          <cell r="J6874">
            <v>45908</v>
          </cell>
          <cell r="K6874">
            <v>4</v>
          </cell>
        </row>
        <row r="6875">
          <cell r="C6875" t="str">
            <v>李騏敬</v>
          </cell>
          <cell r="F6875" t="str">
            <v>D250101R1</v>
          </cell>
          <cell r="J6875">
            <v>45908</v>
          </cell>
          <cell r="K6875">
            <v>4</v>
          </cell>
        </row>
        <row r="6876">
          <cell r="C6876" t="str">
            <v>李騏敬</v>
          </cell>
          <cell r="F6876" t="str">
            <v>D250101R1</v>
          </cell>
          <cell r="J6876">
            <v>45909</v>
          </cell>
          <cell r="K6876">
            <v>4</v>
          </cell>
        </row>
        <row r="6877">
          <cell r="C6877" t="str">
            <v>李騏敬</v>
          </cell>
          <cell r="F6877" t="str">
            <v>M250201C1</v>
          </cell>
          <cell r="J6877">
            <v>45909</v>
          </cell>
          <cell r="K6877">
            <v>4</v>
          </cell>
        </row>
        <row r="6878">
          <cell r="C6878" t="str">
            <v>李騏敬</v>
          </cell>
          <cell r="F6878" t="str">
            <v>D250101R1</v>
          </cell>
          <cell r="J6878">
            <v>45910</v>
          </cell>
          <cell r="K6878">
            <v>4</v>
          </cell>
        </row>
        <row r="6879">
          <cell r="C6879" t="str">
            <v>李騏敬</v>
          </cell>
          <cell r="F6879" t="str">
            <v>M250201C1</v>
          </cell>
          <cell r="J6879">
            <v>45910</v>
          </cell>
          <cell r="K6879">
            <v>4</v>
          </cell>
        </row>
        <row r="6880">
          <cell r="C6880" t="str">
            <v>李騏敬</v>
          </cell>
          <cell r="F6880" t="str">
            <v>M250201C1</v>
          </cell>
          <cell r="J6880">
            <v>45911</v>
          </cell>
          <cell r="K6880">
            <v>9</v>
          </cell>
        </row>
        <row r="6881">
          <cell r="C6881" t="str">
            <v>李騏敬</v>
          </cell>
          <cell r="F6881" t="str">
            <v>M250201C1</v>
          </cell>
          <cell r="J6881">
            <v>45912</v>
          </cell>
          <cell r="K6881">
            <v>9</v>
          </cell>
        </row>
        <row r="6882">
          <cell r="C6882" t="str">
            <v>李騏敬</v>
          </cell>
          <cell r="J6882">
            <v>45915</v>
          </cell>
          <cell r="K6882">
            <v>1.5</v>
          </cell>
        </row>
        <row r="6883">
          <cell r="C6883" t="str">
            <v>李騏敬</v>
          </cell>
          <cell r="F6883" t="str">
            <v>M250201C1</v>
          </cell>
          <cell r="J6883">
            <v>45915</v>
          </cell>
          <cell r="K6883">
            <v>6.5</v>
          </cell>
        </row>
        <row r="6884">
          <cell r="C6884" t="str">
            <v>李騏敬</v>
          </cell>
          <cell r="J6884">
            <v>45916</v>
          </cell>
          <cell r="K6884">
            <v>2</v>
          </cell>
        </row>
        <row r="6885">
          <cell r="C6885" t="str">
            <v>李騏敬</v>
          </cell>
          <cell r="F6885" t="str">
            <v>M250201C1</v>
          </cell>
          <cell r="J6885">
            <v>45916</v>
          </cell>
          <cell r="K6885">
            <v>6</v>
          </cell>
        </row>
        <row r="6886">
          <cell r="C6886" t="str">
            <v>李騏敬</v>
          </cell>
          <cell r="F6886" t="str">
            <v>D250101R1</v>
          </cell>
          <cell r="J6886">
            <v>45916</v>
          </cell>
          <cell r="K6886">
            <v>0.5</v>
          </cell>
        </row>
        <row r="6887">
          <cell r="C6887" t="str">
            <v>李騏敬</v>
          </cell>
          <cell r="J6887">
            <v>45917</v>
          </cell>
          <cell r="K6887">
            <v>1</v>
          </cell>
        </row>
        <row r="6888">
          <cell r="C6888" t="str">
            <v>李騏敬</v>
          </cell>
          <cell r="F6888" t="str">
            <v>M250201C1</v>
          </cell>
          <cell r="J6888">
            <v>45917</v>
          </cell>
          <cell r="K6888">
            <v>7</v>
          </cell>
        </row>
        <row r="6889">
          <cell r="C6889" t="str">
            <v>李騏敬</v>
          </cell>
          <cell r="J6889">
            <v>45918</v>
          </cell>
          <cell r="K6889">
            <v>2</v>
          </cell>
        </row>
        <row r="6890">
          <cell r="C6890" t="str">
            <v>李騏敬</v>
          </cell>
          <cell r="F6890" t="str">
            <v>M250201C1</v>
          </cell>
          <cell r="J6890">
            <v>45918</v>
          </cell>
          <cell r="K6890">
            <v>6</v>
          </cell>
        </row>
        <row r="6891">
          <cell r="C6891" t="str">
            <v>李騏敬</v>
          </cell>
          <cell r="J6891">
            <v>45919</v>
          </cell>
          <cell r="K6891">
            <v>6</v>
          </cell>
        </row>
        <row r="6892">
          <cell r="C6892" t="str">
            <v>李騏敬</v>
          </cell>
          <cell r="F6892" t="str">
            <v>M250201C1</v>
          </cell>
          <cell r="J6892">
            <v>45919</v>
          </cell>
          <cell r="K6892">
            <v>2</v>
          </cell>
        </row>
        <row r="6893">
          <cell r="C6893" t="str">
            <v>李騏敬</v>
          </cell>
          <cell r="J6893">
            <v>45922</v>
          </cell>
          <cell r="K6893">
            <v>2</v>
          </cell>
        </row>
        <row r="6894">
          <cell r="C6894" t="str">
            <v>李騏敬</v>
          </cell>
          <cell r="J6894">
            <v>45922</v>
          </cell>
          <cell r="K6894">
            <v>1.5</v>
          </cell>
        </row>
        <row r="6895">
          <cell r="C6895" t="str">
            <v>李騏敬</v>
          </cell>
          <cell r="F6895" t="str">
            <v>D240901R1</v>
          </cell>
          <cell r="J6895">
            <v>45922</v>
          </cell>
          <cell r="K6895">
            <v>6.5</v>
          </cell>
        </row>
        <row r="6896">
          <cell r="C6896" t="str">
            <v>李騏敬</v>
          </cell>
          <cell r="J6896">
            <v>45923</v>
          </cell>
          <cell r="K6896">
            <v>2</v>
          </cell>
        </row>
        <row r="6897">
          <cell r="C6897" t="str">
            <v>李騏敬</v>
          </cell>
          <cell r="F6897" t="str">
            <v>M250201C1</v>
          </cell>
          <cell r="J6897">
            <v>45923</v>
          </cell>
          <cell r="K6897">
            <v>2</v>
          </cell>
        </row>
        <row r="6898">
          <cell r="C6898" t="str">
            <v>李騏敬</v>
          </cell>
          <cell r="F6898" t="str">
            <v>D240901R1</v>
          </cell>
          <cell r="J6898">
            <v>45923</v>
          </cell>
          <cell r="K6898">
            <v>4</v>
          </cell>
        </row>
        <row r="6899">
          <cell r="C6899" t="str">
            <v>李騏敬</v>
          </cell>
          <cell r="F6899" t="str">
            <v>D240901R1</v>
          </cell>
          <cell r="J6899">
            <v>45924</v>
          </cell>
          <cell r="K6899">
            <v>4</v>
          </cell>
        </row>
        <row r="6900">
          <cell r="C6900" t="str">
            <v>李騏敬</v>
          </cell>
          <cell r="F6900" t="str">
            <v>M250201C1</v>
          </cell>
          <cell r="J6900">
            <v>45924</v>
          </cell>
          <cell r="K6900">
            <v>4</v>
          </cell>
        </row>
        <row r="6901">
          <cell r="C6901" t="str">
            <v>李騏敬</v>
          </cell>
          <cell r="J6901">
            <v>45925</v>
          </cell>
          <cell r="K6901">
            <v>1</v>
          </cell>
        </row>
        <row r="6902">
          <cell r="C6902" t="str">
            <v>李騏敬</v>
          </cell>
          <cell r="F6902" t="str">
            <v>D250702R1</v>
          </cell>
          <cell r="J6902">
            <v>45925</v>
          </cell>
          <cell r="K6902">
            <v>5</v>
          </cell>
        </row>
        <row r="6903">
          <cell r="C6903" t="str">
            <v>李騏敬</v>
          </cell>
          <cell r="F6903" t="str">
            <v>M250201C1</v>
          </cell>
          <cell r="J6903">
            <v>45925</v>
          </cell>
          <cell r="K6903">
            <v>2</v>
          </cell>
        </row>
        <row r="6904">
          <cell r="C6904" t="str">
            <v>李騏敬</v>
          </cell>
          <cell r="J6904">
            <v>45926</v>
          </cell>
          <cell r="K6904">
            <v>1.5</v>
          </cell>
        </row>
        <row r="6905">
          <cell r="C6905" t="str">
            <v>李騏敬</v>
          </cell>
          <cell r="F6905" t="str">
            <v>D250702R1</v>
          </cell>
          <cell r="J6905">
            <v>45926</v>
          </cell>
          <cell r="K6905">
            <v>3.5</v>
          </cell>
        </row>
        <row r="6906">
          <cell r="C6906" t="str">
            <v>李騏敬</v>
          </cell>
          <cell r="F6906" t="str">
            <v>M250201C1</v>
          </cell>
          <cell r="J6906">
            <v>45926</v>
          </cell>
          <cell r="K6906">
            <v>3</v>
          </cell>
        </row>
        <row r="6907">
          <cell r="C6907" t="str">
            <v>李騏敬</v>
          </cell>
          <cell r="J6907">
            <v>45929</v>
          </cell>
          <cell r="K6907">
            <v>8</v>
          </cell>
        </row>
        <row r="6908">
          <cell r="C6908" t="str">
            <v>李騏敬</v>
          </cell>
          <cell r="J6908">
            <v>45930</v>
          </cell>
          <cell r="K6908">
            <v>1</v>
          </cell>
        </row>
        <row r="6909">
          <cell r="C6909" t="str">
            <v>李騏敬</v>
          </cell>
          <cell r="F6909" t="str">
            <v>D250702R1</v>
          </cell>
          <cell r="J6909">
            <v>45930</v>
          </cell>
          <cell r="K6909">
            <v>7</v>
          </cell>
        </row>
        <row r="6910">
          <cell r="C6910" t="str">
            <v>李騏敬</v>
          </cell>
          <cell r="J6910">
            <v>45931</v>
          </cell>
          <cell r="K6910">
            <v>6</v>
          </cell>
        </row>
        <row r="6911">
          <cell r="C6911" t="str">
            <v>李騏敬</v>
          </cell>
          <cell r="F6911" t="str">
            <v>D250702R1</v>
          </cell>
          <cell r="J6911">
            <v>45931</v>
          </cell>
          <cell r="K6911">
            <v>2</v>
          </cell>
        </row>
        <row r="6912">
          <cell r="C6912" t="str">
            <v>李騏敬</v>
          </cell>
          <cell r="F6912" t="str">
            <v>D241001R1</v>
          </cell>
          <cell r="J6912">
            <v>45932</v>
          </cell>
          <cell r="K6912">
            <v>8</v>
          </cell>
        </row>
        <row r="6913">
          <cell r="C6913" t="str">
            <v>李騏敬</v>
          </cell>
          <cell r="J6913">
            <v>45933</v>
          </cell>
          <cell r="K6913">
            <v>4</v>
          </cell>
        </row>
        <row r="6914">
          <cell r="C6914" t="str">
            <v>李騏敬</v>
          </cell>
          <cell r="F6914" t="str">
            <v>D250702R1</v>
          </cell>
          <cell r="J6914">
            <v>45933</v>
          </cell>
          <cell r="K6914">
            <v>4</v>
          </cell>
        </row>
        <row r="6915">
          <cell r="C6915" t="str">
            <v>李騏敬</v>
          </cell>
          <cell r="J6915">
            <v>45937</v>
          </cell>
          <cell r="K6915">
            <v>2</v>
          </cell>
        </row>
        <row r="6916">
          <cell r="C6916" t="str">
            <v>李騏敬</v>
          </cell>
          <cell r="J6916">
            <v>45937</v>
          </cell>
          <cell r="K6916">
            <v>1</v>
          </cell>
        </row>
        <row r="6917">
          <cell r="C6917" t="str">
            <v>李騏敬</v>
          </cell>
          <cell r="J6917">
            <v>45937</v>
          </cell>
          <cell r="K6917">
            <v>5</v>
          </cell>
        </row>
        <row r="6918">
          <cell r="C6918" t="str">
            <v>李騏敬</v>
          </cell>
          <cell r="J6918">
            <v>45938</v>
          </cell>
          <cell r="K6918">
            <v>1</v>
          </cell>
        </row>
        <row r="6919">
          <cell r="C6919" t="str">
            <v>李騏敬</v>
          </cell>
          <cell r="J6919">
            <v>45938</v>
          </cell>
          <cell r="K6919">
            <v>2.5</v>
          </cell>
        </row>
        <row r="6920">
          <cell r="C6920" t="str">
            <v>李騏敬</v>
          </cell>
          <cell r="J6920">
            <v>45938</v>
          </cell>
          <cell r="K6920">
            <v>4.5</v>
          </cell>
        </row>
        <row r="6921">
          <cell r="C6921" t="str">
            <v>李騏敬</v>
          </cell>
          <cell r="F6921" t="str">
            <v>D250702R1</v>
          </cell>
          <cell r="J6921">
            <v>45939</v>
          </cell>
          <cell r="K6921">
            <v>8</v>
          </cell>
        </row>
        <row r="6922">
          <cell r="C6922" t="str">
            <v>李騏敬</v>
          </cell>
          <cell r="J6922">
            <v>45940</v>
          </cell>
          <cell r="K6922">
            <v>8</v>
          </cell>
        </row>
        <row r="6923">
          <cell r="C6923" t="str">
            <v>李騏敬</v>
          </cell>
          <cell r="J6923">
            <v>45943</v>
          </cell>
          <cell r="K6923">
            <v>1.5</v>
          </cell>
        </row>
        <row r="6924">
          <cell r="C6924" t="str">
            <v>李騏敬</v>
          </cell>
          <cell r="F6924" t="str">
            <v>M240101R1</v>
          </cell>
          <cell r="J6924">
            <v>45943</v>
          </cell>
          <cell r="K6924">
            <v>4.5</v>
          </cell>
        </row>
        <row r="6925">
          <cell r="C6925" t="str">
            <v>李騏敬</v>
          </cell>
          <cell r="F6925" t="str">
            <v>M240101R1</v>
          </cell>
          <cell r="J6925">
            <v>45943</v>
          </cell>
          <cell r="K6925">
            <v>2</v>
          </cell>
        </row>
        <row r="6926">
          <cell r="C6926" t="str">
            <v>李騏敬</v>
          </cell>
          <cell r="J6926">
            <v>45944</v>
          </cell>
          <cell r="K6926">
            <v>6</v>
          </cell>
        </row>
        <row r="6927">
          <cell r="C6927" t="str">
            <v>李騏敬</v>
          </cell>
          <cell r="F6927" t="str">
            <v>D241001R1</v>
          </cell>
          <cell r="J6927">
            <v>45944</v>
          </cell>
          <cell r="K6927">
            <v>2</v>
          </cell>
        </row>
        <row r="6928">
          <cell r="C6928" t="str">
            <v>李騏敬</v>
          </cell>
          <cell r="J6928">
            <v>45945</v>
          </cell>
          <cell r="K6928">
            <v>2</v>
          </cell>
        </row>
        <row r="6929">
          <cell r="C6929" t="str">
            <v>李騏敬</v>
          </cell>
          <cell r="F6929" t="str">
            <v>M240101R1</v>
          </cell>
          <cell r="J6929">
            <v>45945</v>
          </cell>
          <cell r="K6929">
            <v>2</v>
          </cell>
        </row>
        <row r="6930">
          <cell r="C6930" t="str">
            <v>李騏敬</v>
          </cell>
          <cell r="F6930" t="str">
            <v>M240101R1</v>
          </cell>
          <cell r="J6930">
            <v>45945</v>
          </cell>
          <cell r="K6930">
            <v>2</v>
          </cell>
        </row>
        <row r="6931">
          <cell r="C6931" t="str">
            <v>李騏敬</v>
          </cell>
          <cell r="F6931" t="str">
            <v>D250702R1</v>
          </cell>
          <cell r="J6931">
            <v>45945</v>
          </cell>
          <cell r="K6931">
            <v>2</v>
          </cell>
        </row>
        <row r="6932">
          <cell r="C6932" t="str">
            <v>李騏敬</v>
          </cell>
          <cell r="J6932">
            <v>45946</v>
          </cell>
          <cell r="K6932">
            <v>3</v>
          </cell>
        </row>
        <row r="6933">
          <cell r="C6933" t="str">
            <v>李騏敬</v>
          </cell>
          <cell r="F6933" t="str">
            <v>M240101R1</v>
          </cell>
          <cell r="J6933">
            <v>45946</v>
          </cell>
          <cell r="K6933">
            <v>5</v>
          </cell>
        </row>
        <row r="6934">
          <cell r="C6934" t="str">
            <v>李騏敬</v>
          </cell>
          <cell r="J6934">
            <v>45947</v>
          </cell>
          <cell r="K6934">
            <v>4</v>
          </cell>
        </row>
        <row r="6935">
          <cell r="C6935" t="str">
            <v>李騏敬</v>
          </cell>
          <cell r="F6935" t="str">
            <v>D250702R1</v>
          </cell>
          <cell r="J6935">
            <v>45947</v>
          </cell>
          <cell r="K6935">
            <v>4</v>
          </cell>
        </row>
        <row r="6936">
          <cell r="C6936" t="str">
            <v>李騏敬</v>
          </cell>
          <cell r="J6936">
            <v>45950</v>
          </cell>
          <cell r="K6936">
            <v>1.5</v>
          </cell>
        </row>
        <row r="6937">
          <cell r="C6937" t="str">
            <v>李騏敬</v>
          </cell>
          <cell r="F6937" t="str">
            <v>D250702R1</v>
          </cell>
          <cell r="J6937">
            <v>45950</v>
          </cell>
          <cell r="K6937">
            <v>6.5</v>
          </cell>
        </row>
        <row r="6938">
          <cell r="C6938" t="str">
            <v>李騏敬</v>
          </cell>
          <cell r="J6938">
            <v>45951</v>
          </cell>
          <cell r="K6938">
            <v>4</v>
          </cell>
        </row>
        <row r="6939">
          <cell r="C6939" t="str">
            <v>李騏敬</v>
          </cell>
          <cell r="J6939">
            <v>45951</v>
          </cell>
          <cell r="K6939">
            <v>4</v>
          </cell>
        </row>
        <row r="6940">
          <cell r="C6940" t="str">
            <v>李騏敬</v>
          </cell>
          <cell r="J6940">
            <v>45952</v>
          </cell>
          <cell r="K6940">
            <v>2</v>
          </cell>
        </row>
        <row r="6941">
          <cell r="C6941" t="str">
            <v>李騏敬</v>
          </cell>
          <cell r="F6941" t="str">
            <v>D250702R1</v>
          </cell>
          <cell r="J6941">
            <v>45952</v>
          </cell>
          <cell r="K6941">
            <v>6</v>
          </cell>
        </row>
        <row r="6942">
          <cell r="C6942" t="str">
            <v>李騏敬</v>
          </cell>
          <cell r="J6942">
            <v>45953</v>
          </cell>
          <cell r="K6942">
            <v>4</v>
          </cell>
        </row>
        <row r="6943">
          <cell r="C6943" t="str">
            <v>李騏敬</v>
          </cell>
          <cell r="F6943" t="str">
            <v>D250101R1</v>
          </cell>
          <cell r="J6943">
            <v>45953</v>
          </cell>
          <cell r="K6943">
            <v>2</v>
          </cell>
        </row>
        <row r="6944">
          <cell r="C6944" t="str">
            <v>李騏敬</v>
          </cell>
          <cell r="F6944" t="str">
            <v>D250702R1</v>
          </cell>
          <cell r="J6944">
            <v>45953</v>
          </cell>
          <cell r="K6944">
            <v>2</v>
          </cell>
        </row>
        <row r="6945">
          <cell r="C6945" t="str">
            <v>李騏敬</v>
          </cell>
          <cell r="J6945">
            <v>45954</v>
          </cell>
          <cell r="K6945">
            <v>8</v>
          </cell>
        </row>
        <row r="6946">
          <cell r="C6946" t="str">
            <v>李騏敬</v>
          </cell>
          <cell r="J6946">
            <v>45957</v>
          </cell>
          <cell r="K6946">
            <v>4</v>
          </cell>
        </row>
        <row r="6947">
          <cell r="C6947" t="str">
            <v>李騏敬</v>
          </cell>
          <cell r="F6947" t="str">
            <v>D250702R1</v>
          </cell>
          <cell r="J6947">
            <v>45957</v>
          </cell>
          <cell r="K6947">
            <v>4</v>
          </cell>
        </row>
        <row r="6948">
          <cell r="C6948" t="str">
            <v>李騏敬</v>
          </cell>
          <cell r="F6948" t="str">
            <v>M240101R1</v>
          </cell>
          <cell r="J6948">
            <v>45958</v>
          </cell>
          <cell r="K6948">
            <v>4</v>
          </cell>
        </row>
        <row r="6949">
          <cell r="C6949" t="str">
            <v>李騏敬</v>
          </cell>
          <cell r="F6949" t="str">
            <v>D241001R1</v>
          </cell>
          <cell r="J6949">
            <v>45958</v>
          </cell>
          <cell r="K6949">
            <v>4</v>
          </cell>
        </row>
        <row r="6950">
          <cell r="C6950" t="str">
            <v>李騏敬</v>
          </cell>
          <cell r="F6950" t="str">
            <v>D250702R1</v>
          </cell>
          <cell r="J6950">
            <v>45959</v>
          </cell>
          <cell r="K6950">
            <v>4</v>
          </cell>
        </row>
        <row r="6951">
          <cell r="C6951" t="str">
            <v>李騏敬</v>
          </cell>
          <cell r="F6951" t="str">
            <v>D241001R1</v>
          </cell>
          <cell r="J6951">
            <v>45959</v>
          </cell>
          <cell r="K6951">
            <v>4</v>
          </cell>
        </row>
        <row r="6952">
          <cell r="C6952" t="str">
            <v>李騏敬</v>
          </cell>
          <cell r="J6952">
            <v>45960</v>
          </cell>
          <cell r="K6952">
            <v>3</v>
          </cell>
        </row>
        <row r="6953">
          <cell r="C6953" t="str">
            <v>李騏敬</v>
          </cell>
          <cell r="F6953" t="str">
            <v>D250101R1</v>
          </cell>
          <cell r="J6953">
            <v>45960</v>
          </cell>
          <cell r="K6953">
            <v>5</v>
          </cell>
        </row>
        <row r="6954">
          <cell r="C6954" t="str">
            <v>李騏敬</v>
          </cell>
          <cell r="F6954" t="str">
            <v>D250101R1</v>
          </cell>
          <cell r="J6954">
            <v>45961</v>
          </cell>
          <cell r="K6954">
            <v>8</v>
          </cell>
        </row>
        <row r="6955">
          <cell r="C6955" t="str">
            <v>李騏敬</v>
          </cell>
          <cell r="F6955" t="str">
            <v>D250101R1</v>
          </cell>
          <cell r="J6955">
            <v>45964</v>
          </cell>
          <cell r="K6955">
            <v>8</v>
          </cell>
        </row>
        <row r="6956">
          <cell r="C6956" t="str">
            <v>李騏敬</v>
          </cell>
          <cell r="F6956" t="str">
            <v>M250201C1</v>
          </cell>
          <cell r="J6956">
            <v>45965</v>
          </cell>
          <cell r="K6956">
            <v>4</v>
          </cell>
        </row>
        <row r="6957">
          <cell r="C6957" t="str">
            <v>李騏敬</v>
          </cell>
          <cell r="F6957" t="str">
            <v>D250101R1</v>
          </cell>
          <cell r="J6957">
            <v>45965</v>
          </cell>
          <cell r="K6957">
            <v>4</v>
          </cell>
        </row>
        <row r="6958">
          <cell r="C6958" t="str">
            <v>李騏敬</v>
          </cell>
          <cell r="F6958" t="str">
            <v>D250101R1</v>
          </cell>
          <cell r="J6958">
            <v>45966</v>
          </cell>
          <cell r="K6958">
            <v>8</v>
          </cell>
        </row>
        <row r="6959">
          <cell r="C6959" t="str">
            <v>李騏敬</v>
          </cell>
          <cell r="F6959" t="str">
            <v>D250101R1</v>
          </cell>
          <cell r="J6959">
            <v>45967</v>
          </cell>
          <cell r="K6959">
            <v>8</v>
          </cell>
        </row>
        <row r="6960">
          <cell r="C6960" t="str">
            <v>李騏敬</v>
          </cell>
          <cell r="F6960" t="str">
            <v>M250201C1</v>
          </cell>
          <cell r="J6960">
            <v>45968</v>
          </cell>
          <cell r="K6960">
            <v>8</v>
          </cell>
        </row>
        <row r="6961">
          <cell r="C6961" t="str">
            <v>李騏敬</v>
          </cell>
          <cell r="F6961" t="str">
            <v>D250101R1</v>
          </cell>
          <cell r="J6961">
            <v>45971</v>
          </cell>
          <cell r="K6961">
            <v>8</v>
          </cell>
        </row>
        <row r="6962">
          <cell r="C6962" t="str">
            <v>李騏敬</v>
          </cell>
          <cell r="J6962">
            <v>45972</v>
          </cell>
          <cell r="K6962">
            <v>2</v>
          </cell>
        </row>
        <row r="6963">
          <cell r="C6963" t="str">
            <v>李騏敬</v>
          </cell>
          <cell r="F6963" t="str">
            <v>M250201C1</v>
          </cell>
          <cell r="J6963">
            <v>45972</v>
          </cell>
          <cell r="K6963">
            <v>2</v>
          </cell>
        </row>
        <row r="6964">
          <cell r="C6964" t="str">
            <v>李騏敬</v>
          </cell>
          <cell r="F6964" t="str">
            <v>D250101R1</v>
          </cell>
          <cell r="J6964">
            <v>45972</v>
          </cell>
          <cell r="K6964">
            <v>4</v>
          </cell>
        </row>
        <row r="6965">
          <cell r="C6965" t="str">
            <v>李騏敬</v>
          </cell>
          <cell r="F6965" t="str">
            <v>M250201C1</v>
          </cell>
          <cell r="J6965">
            <v>45973</v>
          </cell>
          <cell r="K6965">
            <v>7</v>
          </cell>
        </row>
        <row r="6966">
          <cell r="C6966" t="str">
            <v>李騏敬</v>
          </cell>
          <cell r="F6966" t="str">
            <v>D250101R1</v>
          </cell>
          <cell r="J6966">
            <v>45973</v>
          </cell>
          <cell r="K6966">
            <v>1</v>
          </cell>
        </row>
        <row r="6967">
          <cell r="C6967" t="str">
            <v>李騏敬</v>
          </cell>
          <cell r="F6967" t="str">
            <v>M250201C1</v>
          </cell>
          <cell r="J6967">
            <v>45974</v>
          </cell>
          <cell r="K6967">
            <v>8</v>
          </cell>
        </row>
        <row r="6968">
          <cell r="C6968" t="str">
            <v>李騏敬</v>
          </cell>
          <cell r="F6968" t="str">
            <v>M250201C1</v>
          </cell>
          <cell r="J6968">
            <v>45975</v>
          </cell>
          <cell r="K6968">
            <v>8</v>
          </cell>
        </row>
        <row r="6969">
          <cell r="C6969" t="str">
            <v>李騏敬</v>
          </cell>
          <cell r="F6969" t="str">
            <v>M250201C1</v>
          </cell>
          <cell r="J6969">
            <v>45978</v>
          </cell>
          <cell r="K6969">
            <v>8</v>
          </cell>
        </row>
        <row r="6970">
          <cell r="C6970" t="str">
            <v>李騏敬</v>
          </cell>
          <cell r="J6970">
            <v>45979</v>
          </cell>
          <cell r="K6970">
            <v>8</v>
          </cell>
        </row>
        <row r="6971">
          <cell r="C6971" t="str">
            <v>李騏敬</v>
          </cell>
          <cell r="J6971">
            <v>45980</v>
          </cell>
          <cell r="K6971">
            <v>2</v>
          </cell>
        </row>
        <row r="6972">
          <cell r="C6972" t="str">
            <v>李騏敬</v>
          </cell>
          <cell r="F6972" t="str">
            <v>M250201C1</v>
          </cell>
          <cell r="J6972">
            <v>45980</v>
          </cell>
          <cell r="K6972">
            <v>6</v>
          </cell>
        </row>
        <row r="6973">
          <cell r="C6973" t="str">
            <v>李騏敬</v>
          </cell>
          <cell r="J6973">
            <v>45981</v>
          </cell>
          <cell r="K6973">
            <v>8</v>
          </cell>
        </row>
        <row r="6974">
          <cell r="C6974" t="str">
            <v>李騏敬</v>
          </cell>
          <cell r="J6974">
            <v>45982</v>
          </cell>
          <cell r="K6974">
            <v>8</v>
          </cell>
        </row>
        <row r="6975">
          <cell r="C6975" t="str">
            <v>李騏敬</v>
          </cell>
          <cell r="J6975">
            <v>45985</v>
          </cell>
          <cell r="K6975">
            <v>8</v>
          </cell>
        </row>
        <row r="6976">
          <cell r="C6976" t="str">
            <v>李騏敬</v>
          </cell>
          <cell r="J6976">
            <v>45986</v>
          </cell>
          <cell r="K6976">
            <v>4</v>
          </cell>
        </row>
        <row r="6977">
          <cell r="C6977" t="str">
            <v>李騏敬</v>
          </cell>
          <cell r="F6977" t="str">
            <v>D240901R1</v>
          </cell>
          <cell r="J6977">
            <v>45986</v>
          </cell>
          <cell r="K6977">
            <v>4</v>
          </cell>
        </row>
        <row r="6978">
          <cell r="C6978" t="str">
            <v>李騏敬</v>
          </cell>
          <cell r="J6978">
            <v>45987</v>
          </cell>
          <cell r="K6978">
            <v>8</v>
          </cell>
        </row>
        <row r="6979">
          <cell r="C6979" t="str">
            <v>李騏敬</v>
          </cell>
          <cell r="J6979">
            <v>45988</v>
          </cell>
          <cell r="K6979">
            <v>4</v>
          </cell>
        </row>
        <row r="6980">
          <cell r="C6980" t="str">
            <v>李騏敬</v>
          </cell>
          <cell r="J6980">
            <v>45988</v>
          </cell>
          <cell r="K6980">
            <v>2</v>
          </cell>
        </row>
        <row r="6981">
          <cell r="C6981" t="str">
            <v>李騏敬</v>
          </cell>
          <cell r="J6981">
            <v>45988</v>
          </cell>
          <cell r="K6981">
            <v>2</v>
          </cell>
        </row>
        <row r="6982">
          <cell r="C6982" t="str">
            <v>李騏敬</v>
          </cell>
          <cell r="J6982">
            <v>45989</v>
          </cell>
          <cell r="K6982">
            <v>8</v>
          </cell>
        </row>
        <row r="6983">
          <cell r="C6983" t="str">
            <v>李騏敬</v>
          </cell>
          <cell r="J6983">
            <v>45992</v>
          </cell>
          <cell r="K6983">
            <v>5</v>
          </cell>
        </row>
        <row r="6984">
          <cell r="C6984" t="str">
            <v>李騏敬</v>
          </cell>
          <cell r="F6984" t="str">
            <v>D240901R1</v>
          </cell>
          <cell r="J6984">
            <v>45992</v>
          </cell>
          <cell r="K6984">
            <v>3</v>
          </cell>
        </row>
        <row r="6985">
          <cell r="C6985" t="str">
            <v>李騏敬</v>
          </cell>
          <cell r="J6985">
            <v>45993</v>
          </cell>
          <cell r="K6985">
            <v>8</v>
          </cell>
        </row>
        <row r="6986">
          <cell r="C6986" t="str">
            <v>李騏敬</v>
          </cell>
          <cell r="J6986">
            <v>45994</v>
          </cell>
          <cell r="K6986">
            <v>8</v>
          </cell>
        </row>
        <row r="6987">
          <cell r="C6987" t="str">
            <v>李騏敬</v>
          </cell>
          <cell r="F6987" t="str">
            <v>D241001R1</v>
          </cell>
          <cell r="J6987">
            <v>45995</v>
          </cell>
          <cell r="K6987">
            <v>3</v>
          </cell>
        </row>
        <row r="6988">
          <cell r="C6988" t="str">
            <v>李騏敬</v>
          </cell>
          <cell r="J6988">
            <v>45995</v>
          </cell>
          <cell r="K6988">
            <v>2</v>
          </cell>
        </row>
        <row r="6989">
          <cell r="C6989" t="str">
            <v>李騏敬</v>
          </cell>
          <cell r="F6989" t="str">
            <v>D240901R1</v>
          </cell>
          <cell r="J6989">
            <v>45995</v>
          </cell>
          <cell r="K6989">
            <v>1</v>
          </cell>
        </row>
        <row r="6990">
          <cell r="C6990" t="str">
            <v>李騏敬</v>
          </cell>
          <cell r="J6990">
            <v>45995</v>
          </cell>
          <cell r="K6990">
            <v>2</v>
          </cell>
        </row>
        <row r="6991">
          <cell r="C6991" t="str">
            <v>李騏敬</v>
          </cell>
          <cell r="J6991">
            <v>45996</v>
          </cell>
          <cell r="K6991">
            <v>4</v>
          </cell>
        </row>
        <row r="6992">
          <cell r="C6992" t="str">
            <v>李騏敬</v>
          </cell>
          <cell r="F6992" t="str">
            <v>D240901R1</v>
          </cell>
          <cell r="J6992">
            <v>45996</v>
          </cell>
          <cell r="K6992">
            <v>4</v>
          </cell>
        </row>
        <row r="6993">
          <cell r="C6993" t="str">
            <v>李騏敬</v>
          </cell>
          <cell r="J6993">
            <v>45999</v>
          </cell>
          <cell r="K6993">
            <v>1</v>
          </cell>
        </row>
        <row r="6994">
          <cell r="C6994" t="str">
            <v>李騏敬</v>
          </cell>
          <cell r="F6994" t="str">
            <v>D250702R1</v>
          </cell>
          <cell r="J6994">
            <v>45999</v>
          </cell>
          <cell r="K6994">
            <v>4</v>
          </cell>
        </row>
        <row r="6995">
          <cell r="C6995" t="str">
            <v>李騏敬</v>
          </cell>
          <cell r="F6995" t="str">
            <v>D241001R1</v>
          </cell>
          <cell r="J6995">
            <v>45999</v>
          </cell>
          <cell r="K6995">
            <v>4</v>
          </cell>
        </row>
        <row r="6996">
          <cell r="C6996" t="str">
            <v>李騏敬</v>
          </cell>
          <cell r="F6996" t="str">
            <v>M250201C1</v>
          </cell>
          <cell r="J6996">
            <v>46000</v>
          </cell>
          <cell r="K6996">
            <v>2</v>
          </cell>
        </row>
        <row r="6997">
          <cell r="C6997" t="str">
            <v>李騏敬</v>
          </cell>
          <cell r="F6997" t="str">
            <v>D250702R1</v>
          </cell>
          <cell r="J6997">
            <v>46000</v>
          </cell>
          <cell r="K6997">
            <v>4</v>
          </cell>
        </row>
        <row r="6998">
          <cell r="C6998" t="str">
            <v>李騏敬</v>
          </cell>
          <cell r="F6998" t="str">
            <v>D250101R1</v>
          </cell>
          <cell r="J6998">
            <v>46000</v>
          </cell>
          <cell r="K6998">
            <v>2</v>
          </cell>
        </row>
        <row r="6999">
          <cell r="C6999" t="str">
            <v>李騏敬</v>
          </cell>
          <cell r="F6999" t="str">
            <v>D250101R1</v>
          </cell>
          <cell r="J6999">
            <v>46001</v>
          </cell>
          <cell r="K6999">
            <v>8</v>
          </cell>
        </row>
        <row r="7000">
          <cell r="C7000" t="str">
            <v>李騏敬</v>
          </cell>
          <cell r="F7000" t="str">
            <v>D250101R1</v>
          </cell>
          <cell r="J7000">
            <v>46002</v>
          </cell>
          <cell r="K7000">
            <v>8</v>
          </cell>
        </row>
        <row r="7001">
          <cell r="C7001" t="str">
            <v>李騏敬</v>
          </cell>
          <cell r="F7001" t="str">
            <v>D250101R1</v>
          </cell>
          <cell r="J7001">
            <v>46003</v>
          </cell>
          <cell r="K7001">
            <v>8</v>
          </cell>
        </row>
        <row r="7002">
          <cell r="C7002" t="str">
            <v>李騏敬</v>
          </cell>
          <cell r="J7002">
            <v>46006</v>
          </cell>
          <cell r="K7002">
            <v>2</v>
          </cell>
        </row>
        <row r="7003">
          <cell r="C7003" t="str">
            <v>李騏敬</v>
          </cell>
          <cell r="F7003" t="str">
            <v>D250101R1</v>
          </cell>
          <cell r="J7003">
            <v>46006</v>
          </cell>
          <cell r="K7003">
            <v>6</v>
          </cell>
        </row>
        <row r="7004">
          <cell r="C7004" t="str">
            <v>李騏敬</v>
          </cell>
          <cell r="F7004" t="str">
            <v>D250101R1</v>
          </cell>
          <cell r="J7004">
            <v>46007</v>
          </cell>
          <cell r="K7004">
            <v>8</v>
          </cell>
        </row>
        <row r="7005">
          <cell r="C7005" t="str">
            <v>李騏敬</v>
          </cell>
          <cell r="F7005" t="str">
            <v>M251001R1</v>
          </cell>
          <cell r="J7005">
            <v>46008</v>
          </cell>
          <cell r="K7005">
            <v>8</v>
          </cell>
        </row>
        <row r="7006">
          <cell r="C7006" t="str">
            <v>李騏敬</v>
          </cell>
          <cell r="F7006" t="str">
            <v>M251001R1</v>
          </cell>
          <cell r="J7006">
            <v>46009</v>
          </cell>
          <cell r="K7006">
            <v>4</v>
          </cell>
        </row>
        <row r="7007">
          <cell r="C7007" t="str">
            <v>李騏敬</v>
          </cell>
          <cell r="F7007" t="str">
            <v>M251001R1</v>
          </cell>
          <cell r="J7007">
            <v>46009</v>
          </cell>
          <cell r="K7007">
            <v>4</v>
          </cell>
        </row>
        <row r="7008">
          <cell r="C7008" t="str">
            <v>李騏敬</v>
          </cell>
          <cell r="F7008" t="str">
            <v>M251001R1</v>
          </cell>
          <cell r="J7008">
            <v>46010</v>
          </cell>
          <cell r="K7008">
            <v>8</v>
          </cell>
        </row>
        <row r="7009">
          <cell r="C7009" t="str">
            <v>李騏敬</v>
          </cell>
          <cell r="J7009">
            <v>46013</v>
          </cell>
          <cell r="K7009">
            <v>2</v>
          </cell>
        </row>
        <row r="7010">
          <cell r="C7010" t="str">
            <v>李騏敬</v>
          </cell>
          <cell r="F7010" t="str">
            <v>M251001R1</v>
          </cell>
          <cell r="J7010">
            <v>46013</v>
          </cell>
          <cell r="K7010">
            <v>6</v>
          </cell>
        </row>
        <row r="7011">
          <cell r="C7011" t="str">
            <v>李騏敬</v>
          </cell>
          <cell r="F7011" t="str">
            <v>M251001R1</v>
          </cell>
          <cell r="J7011">
            <v>46014</v>
          </cell>
          <cell r="K7011">
            <v>8</v>
          </cell>
        </row>
        <row r="7012">
          <cell r="C7012" t="str">
            <v>李騏敬</v>
          </cell>
          <cell r="J7012">
            <v>46015</v>
          </cell>
          <cell r="K7012">
            <v>3</v>
          </cell>
        </row>
        <row r="7013">
          <cell r="C7013" t="str">
            <v>李騏敬</v>
          </cell>
          <cell r="F7013" t="str">
            <v>M251001R1</v>
          </cell>
          <cell r="J7013">
            <v>46015</v>
          </cell>
          <cell r="K7013">
            <v>5</v>
          </cell>
        </row>
        <row r="7014">
          <cell r="C7014" t="str">
            <v>李騏敬</v>
          </cell>
          <cell r="F7014" t="str">
            <v>M251001R1</v>
          </cell>
          <cell r="J7014">
            <v>46017</v>
          </cell>
          <cell r="K7014">
            <v>4</v>
          </cell>
        </row>
        <row r="7015">
          <cell r="C7015" t="str">
            <v>李騏敬</v>
          </cell>
          <cell r="F7015" t="str">
            <v>D250702R1</v>
          </cell>
          <cell r="J7015">
            <v>46017</v>
          </cell>
          <cell r="K7015">
            <v>4</v>
          </cell>
        </row>
        <row r="7016">
          <cell r="C7016" t="str">
            <v>李騏敬</v>
          </cell>
          <cell r="F7016" t="str">
            <v>D250101R1</v>
          </cell>
          <cell r="J7016">
            <v>46020</v>
          </cell>
          <cell r="K7016">
            <v>8</v>
          </cell>
        </row>
        <row r="7017">
          <cell r="C7017" t="str">
            <v>李騏敬</v>
          </cell>
          <cell r="F7017" t="str">
            <v>D250101R1</v>
          </cell>
          <cell r="J7017">
            <v>46021</v>
          </cell>
          <cell r="K7017">
            <v>8</v>
          </cell>
        </row>
        <row r="7018">
          <cell r="C7018" t="str">
            <v>李騏敬</v>
          </cell>
          <cell r="F7018" t="str">
            <v>D250702R1</v>
          </cell>
          <cell r="J7018">
            <v>46022</v>
          </cell>
          <cell r="K7018">
            <v>2</v>
          </cell>
        </row>
        <row r="7019">
          <cell r="C7019" t="str">
            <v>李騏敬</v>
          </cell>
          <cell r="F7019" t="str">
            <v>D250101R1</v>
          </cell>
          <cell r="J7019">
            <v>46022</v>
          </cell>
          <cell r="K7019">
            <v>6</v>
          </cell>
        </row>
        <row r="7020">
          <cell r="C7020" t="str">
            <v>李騏敬</v>
          </cell>
          <cell r="J7020">
            <v>46024</v>
          </cell>
          <cell r="K7020">
            <v>8</v>
          </cell>
        </row>
        <row r="7021">
          <cell r="C7021" t="str">
            <v>李騏敬</v>
          </cell>
          <cell r="J7021">
            <v>46027</v>
          </cell>
          <cell r="K7021">
            <v>8</v>
          </cell>
        </row>
        <row r="7022">
          <cell r="C7022" t="str">
            <v>李騏敬</v>
          </cell>
          <cell r="J7022">
            <v>46028</v>
          </cell>
          <cell r="K7022">
            <v>4</v>
          </cell>
        </row>
        <row r="7023">
          <cell r="C7023" t="str">
            <v>李騏敬</v>
          </cell>
          <cell r="F7023" t="str">
            <v>M251001R1</v>
          </cell>
          <cell r="J7023">
            <v>46028</v>
          </cell>
          <cell r="K7023">
            <v>4</v>
          </cell>
        </row>
        <row r="7024">
          <cell r="C7024" t="str">
            <v>李騏敬</v>
          </cell>
          <cell r="J7024">
            <v>46029</v>
          </cell>
          <cell r="K7024">
            <v>5</v>
          </cell>
        </row>
        <row r="7025">
          <cell r="C7025" t="str">
            <v>李騏敬</v>
          </cell>
          <cell r="F7025" t="str">
            <v>M251001R1</v>
          </cell>
          <cell r="J7025">
            <v>46029</v>
          </cell>
          <cell r="K7025">
            <v>1</v>
          </cell>
        </row>
        <row r="7026">
          <cell r="C7026" t="str">
            <v>李騏敬</v>
          </cell>
          <cell r="F7026" t="str">
            <v>D250101R1</v>
          </cell>
          <cell r="J7026">
            <v>46029</v>
          </cell>
          <cell r="K7026">
            <v>2</v>
          </cell>
        </row>
        <row r="7027">
          <cell r="C7027" t="str">
            <v>李騏敬</v>
          </cell>
          <cell r="F7027" t="str">
            <v>D250101R1</v>
          </cell>
          <cell r="J7027">
            <v>46030</v>
          </cell>
          <cell r="K7027">
            <v>4</v>
          </cell>
        </row>
        <row r="7028">
          <cell r="C7028" t="str">
            <v>李騏敬</v>
          </cell>
          <cell r="F7028" t="str">
            <v>M251001R1</v>
          </cell>
          <cell r="J7028">
            <v>46030</v>
          </cell>
          <cell r="K7028">
            <v>4</v>
          </cell>
        </row>
        <row r="7029">
          <cell r="C7029" t="str">
            <v>李騏敬</v>
          </cell>
          <cell r="F7029" t="str">
            <v>M251001R1</v>
          </cell>
          <cell r="J7029">
            <v>46031</v>
          </cell>
          <cell r="K7029">
            <v>8</v>
          </cell>
        </row>
        <row r="7030">
          <cell r="C7030" t="str">
            <v>李騏敬</v>
          </cell>
          <cell r="J7030">
            <v>46034</v>
          </cell>
          <cell r="K7030">
            <v>1</v>
          </cell>
        </row>
        <row r="7031">
          <cell r="C7031" t="str">
            <v>李騏敬</v>
          </cell>
          <cell r="F7031" t="str">
            <v>D250101R1</v>
          </cell>
          <cell r="J7031">
            <v>46034</v>
          </cell>
          <cell r="K7031">
            <v>5</v>
          </cell>
        </row>
        <row r="7032">
          <cell r="C7032" t="str">
            <v>李騏敬</v>
          </cell>
          <cell r="F7032" t="str">
            <v>M251001R1</v>
          </cell>
          <cell r="J7032">
            <v>46034</v>
          </cell>
          <cell r="K7032">
            <v>2</v>
          </cell>
        </row>
        <row r="7033">
          <cell r="C7033" t="str">
            <v>李騏敬</v>
          </cell>
          <cell r="J7033">
            <v>46035</v>
          </cell>
          <cell r="K7033">
            <v>1</v>
          </cell>
        </row>
        <row r="7034">
          <cell r="C7034" t="str">
            <v>李騏敬</v>
          </cell>
          <cell r="J7034">
            <v>46035</v>
          </cell>
          <cell r="K7034">
            <v>2</v>
          </cell>
        </row>
        <row r="7035">
          <cell r="C7035" t="str">
            <v>李騏敬</v>
          </cell>
          <cell r="F7035" t="str">
            <v>D250101R1</v>
          </cell>
          <cell r="J7035">
            <v>46035</v>
          </cell>
          <cell r="K7035">
            <v>4</v>
          </cell>
        </row>
        <row r="7036">
          <cell r="C7036" t="str">
            <v>李騏敬</v>
          </cell>
          <cell r="F7036" t="str">
            <v>M251001R1</v>
          </cell>
          <cell r="J7036">
            <v>46035</v>
          </cell>
          <cell r="K7036">
            <v>1</v>
          </cell>
        </row>
        <row r="7037">
          <cell r="C7037" t="str">
            <v>李騏敬</v>
          </cell>
          <cell r="F7037" t="str">
            <v>D250101R1</v>
          </cell>
          <cell r="J7037">
            <v>46036</v>
          </cell>
          <cell r="K7037">
            <v>3</v>
          </cell>
        </row>
        <row r="7038">
          <cell r="C7038" t="str">
            <v>李騏敬</v>
          </cell>
          <cell r="F7038" t="str">
            <v>D250101R1</v>
          </cell>
          <cell r="J7038">
            <v>46036</v>
          </cell>
          <cell r="K7038">
            <v>5</v>
          </cell>
        </row>
        <row r="7039">
          <cell r="C7039" t="str">
            <v>李騏敬</v>
          </cell>
          <cell r="J7039">
            <v>46037</v>
          </cell>
          <cell r="K7039">
            <v>4</v>
          </cell>
        </row>
        <row r="7040">
          <cell r="C7040" t="str">
            <v>李騏敬</v>
          </cell>
          <cell r="F7040" t="str">
            <v>D250101R1</v>
          </cell>
          <cell r="J7040">
            <v>46037</v>
          </cell>
          <cell r="K7040">
            <v>4</v>
          </cell>
        </row>
        <row r="7041">
          <cell r="C7041" t="str">
            <v>李騏敬</v>
          </cell>
          <cell r="F7041" t="str">
            <v>D250101R1</v>
          </cell>
          <cell r="J7041">
            <v>46038</v>
          </cell>
          <cell r="K7041">
            <v>8</v>
          </cell>
        </row>
        <row r="7042">
          <cell r="C7042" t="str">
            <v>李騏敬</v>
          </cell>
          <cell r="J7042">
            <v>46041</v>
          </cell>
          <cell r="K7042">
            <v>8</v>
          </cell>
        </row>
        <row r="7043">
          <cell r="C7043" t="str">
            <v>李騏敬</v>
          </cell>
          <cell r="J7043">
            <v>46042</v>
          </cell>
          <cell r="K7043">
            <v>4</v>
          </cell>
        </row>
        <row r="7044">
          <cell r="C7044" t="str">
            <v>李騏敬</v>
          </cell>
          <cell r="F7044" t="str">
            <v>D250101R1</v>
          </cell>
          <cell r="J7044">
            <v>46042</v>
          </cell>
          <cell r="K7044">
            <v>4</v>
          </cell>
        </row>
        <row r="7045">
          <cell r="C7045" t="str">
            <v>李騏敬</v>
          </cell>
          <cell r="J7045">
            <v>46043</v>
          </cell>
          <cell r="K7045">
            <v>4</v>
          </cell>
        </row>
        <row r="7046">
          <cell r="C7046" t="str">
            <v>李騏敬</v>
          </cell>
          <cell r="F7046" t="str">
            <v>D250101R1</v>
          </cell>
          <cell r="J7046">
            <v>46043</v>
          </cell>
          <cell r="K7046">
            <v>4</v>
          </cell>
        </row>
        <row r="7047">
          <cell r="C7047" t="str">
            <v>李騏敬</v>
          </cell>
          <cell r="F7047" t="str">
            <v>K250501R2</v>
          </cell>
          <cell r="J7047">
            <v>46044</v>
          </cell>
          <cell r="K7047">
            <v>8</v>
          </cell>
        </row>
        <row r="7048">
          <cell r="C7048" t="str">
            <v>李騏敬</v>
          </cell>
          <cell r="F7048" t="str">
            <v>K250501R2</v>
          </cell>
          <cell r="J7048">
            <v>46045</v>
          </cell>
          <cell r="K7048">
            <v>8</v>
          </cell>
        </row>
        <row r="7049">
          <cell r="C7049" t="str">
            <v>李騏敬</v>
          </cell>
          <cell r="F7049" t="str">
            <v>M251001R1</v>
          </cell>
          <cell r="J7049">
            <v>46048</v>
          </cell>
          <cell r="K7049">
            <v>4</v>
          </cell>
        </row>
        <row r="7050">
          <cell r="C7050" t="str">
            <v>李騏敬</v>
          </cell>
          <cell r="F7050" t="str">
            <v>K250501R2</v>
          </cell>
          <cell r="J7050">
            <v>46048</v>
          </cell>
          <cell r="K7050">
            <v>4</v>
          </cell>
        </row>
        <row r="7051">
          <cell r="C7051" t="str">
            <v>李騏敬</v>
          </cell>
          <cell r="F7051" t="str">
            <v>K250501R2</v>
          </cell>
          <cell r="J7051">
            <v>46049</v>
          </cell>
          <cell r="K7051">
            <v>8</v>
          </cell>
        </row>
        <row r="7052">
          <cell r="C7052" t="str">
            <v>李騏敬</v>
          </cell>
          <cell r="J7052">
            <v>46050</v>
          </cell>
          <cell r="K7052">
            <v>4</v>
          </cell>
        </row>
        <row r="7053">
          <cell r="C7053" t="str">
            <v>李騏敬</v>
          </cell>
          <cell r="F7053" t="str">
            <v>K250501R2</v>
          </cell>
          <cell r="J7053">
            <v>46050</v>
          </cell>
          <cell r="K7053">
            <v>4</v>
          </cell>
        </row>
        <row r="7054">
          <cell r="C7054" t="str">
            <v>李騏敬</v>
          </cell>
          <cell r="F7054" t="str">
            <v>K250501R2</v>
          </cell>
          <cell r="J7054">
            <v>46051</v>
          </cell>
          <cell r="K7054">
            <v>8</v>
          </cell>
        </row>
        <row r="7055">
          <cell r="C7055" t="str">
            <v>李騏敬</v>
          </cell>
          <cell r="F7055" t="str">
            <v>K250501R2</v>
          </cell>
          <cell r="J7055">
            <v>46052</v>
          </cell>
          <cell r="K7055">
            <v>8</v>
          </cell>
        </row>
        <row r="7056">
          <cell r="C7056" t="str">
            <v>李騏敬</v>
          </cell>
          <cell r="F7056" t="str">
            <v>K250501R2</v>
          </cell>
          <cell r="J7056">
            <v>46055</v>
          </cell>
          <cell r="K7056">
            <v>8</v>
          </cell>
        </row>
        <row r="7057">
          <cell r="C7057" t="str">
            <v>李騏敬</v>
          </cell>
          <cell r="F7057" t="str">
            <v>M251001R1</v>
          </cell>
          <cell r="J7057">
            <v>46056</v>
          </cell>
          <cell r="K7057">
            <v>8</v>
          </cell>
        </row>
        <row r="7058">
          <cell r="C7058" t="str">
            <v>李騏敬</v>
          </cell>
          <cell r="F7058" t="str">
            <v>M251001R1</v>
          </cell>
          <cell r="J7058">
            <v>46057</v>
          </cell>
          <cell r="K7058">
            <v>8</v>
          </cell>
        </row>
        <row r="7059">
          <cell r="C7059" t="str">
            <v>李騏敬</v>
          </cell>
          <cell r="F7059" t="str">
            <v>M251001R1</v>
          </cell>
          <cell r="J7059">
            <v>46058</v>
          </cell>
          <cell r="K7059">
            <v>8</v>
          </cell>
        </row>
        <row r="7060">
          <cell r="C7060" t="str">
            <v>李騏敬</v>
          </cell>
          <cell r="J7060">
            <v>46059</v>
          </cell>
          <cell r="K7060">
            <v>8</v>
          </cell>
        </row>
        <row r="7061">
          <cell r="C7061" t="str">
            <v>李騏敬</v>
          </cell>
          <cell r="F7061" t="str">
            <v>D250101R1</v>
          </cell>
          <cell r="J7061">
            <v>46062</v>
          </cell>
          <cell r="K7061">
            <v>4</v>
          </cell>
        </row>
        <row r="7062">
          <cell r="C7062" t="str">
            <v>李騏敬</v>
          </cell>
          <cell r="F7062" t="str">
            <v>K250501R2</v>
          </cell>
          <cell r="J7062">
            <v>46062</v>
          </cell>
          <cell r="K7062">
            <v>4</v>
          </cell>
        </row>
        <row r="7063">
          <cell r="C7063" t="str">
            <v>李騏敬</v>
          </cell>
          <cell r="J7063">
            <v>46063</v>
          </cell>
          <cell r="K7063">
            <v>3</v>
          </cell>
        </row>
        <row r="7064">
          <cell r="C7064" t="str">
            <v>李騏敬</v>
          </cell>
          <cell r="F7064" t="str">
            <v>D250101R1</v>
          </cell>
          <cell r="J7064">
            <v>46063</v>
          </cell>
          <cell r="K7064">
            <v>5</v>
          </cell>
        </row>
        <row r="7065">
          <cell r="C7065" t="str">
            <v>李騏敬</v>
          </cell>
          <cell r="J7065">
            <v>46064</v>
          </cell>
          <cell r="K7065">
            <v>8</v>
          </cell>
        </row>
        <row r="7066">
          <cell r="C7066" t="str">
            <v>李騏敬</v>
          </cell>
          <cell r="F7066" t="str">
            <v>K250501R2</v>
          </cell>
          <cell r="J7066">
            <v>46065</v>
          </cell>
          <cell r="K7066">
            <v>8</v>
          </cell>
        </row>
        <row r="7067">
          <cell r="C7067" t="str">
            <v>李騏敬</v>
          </cell>
          <cell r="J7067">
            <v>46066</v>
          </cell>
          <cell r="K7067">
            <v>8</v>
          </cell>
        </row>
        <row r="7068">
          <cell r="C7068" t="str">
            <v>李騏敬</v>
          </cell>
          <cell r="F7068" t="str">
            <v>D250101R1</v>
          </cell>
          <cell r="J7068">
            <v>46076</v>
          </cell>
          <cell r="K7068">
            <v>8</v>
          </cell>
        </row>
        <row r="7069">
          <cell r="C7069" t="str">
            <v>李騏敬</v>
          </cell>
          <cell r="J7069">
            <v>46077</v>
          </cell>
          <cell r="K7069">
            <v>2</v>
          </cell>
        </row>
        <row r="7070">
          <cell r="C7070" t="str">
            <v>李騏敬</v>
          </cell>
          <cell r="F7070" t="str">
            <v>D250101R1</v>
          </cell>
          <cell r="J7070">
            <v>46077</v>
          </cell>
          <cell r="K7070">
            <v>6</v>
          </cell>
        </row>
        <row r="7071">
          <cell r="C7071" t="str">
            <v>李騏敬</v>
          </cell>
          <cell r="F7071" t="str">
            <v>D250101R1</v>
          </cell>
          <cell r="J7071">
            <v>46078</v>
          </cell>
          <cell r="K7071">
            <v>6</v>
          </cell>
        </row>
        <row r="7072">
          <cell r="C7072" t="str">
            <v>李騏敬</v>
          </cell>
          <cell r="F7072" t="str">
            <v>D250101R1</v>
          </cell>
          <cell r="J7072">
            <v>46078</v>
          </cell>
          <cell r="K7072">
            <v>2</v>
          </cell>
        </row>
        <row r="7073">
          <cell r="C7073" t="str">
            <v>李騏敬</v>
          </cell>
          <cell r="F7073" t="str">
            <v>D250101R1</v>
          </cell>
          <cell r="J7073">
            <v>46079</v>
          </cell>
          <cell r="K7073">
            <v>8</v>
          </cell>
        </row>
        <row r="7074">
          <cell r="C7074" t="str">
            <v>李騏敬</v>
          </cell>
          <cell r="J7074">
            <v>46080</v>
          </cell>
          <cell r="K7074">
            <v>8</v>
          </cell>
        </row>
        <row r="7075">
          <cell r="C7075" t="str">
            <v>李騏敬</v>
          </cell>
          <cell r="F7075" t="str">
            <v>D250101R1</v>
          </cell>
          <cell r="J7075">
            <v>46083</v>
          </cell>
          <cell r="K7075">
            <v>8</v>
          </cell>
        </row>
        <row r="7076">
          <cell r="C7076" t="str">
            <v>李騏敬</v>
          </cell>
          <cell r="J7076">
            <v>46084</v>
          </cell>
          <cell r="K7076">
            <v>2</v>
          </cell>
        </row>
        <row r="7077">
          <cell r="C7077" t="str">
            <v>李騏敬</v>
          </cell>
          <cell r="F7077" t="str">
            <v>D250101R1</v>
          </cell>
          <cell r="J7077">
            <v>46084</v>
          </cell>
          <cell r="K7077">
            <v>6</v>
          </cell>
        </row>
        <row r="7078">
          <cell r="C7078" t="str">
            <v>李騏敬</v>
          </cell>
          <cell r="F7078" t="str">
            <v>D250101R1</v>
          </cell>
          <cell r="J7078">
            <v>46085</v>
          </cell>
          <cell r="K7078">
            <v>8</v>
          </cell>
        </row>
        <row r="7079">
          <cell r="C7079" t="str">
            <v>李騏敬</v>
          </cell>
          <cell r="F7079" t="str">
            <v>D250101R1</v>
          </cell>
          <cell r="J7079">
            <v>46090</v>
          </cell>
          <cell r="K7079">
            <v>4</v>
          </cell>
        </row>
        <row r="7080">
          <cell r="C7080" t="str">
            <v>李騏敬</v>
          </cell>
          <cell r="F7080" t="str">
            <v>K250501R2</v>
          </cell>
          <cell r="J7080">
            <v>46090</v>
          </cell>
          <cell r="K7080">
            <v>4</v>
          </cell>
        </row>
        <row r="7081">
          <cell r="C7081" t="str">
            <v>李騏敬</v>
          </cell>
          <cell r="F7081" t="str">
            <v>K250501R2</v>
          </cell>
          <cell r="J7081">
            <v>46091</v>
          </cell>
          <cell r="K7081">
            <v>8</v>
          </cell>
        </row>
        <row r="7082">
          <cell r="C7082" t="str">
            <v>李騏敬</v>
          </cell>
          <cell r="F7082" t="str">
            <v>D250101R1</v>
          </cell>
          <cell r="J7082">
            <v>46092</v>
          </cell>
          <cell r="K7082">
            <v>8</v>
          </cell>
        </row>
        <row r="7083">
          <cell r="C7083" t="str">
            <v>李騏敬</v>
          </cell>
          <cell r="F7083" t="str">
            <v>D250101R1</v>
          </cell>
          <cell r="J7083">
            <v>46093</v>
          </cell>
          <cell r="K7083">
            <v>8</v>
          </cell>
        </row>
        <row r="7084">
          <cell r="C7084" t="str">
            <v>李騏敬</v>
          </cell>
          <cell r="J7084">
            <v>46094</v>
          </cell>
          <cell r="K7084">
            <v>4</v>
          </cell>
        </row>
        <row r="7085">
          <cell r="C7085" t="str">
            <v>李騏敬</v>
          </cell>
          <cell r="F7085" t="str">
            <v>K250501R2</v>
          </cell>
          <cell r="J7085">
            <v>46094</v>
          </cell>
          <cell r="K7085">
            <v>4</v>
          </cell>
        </row>
        <row r="7086">
          <cell r="C7086" t="str">
            <v>李騏敬</v>
          </cell>
          <cell r="F7086" t="str">
            <v>K250501R2</v>
          </cell>
          <cell r="J7086">
            <v>46097</v>
          </cell>
          <cell r="K7086">
            <v>8</v>
          </cell>
        </row>
        <row r="7087">
          <cell r="C7087" t="str">
            <v>李騏敬</v>
          </cell>
          <cell r="F7087" t="str">
            <v>K250501R2</v>
          </cell>
          <cell r="J7087">
            <v>46098</v>
          </cell>
          <cell r="K7087">
            <v>8</v>
          </cell>
        </row>
        <row r="7088">
          <cell r="C7088" t="str">
            <v>李騏敬</v>
          </cell>
          <cell r="J7088">
            <v>46099</v>
          </cell>
          <cell r="K7088">
            <v>2</v>
          </cell>
        </row>
        <row r="7089">
          <cell r="C7089" t="str">
            <v>李騏敬</v>
          </cell>
          <cell r="F7089" t="str">
            <v>K250501R2</v>
          </cell>
          <cell r="J7089">
            <v>46099</v>
          </cell>
          <cell r="K7089">
            <v>6</v>
          </cell>
        </row>
        <row r="7090">
          <cell r="C7090" t="str">
            <v>李騏敬</v>
          </cell>
          <cell r="J7090">
            <v>46100</v>
          </cell>
          <cell r="K7090">
            <v>1</v>
          </cell>
        </row>
        <row r="7091">
          <cell r="C7091" t="str">
            <v>李騏敬</v>
          </cell>
          <cell r="F7091" t="str">
            <v>K250501R2</v>
          </cell>
          <cell r="J7091">
            <v>46100</v>
          </cell>
          <cell r="K7091">
            <v>7</v>
          </cell>
        </row>
        <row r="7092">
          <cell r="C7092" t="str">
            <v>李騏敬</v>
          </cell>
          <cell r="J7092">
            <v>46101</v>
          </cell>
          <cell r="K7092">
            <v>4</v>
          </cell>
        </row>
        <row r="7093">
          <cell r="C7093" t="str">
            <v>李騏敬</v>
          </cell>
          <cell r="F7093" t="str">
            <v>K250501R2</v>
          </cell>
          <cell r="J7093">
            <v>46101</v>
          </cell>
          <cell r="K7093">
            <v>4</v>
          </cell>
        </row>
        <row r="7094">
          <cell r="C7094" t="str">
            <v>李騏敬</v>
          </cell>
          <cell r="J7094">
            <v>46104</v>
          </cell>
          <cell r="K7094">
            <v>8</v>
          </cell>
        </row>
        <row r="7095">
          <cell r="C7095" t="str">
            <v>李騏敬</v>
          </cell>
          <cell r="F7095" t="str">
            <v>K250501R2</v>
          </cell>
          <cell r="J7095">
            <v>46105</v>
          </cell>
          <cell r="K7095">
            <v>8</v>
          </cell>
        </row>
        <row r="7096">
          <cell r="C7096" t="str">
            <v>李騏敬</v>
          </cell>
          <cell r="F7096" t="str">
            <v>K250501R2</v>
          </cell>
          <cell r="J7096">
            <v>46106</v>
          </cell>
          <cell r="K7096">
            <v>4</v>
          </cell>
        </row>
        <row r="7097">
          <cell r="C7097" t="str">
            <v>李騏敬</v>
          </cell>
          <cell r="F7097" t="str">
            <v>D250101R1</v>
          </cell>
          <cell r="J7097">
            <v>46106</v>
          </cell>
          <cell r="K7097">
            <v>4</v>
          </cell>
        </row>
        <row r="7098">
          <cell r="C7098" t="str">
            <v>李騏敬</v>
          </cell>
          <cell r="F7098" t="str">
            <v>D250101R1</v>
          </cell>
          <cell r="J7098">
            <v>46107</v>
          </cell>
          <cell r="K7098">
            <v>8</v>
          </cell>
        </row>
        <row r="7099">
          <cell r="C7099" t="str">
            <v>李騏敬</v>
          </cell>
          <cell r="F7099" t="str">
            <v>D250101R1</v>
          </cell>
          <cell r="J7099">
            <v>46108</v>
          </cell>
          <cell r="K7099">
            <v>8</v>
          </cell>
        </row>
        <row r="7100">
          <cell r="C7100" t="str">
            <v>李騏敬</v>
          </cell>
          <cell r="F7100" t="str">
            <v>K250501R2</v>
          </cell>
          <cell r="J7100">
            <v>46111</v>
          </cell>
          <cell r="K7100">
            <v>8</v>
          </cell>
        </row>
        <row r="7101">
          <cell r="C7101" t="str">
            <v>李騏敬</v>
          </cell>
          <cell r="F7101" t="str">
            <v>K250501R2</v>
          </cell>
          <cell r="J7101">
            <v>46112</v>
          </cell>
          <cell r="K7101">
            <v>8</v>
          </cell>
        </row>
        <row r="7102">
          <cell r="C7102" t="str">
            <v>李騏敬</v>
          </cell>
          <cell r="F7102" t="str">
            <v>K250501R2</v>
          </cell>
          <cell r="J7102">
            <v>46113</v>
          </cell>
          <cell r="K7102">
            <v>4</v>
          </cell>
        </row>
        <row r="7103">
          <cell r="C7103" t="str">
            <v>李騏敬</v>
          </cell>
          <cell r="F7103" t="str">
            <v>D250101R1</v>
          </cell>
          <cell r="J7103">
            <v>46113</v>
          </cell>
          <cell r="K7103">
            <v>4</v>
          </cell>
        </row>
        <row r="7104">
          <cell r="C7104" t="str">
            <v>李騏敬</v>
          </cell>
          <cell r="J7104">
            <v>46114</v>
          </cell>
          <cell r="K7104">
            <v>4</v>
          </cell>
        </row>
        <row r="7105">
          <cell r="C7105" t="str">
            <v>李騏敬</v>
          </cell>
          <cell r="F7105" t="str">
            <v>K250501R2</v>
          </cell>
          <cell r="J7105">
            <v>46114</v>
          </cell>
          <cell r="K7105">
            <v>4</v>
          </cell>
        </row>
        <row r="7106">
          <cell r="C7106" t="str">
            <v>李騏敬</v>
          </cell>
          <cell r="J7106">
            <v>46115</v>
          </cell>
          <cell r="K7106">
            <v>8</v>
          </cell>
        </row>
        <row r="7107">
          <cell r="C7107" t="str">
            <v>李騏敬</v>
          </cell>
          <cell r="J7107">
            <v>46118</v>
          </cell>
          <cell r="K7107">
            <v>8</v>
          </cell>
        </row>
        <row r="7108">
          <cell r="C7108" t="str">
            <v>李騏敬</v>
          </cell>
          <cell r="J7108">
            <v>46119</v>
          </cell>
          <cell r="K7108">
            <v>8</v>
          </cell>
        </row>
        <row r="7109">
          <cell r="C7109" t="str">
            <v>李騏敬</v>
          </cell>
          <cell r="J7109">
            <v>46120</v>
          </cell>
          <cell r="K7109">
            <v>9</v>
          </cell>
        </row>
        <row r="7110">
          <cell r="C7110" t="str">
            <v>李騏敬</v>
          </cell>
          <cell r="J7110">
            <v>46121</v>
          </cell>
          <cell r="K7110">
            <v>2</v>
          </cell>
        </row>
        <row r="7111">
          <cell r="C7111" t="str">
            <v>李騏敬</v>
          </cell>
          <cell r="F7111" t="str">
            <v>K250501R2</v>
          </cell>
          <cell r="J7111">
            <v>46122</v>
          </cell>
          <cell r="K7111">
            <v>8</v>
          </cell>
        </row>
        <row r="7112">
          <cell r="C7112" t="str">
            <v>李騏敬</v>
          </cell>
          <cell r="J7112">
            <v>46125</v>
          </cell>
          <cell r="K7112">
            <v>8</v>
          </cell>
        </row>
        <row r="7113">
          <cell r="C7113" t="str">
            <v>李騏敬</v>
          </cell>
          <cell r="J7113">
            <v>46126</v>
          </cell>
          <cell r="K7113">
            <v>8</v>
          </cell>
        </row>
        <row r="7114">
          <cell r="C7114" t="str">
            <v>李騏敬</v>
          </cell>
          <cell r="J7114">
            <v>46127</v>
          </cell>
          <cell r="K7114">
            <v>9.5</v>
          </cell>
        </row>
        <row r="7115">
          <cell r="C7115" t="str">
            <v>李騏敬</v>
          </cell>
          <cell r="J7115">
            <v>46128</v>
          </cell>
          <cell r="K7115">
            <v>8</v>
          </cell>
        </row>
        <row r="7116">
          <cell r="C7116" t="str">
            <v>李騏敬</v>
          </cell>
          <cell r="F7116" t="str">
            <v>D250101R1</v>
          </cell>
          <cell r="J7116">
            <v>46129</v>
          </cell>
          <cell r="K7116">
            <v>8</v>
          </cell>
        </row>
        <row r="7117">
          <cell r="C7117" t="str">
            <v>李騏敬</v>
          </cell>
          <cell r="J7117">
            <v>46132</v>
          </cell>
          <cell r="K7117">
            <v>4</v>
          </cell>
        </row>
        <row r="7118">
          <cell r="C7118" t="str">
            <v>李騏敬</v>
          </cell>
          <cell r="F7118" t="str">
            <v>K250501R2</v>
          </cell>
          <cell r="J7118">
            <v>46132</v>
          </cell>
          <cell r="K7118">
            <v>5.5</v>
          </cell>
        </row>
        <row r="7119">
          <cell r="C7119" t="str">
            <v>李騏敬</v>
          </cell>
          <cell r="J7119">
            <v>46133</v>
          </cell>
          <cell r="K7119">
            <v>1</v>
          </cell>
        </row>
        <row r="7120">
          <cell r="C7120" t="str">
            <v>李騏敬</v>
          </cell>
          <cell r="F7120" t="str">
            <v>K250501R2</v>
          </cell>
          <cell r="J7120">
            <v>46133</v>
          </cell>
          <cell r="K7120">
            <v>6</v>
          </cell>
        </row>
        <row r="7121">
          <cell r="C7121" t="str">
            <v>李騏敬</v>
          </cell>
          <cell r="F7121" t="str">
            <v>D250101R1</v>
          </cell>
          <cell r="J7121">
            <v>46133</v>
          </cell>
          <cell r="K7121">
            <v>2</v>
          </cell>
        </row>
        <row r="7122">
          <cell r="C7122" t="str">
            <v>李騏敬</v>
          </cell>
          <cell r="J7122">
            <v>46134</v>
          </cell>
          <cell r="K7122">
            <v>1</v>
          </cell>
        </row>
        <row r="7123">
          <cell r="C7123" t="str">
            <v>李騏敬</v>
          </cell>
          <cell r="J7123">
            <v>46134</v>
          </cell>
          <cell r="K7123">
            <v>1</v>
          </cell>
        </row>
        <row r="7124">
          <cell r="C7124" t="str">
            <v>李騏敬</v>
          </cell>
          <cell r="F7124" t="str">
            <v>K250501R2</v>
          </cell>
          <cell r="J7124">
            <v>46134</v>
          </cell>
          <cell r="K7124">
            <v>6</v>
          </cell>
        </row>
        <row r="7125">
          <cell r="C7125" t="str">
            <v>李騏敬</v>
          </cell>
          <cell r="J7125">
            <v>46135</v>
          </cell>
          <cell r="K7125">
            <v>2</v>
          </cell>
        </row>
        <row r="7126">
          <cell r="C7126" t="str">
            <v>李騏敬</v>
          </cell>
          <cell r="F7126" t="str">
            <v>D250101R1</v>
          </cell>
          <cell r="J7126">
            <v>46135</v>
          </cell>
          <cell r="K7126">
            <v>6</v>
          </cell>
        </row>
        <row r="7127">
          <cell r="C7127" t="str">
            <v>李騏敬</v>
          </cell>
          <cell r="J7127">
            <v>46136</v>
          </cell>
          <cell r="K7127">
            <v>2</v>
          </cell>
        </row>
        <row r="7128">
          <cell r="C7128" t="str">
            <v>李騏敬</v>
          </cell>
          <cell r="F7128" t="str">
            <v>K250501R2</v>
          </cell>
          <cell r="J7128">
            <v>46136</v>
          </cell>
          <cell r="K7128">
            <v>3</v>
          </cell>
        </row>
        <row r="7129">
          <cell r="C7129" t="str">
            <v>李騏敬</v>
          </cell>
          <cell r="F7129" t="str">
            <v>D250101R1</v>
          </cell>
          <cell r="J7129">
            <v>46136</v>
          </cell>
          <cell r="K7129">
            <v>3</v>
          </cell>
        </row>
        <row r="7130">
          <cell r="C7130" t="str">
            <v>李騏敬</v>
          </cell>
          <cell r="F7130" t="str">
            <v>K250501R2</v>
          </cell>
          <cell r="J7130">
            <v>46139</v>
          </cell>
          <cell r="K7130">
            <v>5</v>
          </cell>
        </row>
        <row r="7131">
          <cell r="C7131" t="str">
            <v>李騏敬</v>
          </cell>
          <cell r="F7131" t="str">
            <v>K250501R2</v>
          </cell>
          <cell r="J7131">
            <v>46139</v>
          </cell>
          <cell r="K7131">
            <v>4</v>
          </cell>
        </row>
        <row r="7132">
          <cell r="C7132" t="str">
            <v>李騏敬</v>
          </cell>
          <cell r="F7132" t="str">
            <v>K250501R2</v>
          </cell>
          <cell r="J7132">
            <v>46140</v>
          </cell>
          <cell r="K7132">
            <v>4</v>
          </cell>
        </row>
        <row r="7133">
          <cell r="C7133" t="str">
            <v>李騏敬</v>
          </cell>
          <cell r="F7133" t="str">
            <v>K250501R2</v>
          </cell>
          <cell r="J7133">
            <v>46140</v>
          </cell>
          <cell r="K7133">
            <v>4</v>
          </cell>
        </row>
        <row r="7134">
          <cell r="C7134" t="str">
            <v>李騏敬</v>
          </cell>
          <cell r="J7134">
            <v>46141</v>
          </cell>
          <cell r="K7134">
            <v>2</v>
          </cell>
        </row>
        <row r="7135">
          <cell r="C7135" t="str">
            <v>李騏敬</v>
          </cell>
          <cell r="F7135" t="str">
            <v>K250501R2</v>
          </cell>
          <cell r="J7135">
            <v>46141</v>
          </cell>
          <cell r="K7135">
            <v>6</v>
          </cell>
        </row>
        <row r="7136">
          <cell r="C7136" t="str">
            <v>李騏敬</v>
          </cell>
          <cell r="J7136">
            <v>46142</v>
          </cell>
          <cell r="K7136">
            <v>4</v>
          </cell>
        </row>
        <row r="7137">
          <cell r="C7137" t="str">
            <v>李騏敬</v>
          </cell>
          <cell r="F7137" t="str">
            <v>K250501R2</v>
          </cell>
          <cell r="J7137">
            <v>46142</v>
          </cell>
          <cell r="K7137">
            <v>4</v>
          </cell>
        </row>
        <row r="7138">
          <cell r="C7138" t="str">
            <v>李騏敬</v>
          </cell>
          <cell r="J7138">
            <v>46143</v>
          </cell>
          <cell r="K7138">
            <v>8</v>
          </cell>
        </row>
        <row r="7139">
          <cell r="C7139" t="str">
            <v>李騏敬</v>
          </cell>
          <cell r="F7139" t="str">
            <v>D250101R1</v>
          </cell>
          <cell r="J7139">
            <v>46146</v>
          </cell>
          <cell r="K7139">
            <v>4</v>
          </cell>
        </row>
        <row r="7140">
          <cell r="C7140" t="str">
            <v>李騏敬</v>
          </cell>
          <cell r="F7140" t="str">
            <v>D250101R1</v>
          </cell>
          <cell r="J7140">
            <v>46146</v>
          </cell>
          <cell r="K7140">
            <v>4</v>
          </cell>
        </row>
        <row r="7141">
          <cell r="C7141" t="str">
            <v>李騏敬</v>
          </cell>
          <cell r="F7141" t="str">
            <v>K250501R2</v>
          </cell>
          <cell r="J7141">
            <v>46146</v>
          </cell>
          <cell r="K7141">
            <v>4</v>
          </cell>
        </row>
        <row r="7142">
          <cell r="C7142" t="str">
            <v>李騏敬</v>
          </cell>
          <cell r="F7142" t="str">
            <v>K250501R2</v>
          </cell>
          <cell r="J7142">
            <v>46146</v>
          </cell>
          <cell r="K7142">
            <v>4</v>
          </cell>
        </row>
        <row r="7143">
          <cell r="C7143" t="str">
            <v>李騏敬</v>
          </cell>
          <cell r="F7143" t="str">
            <v>D250101R1</v>
          </cell>
          <cell r="J7143">
            <v>46147</v>
          </cell>
          <cell r="K7143">
            <v>8</v>
          </cell>
        </row>
        <row r="7144">
          <cell r="C7144" t="str">
            <v>李騏敬</v>
          </cell>
          <cell r="F7144" t="str">
            <v>M251001R1</v>
          </cell>
          <cell r="J7144">
            <v>46148</v>
          </cell>
          <cell r="K7144">
            <v>6</v>
          </cell>
        </row>
        <row r="7145">
          <cell r="C7145" t="str">
            <v>李騏敬</v>
          </cell>
          <cell r="F7145" t="str">
            <v>K250501R2</v>
          </cell>
          <cell r="J7145">
            <v>46148</v>
          </cell>
          <cell r="K7145">
            <v>2</v>
          </cell>
        </row>
        <row r="7146">
          <cell r="C7146" t="str">
            <v>李騏敬</v>
          </cell>
          <cell r="F7146" t="str">
            <v>M251001R1</v>
          </cell>
          <cell r="J7146">
            <v>46149</v>
          </cell>
          <cell r="K7146">
            <v>8</v>
          </cell>
        </row>
        <row r="7147">
          <cell r="C7147" t="str">
            <v>李騏敬</v>
          </cell>
          <cell r="F7147" t="str">
            <v>M251001R1</v>
          </cell>
          <cell r="J7147">
            <v>46150</v>
          </cell>
          <cell r="K7147">
            <v>8</v>
          </cell>
        </row>
        <row r="7148">
          <cell r="C7148" t="str">
            <v>李騏敬</v>
          </cell>
          <cell r="F7148" t="str">
            <v>M251001R1</v>
          </cell>
          <cell r="J7148">
            <v>46153</v>
          </cell>
          <cell r="K7148">
            <v>4</v>
          </cell>
        </row>
        <row r="7149">
          <cell r="C7149" t="str">
            <v>李騏敬</v>
          </cell>
          <cell r="F7149" t="str">
            <v>K250501R2</v>
          </cell>
          <cell r="J7149">
            <v>46153</v>
          </cell>
          <cell r="K7149">
            <v>4</v>
          </cell>
        </row>
        <row r="7150">
          <cell r="C7150" t="str">
            <v>李騏敬</v>
          </cell>
          <cell r="F7150" t="str">
            <v>D250101R1</v>
          </cell>
          <cell r="J7150">
            <v>46154</v>
          </cell>
          <cell r="K7150">
            <v>2</v>
          </cell>
        </row>
        <row r="7151">
          <cell r="C7151" t="str">
            <v>李騏敬</v>
          </cell>
          <cell r="F7151" t="str">
            <v>M251001R1</v>
          </cell>
          <cell r="J7151">
            <v>46154</v>
          </cell>
          <cell r="K7151">
            <v>2</v>
          </cell>
        </row>
        <row r="7152">
          <cell r="C7152" t="str">
            <v>李騏敬</v>
          </cell>
          <cell r="F7152" t="str">
            <v>K250501R2</v>
          </cell>
          <cell r="J7152">
            <v>46154</v>
          </cell>
          <cell r="K7152">
            <v>4</v>
          </cell>
        </row>
        <row r="7153">
          <cell r="C7153" t="str">
            <v>李騏敬</v>
          </cell>
          <cell r="F7153" t="str">
            <v>K250501R2</v>
          </cell>
          <cell r="J7153">
            <v>46155</v>
          </cell>
          <cell r="K7153">
            <v>2</v>
          </cell>
        </row>
        <row r="7154">
          <cell r="C7154" t="str">
            <v>李騏敬</v>
          </cell>
          <cell r="F7154" t="str">
            <v>D250101R1</v>
          </cell>
          <cell r="J7154">
            <v>46155</v>
          </cell>
          <cell r="K7154">
            <v>2</v>
          </cell>
        </row>
        <row r="7155">
          <cell r="C7155" t="str">
            <v>李騏敬</v>
          </cell>
          <cell r="F7155" t="str">
            <v>K250501R2</v>
          </cell>
          <cell r="J7155">
            <v>46155</v>
          </cell>
          <cell r="K7155">
            <v>4</v>
          </cell>
        </row>
        <row r="7156">
          <cell r="C7156" t="str">
            <v>李騏敬</v>
          </cell>
          <cell r="J7156">
            <v>46156</v>
          </cell>
          <cell r="K7156">
            <v>4</v>
          </cell>
        </row>
        <row r="7157">
          <cell r="C7157" t="str">
            <v>李騏敬</v>
          </cell>
          <cell r="F7157" t="str">
            <v>D250101R1</v>
          </cell>
          <cell r="J7157">
            <v>46156</v>
          </cell>
          <cell r="K7157">
            <v>4</v>
          </cell>
        </row>
        <row r="7158">
          <cell r="C7158" t="str">
            <v>李騏敬</v>
          </cell>
          <cell r="J7158">
            <v>46157</v>
          </cell>
          <cell r="K7158">
            <v>8</v>
          </cell>
        </row>
        <row r="7159">
          <cell r="C7159" t="str">
            <v>李騏敬</v>
          </cell>
          <cell r="J7159">
            <v>46160</v>
          </cell>
          <cell r="K7159">
            <v>2</v>
          </cell>
        </row>
        <row r="7160">
          <cell r="C7160" t="str">
            <v>李騏敬</v>
          </cell>
          <cell r="J7160">
            <v>46160</v>
          </cell>
          <cell r="K7160">
            <v>6</v>
          </cell>
        </row>
        <row r="7161">
          <cell r="C7161" t="str">
            <v>李騏敬</v>
          </cell>
          <cell r="J7161">
            <v>46161</v>
          </cell>
          <cell r="K7161">
            <v>2</v>
          </cell>
        </row>
        <row r="7162">
          <cell r="C7162" t="str">
            <v>李騏敬</v>
          </cell>
          <cell r="J7162">
            <v>46161</v>
          </cell>
          <cell r="K7162">
            <v>2</v>
          </cell>
        </row>
        <row r="7163">
          <cell r="C7163" t="str">
            <v>李騏敬</v>
          </cell>
          <cell r="F7163" t="str">
            <v>M251001R1</v>
          </cell>
          <cell r="J7163">
            <v>46161</v>
          </cell>
          <cell r="K7163">
            <v>4</v>
          </cell>
        </row>
        <row r="7164">
          <cell r="C7164" t="str">
            <v>李騏敬</v>
          </cell>
          <cell r="J7164">
            <v>46162</v>
          </cell>
          <cell r="K7164">
            <v>1.5</v>
          </cell>
        </row>
        <row r="7165">
          <cell r="C7165" t="str">
            <v>李騏敬</v>
          </cell>
          <cell r="J7165">
            <v>46162</v>
          </cell>
          <cell r="K7165">
            <v>3</v>
          </cell>
        </row>
        <row r="7166">
          <cell r="C7166" t="str">
            <v>李騏敬</v>
          </cell>
          <cell r="J7166">
            <v>46162</v>
          </cell>
          <cell r="K7166">
            <v>1</v>
          </cell>
        </row>
        <row r="7167">
          <cell r="C7167" t="str">
            <v>李騏敬</v>
          </cell>
          <cell r="F7167" t="str">
            <v>M251001R1</v>
          </cell>
          <cell r="J7167">
            <v>46162</v>
          </cell>
          <cell r="K7167">
            <v>2.5</v>
          </cell>
        </row>
        <row r="7168">
          <cell r="C7168" t="str">
            <v>江俊毅</v>
          </cell>
          <cell r="F7168" t="str">
            <v>M240201R1</v>
          </cell>
          <cell r="J7168">
            <v>45470</v>
          </cell>
          <cell r="K7168">
            <v>10</v>
          </cell>
        </row>
        <row r="7169">
          <cell r="C7169" t="str">
            <v>江俊毅</v>
          </cell>
          <cell r="J7169">
            <v>45471</v>
          </cell>
          <cell r="K7169">
            <v>1</v>
          </cell>
        </row>
        <row r="7170">
          <cell r="C7170" t="str">
            <v>江俊毅</v>
          </cell>
          <cell r="F7170" t="str">
            <v>M240201R1</v>
          </cell>
          <cell r="J7170">
            <v>45471</v>
          </cell>
          <cell r="K7170">
            <v>7</v>
          </cell>
        </row>
        <row r="7171">
          <cell r="C7171" t="str">
            <v>江俊毅</v>
          </cell>
          <cell r="J7171">
            <v>45474</v>
          </cell>
          <cell r="K7171">
            <v>2</v>
          </cell>
        </row>
        <row r="7172">
          <cell r="C7172" t="str">
            <v>江俊毅</v>
          </cell>
          <cell r="F7172" t="str">
            <v>M240201R1</v>
          </cell>
          <cell r="J7172">
            <v>45474</v>
          </cell>
          <cell r="K7172">
            <v>8</v>
          </cell>
        </row>
        <row r="7173">
          <cell r="C7173" t="str">
            <v>江俊毅</v>
          </cell>
          <cell r="J7173">
            <v>45475</v>
          </cell>
          <cell r="K7173">
            <v>8</v>
          </cell>
        </row>
        <row r="7174">
          <cell r="C7174" t="str">
            <v>江俊毅</v>
          </cell>
          <cell r="F7174" t="str">
            <v>M240101R1</v>
          </cell>
          <cell r="J7174">
            <v>45476</v>
          </cell>
          <cell r="K7174">
            <v>8</v>
          </cell>
        </row>
        <row r="7175">
          <cell r="C7175" t="str">
            <v>江俊毅</v>
          </cell>
          <cell r="J7175">
            <v>45477</v>
          </cell>
          <cell r="K7175">
            <v>8</v>
          </cell>
        </row>
        <row r="7176">
          <cell r="C7176" t="str">
            <v>江俊毅</v>
          </cell>
          <cell r="F7176" t="str">
            <v>M240101R1</v>
          </cell>
          <cell r="J7176">
            <v>45477</v>
          </cell>
          <cell r="K7176">
            <v>1</v>
          </cell>
        </row>
        <row r="7177">
          <cell r="C7177" t="str">
            <v>江俊毅</v>
          </cell>
          <cell r="F7177" t="str">
            <v>M240201R1</v>
          </cell>
          <cell r="J7177">
            <v>45477</v>
          </cell>
          <cell r="K7177">
            <v>1</v>
          </cell>
        </row>
        <row r="7178">
          <cell r="C7178" t="str">
            <v>江俊毅</v>
          </cell>
          <cell r="F7178" t="str">
            <v>M221005R2</v>
          </cell>
          <cell r="J7178">
            <v>45478</v>
          </cell>
          <cell r="K7178">
            <v>3</v>
          </cell>
        </row>
        <row r="7179">
          <cell r="C7179" t="str">
            <v>江俊毅</v>
          </cell>
          <cell r="F7179" t="str">
            <v>M240201R1</v>
          </cell>
          <cell r="J7179">
            <v>45478</v>
          </cell>
          <cell r="K7179">
            <v>5</v>
          </cell>
        </row>
        <row r="7180">
          <cell r="C7180" t="str">
            <v>江俊毅</v>
          </cell>
          <cell r="F7180" t="str">
            <v>M221005R2</v>
          </cell>
          <cell r="J7180">
            <v>45481</v>
          </cell>
          <cell r="K7180">
            <v>6</v>
          </cell>
        </row>
        <row r="7181">
          <cell r="C7181" t="str">
            <v>江俊毅</v>
          </cell>
          <cell r="F7181" t="str">
            <v>M240201R1</v>
          </cell>
          <cell r="J7181">
            <v>45481</v>
          </cell>
          <cell r="K7181">
            <v>2</v>
          </cell>
        </row>
        <row r="7182">
          <cell r="C7182" t="str">
            <v>江俊毅</v>
          </cell>
          <cell r="F7182" t="str">
            <v>M221005R2</v>
          </cell>
          <cell r="J7182">
            <v>45482</v>
          </cell>
          <cell r="K7182">
            <v>10</v>
          </cell>
        </row>
        <row r="7183">
          <cell r="C7183" t="str">
            <v>江俊毅</v>
          </cell>
          <cell r="F7183" t="str">
            <v>M221005R2</v>
          </cell>
          <cell r="J7183">
            <v>45483</v>
          </cell>
          <cell r="K7183">
            <v>8</v>
          </cell>
        </row>
        <row r="7184">
          <cell r="C7184" t="str">
            <v>江俊毅</v>
          </cell>
          <cell r="J7184">
            <v>45483</v>
          </cell>
          <cell r="K7184">
            <v>1</v>
          </cell>
        </row>
        <row r="7185">
          <cell r="C7185" t="str">
            <v>江俊毅</v>
          </cell>
          <cell r="J7185">
            <v>45484</v>
          </cell>
          <cell r="K7185">
            <v>4</v>
          </cell>
        </row>
        <row r="7186">
          <cell r="C7186" t="str">
            <v>江俊毅</v>
          </cell>
          <cell r="F7186" t="str">
            <v>M221005R2</v>
          </cell>
          <cell r="J7186">
            <v>45484</v>
          </cell>
          <cell r="K7186">
            <v>4</v>
          </cell>
        </row>
        <row r="7187">
          <cell r="C7187" t="str">
            <v>江俊毅</v>
          </cell>
          <cell r="F7187" t="str">
            <v>M240101R1</v>
          </cell>
          <cell r="J7187">
            <v>45485</v>
          </cell>
          <cell r="K7187">
            <v>6</v>
          </cell>
        </row>
        <row r="7188">
          <cell r="C7188" t="str">
            <v>江俊毅</v>
          </cell>
          <cell r="J7188">
            <v>45485</v>
          </cell>
          <cell r="K7188">
            <v>2</v>
          </cell>
        </row>
        <row r="7189">
          <cell r="C7189" t="str">
            <v>江俊毅</v>
          </cell>
          <cell r="F7189" t="str">
            <v>M240101R1</v>
          </cell>
          <cell r="J7189">
            <v>45488</v>
          </cell>
          <cell r="K7189">
            <v>2</v>
          </cell>
        </row>
        <row r="7190">
          <cell r="C7190" t="str">
            <v>江俊毅</v>
          </cell>
          <cell r="F7190" t="str">
            <v>M240101R1</v>
          </cell>
          <cell r="J7190">
            <v>45488</v>
          </cell>
          <cell r="K7190">
            <v>5</v>
          </cell>
        </row>
        <row r="7191">
          <cell r="C7191" t="str">
            <v>江俊毅</v>
          </cell>
          <cell r="J7191">
            <v>45488</v>
          </cell>
          <cell r="K7191">
            <v>1</v>
          </cell>
        </row>
        <row r="7192">
          <cell r="C7192" t="str">
            <v>江俊毅</v>
          </cell>
          <cell r="F7192" t="str">
            <v>M240201R1</v>
          </cell>
          <cell r="J7192">
            <v>45489</v>
          </cell>
          <cell r="K7192">
            <v>4</v>
          </cell>
        </row>
        <row r="7193">
          <cell r="C7193" t="str">
            <v>江俊毅</v>
          </cell>
          <cell r="J7193">
            <v>45489</v>
          </cell>
          <cell r="K7193">
            <v>4</v>
          </cell>
        </row>
        <row r="7194">
          <cell r="C7194" t="str">
            <v>江俊毅</v>
          </cell>
          <cell r="F7194" t="str">
            <v>M240201R1</v>
          </cell>
          <cell r="J7194">
            <v>45490</v>
          </cell>
          <cell r="K7194">
            <v>5</v>
          </cell>
        </row>
        <row r="7195">
          <cell r="C7195" t="str">
            <v>江俊毅</v>
          </cell>
          <cell r="F7195" t="str">
            <v>M240201R1</v>
          </cell>
          <cell r="J7195">
            <v>45490</v>
          </cell>
          <cell r="K7195">
            <v>3</v>
          </cell>
        </row>
        <row r="7196">
          <cell r="C7196" t="str">
            <v>江俊毅</v>
          </cell>
          <cell r="F7196" t="str">
            <v>M240201R1</v>
          </cell>
          <cell r="J7196">
            <v>45491</v>
          </cell>
          <cell r="K7196">
            <v>5</v>
          </cell>
        </row>
        <row r="7197">
          <cell r="C7197" t="str">
            <v>江俊毅</v>
          </cell>
          <cell r="F7197" t="str">
            <v>D240202R1</v>
          </cell>
          <cell r="J7197">
            <v>45491</v>
          </cell>
          <cell r="K7197">
            <v>3</v>
          </cell>
        </row>
        <row r="7198">
          <cell r="C7198" t="str">
            <v>江俊毅</v>
          </cell>
          <cell r="J7198">
            <v>45492</v>
          </cell>
          <cell r="K7198">
            <v>4</v>
          </cell>
        </row>
        <row r="7199">
          <cell r="C7199" t="str">
            <v>江俊毅</v>
          </cell>
          <cell r="J7199">
            <v>45492</v>
          </cell>
          <cell r="K7199">
            <v>1</v>
          </cell>
        </row>
        <row r="7200">
          <cell r="C7200" t="str">
            <v>江俊毅</v>
          </cell>
          <cell r="F7200" t="str">
            <v>M240201R1</v>
          </cell>
          <cell r="J7200">
            <v>45492</v>
          </cell>
          <cell r="K7200">
            <v>3</v>
          </cell>
        </row>
        <row r="7201">
          <cell r="C7201" t="str">
            <v>江俊毅</v>
          </cell>
          <cell r="F7201" t="str">
            <v>M240201R1</v>
          </cell>
          <cell r="J7201">
            <v>45495</v>
          </cell>
          <cell r="K7201">
            <v>6</v>
          </cell>
        </row>
        <row r="7202">
          <cell r="C7202" t="str">
            <v>江俊毅</v>
          </cell>
          <cell r="F7202" t="str">
            <v>M240201R1</v>
          </cell>
          <cell r="J7202">
            <v>45495</v>
          </cell>
          <cell r="K7202">
            <v>2</v>
          </cell>
        </row>
        <row r="7203">
          <cell r="C7203" t="str">
            <v>江俊毅</v>
          </cell>
          <cell r="J7203">
            <v>45496</v>
          </cell>
          <cell r="K7203">
            <v>8</v>
          </cell>
        </row>
        <row r="7204">
          <cell r="C7204" t="str">
            <v>江俊毅</v>
          </cell>
          <cell r="J7204">
            <v>45497</v>
          </cell>
          <cell r="K7204">
            <v>8</v>
          </cell>
        </row>
        <row r="7205">
          <cell r="C7205" t="str">
            <v>江俊毅</v>
          </cell>
          <cell r="J7205">
            <v>45498</v>
          </cell>
          <cell r="K7205">
            <v>8</v>
          </cell>
        </row>
        <row r="7206">
          <cell r="C7206" t="str">
            <v>江俊毅</v>
          </cell>
          <cell r="F7206" t="str">
            <v>M240101R1</v>
          </cell>
          <cell r="J7206">
            <v>45499</v>
          </cell>
          <cell r="K7206">
            <v>4</v>
          </cell>
        </row>
        <row r="7207">
          <cell r="C7207" t="str">
            <v>江俊毅</v>
          </cell>
          <cell r="J7207">
            <v>45499</v>
          </cell>
          <cell r="K7207">
            <v>4</v>
          </cell>
        </row>
        <row r="7208">
          <cell r="C7208" t="str">
            <v>江俊毅</v>
          </cell>
          <cell r="J7208">
            <v>45502</v>
          </cell>
          <cell r="K7208">
            <v>8</v>
          </cell>
        </row>
        <row r="7209">
          <cell r="C7209" t="str">
            <v>江俊毅</v>
          </cell>
          <cell r="J7209">
            <v>45503</v>
          </cell>
          <cell r="K7209">
            <v>5</v>
          </cell>
        </row>
        <row r="7210">
          <cell r="C7210" t="str">
            <v>江俊毅</v>
          </cell>
          <cell r="J7210">
            <v>45503</v>
          </cell>
          <cell r="K7210">
            <v>3</v>
          </cell>
        </row>
        <row r="7211">
          <cell r="C7211" t="str">
            <v>江俊毅</v>
          </cell>
          <cell r="J7211">
            <v>45504</v>
          </cell>
          <cell r="K7211">
            <v>9</v>
          </cell>
        </row>
        <row r="7212">
          <cell r="C7212" t="str">
            <v>江俊毅</v>
          </cell>
          <cell r="J7212">
            <v>45505</v>
          </cell>
          <cell r="K7212">
            <v>5</v>
          </cell>
        </row>
        <row r="7213">
          <cell r="C7213" t="str">
            <v>江俊毅</v>
          </cell>
          <cell r="J7213">
            <v>45505</v>
          </cell>
          <cell r="K7213">
            <v>3</v>
          </cell>
        </row>
        <row r="7214">
          <cell r="C7214" t="str">
            <v>江俊毅</v>
          </cell>
          <cell r="J7214">
            <v>45505</v>
          </cell>
          <cell r="K7214">
            <v>3</v>
          </cell>
        </row>
        <row r="7215">
          <cell r="C7215" t="str">
            <v>江俊毅</v>
          </cell>
          <cell r="J7215">
            <v>45506</v>
          </cell>
          <cell r="K7215">
            <v>7</v>
          </cell>
        </row>
        <row r="7216">
          <cell r="C7216" t="str">
            <v>江俊毅</v>
          </cell>
          <cell r="J7216">
            <v>45506</v>
          </cell>
          <cell r="K7216">
            <v>1</v>
          </cell>
        </row>
        <row r="7217">
          <cell r="C7217" t="str">
            <v>江俊毅</v>
          </cell>
          <cell r="J7217">
            <v>45509</v>
          </cell>
          <cell r="K7217">
            <v>5</v>
          </cell>
        </row>
        <row r="7218">
          <cell r="C7218" t="str">
            <v>江俊毅</v>
          </cell>
          <cell r="J7218">
            <v>45509</v>
          </cell>
          <cell r="K7218">
            <v>3</v>
          </cell>
        </row>
        <row r="7219">
          <cell r="C7219" t="str">
            <v>江俊毅</v>
          </cell>
          <cell r="J7219">
            <v>45510</v>
          </cell>
          <cell r="K7219">
            <v>9</v>
          </cell>
        </row>
        <row r="7220">
          <cell r="C7220" t="str">
            <v>江俊毅</v>
          </cell>
          <cell r="F7220" t="str">
            <v>M240101R1</v>
          </cell>
          <cell r="J7220">
            <v>45511</v>
          </cell>
          <cell r="K7220">
            <v>6</v>
          </cell>
        </row>
        <row r="7221">
          <cell r="C7221" t="str">
            <v>江俊毅</v>
          </cell>
          <cell r="J7221">
            <v>45511</v>
          </cell>
          <cell r="K7221">
            <v>2</v>
          </cell>
        </row>
        <row r="7222">
          <cell r="C7222" t="str">
            <v>江俊毅</v>
          </cell>
          <cell r="F7222" t="str">
            <v>M240101R1</v>
          </cell>
          <cell r="J7222">
            <v>45512</v>
          </cell>
          <cell r="K7222">
            <v>1</v>
          </cell>
        </row>
        <row r="7223">
          <cell r="C7223" t="str">
            <v>江俊毅</v>
          </cell>
          <cell r="J7223">
            <v>45512</v>
          </cell>
          <cell r="K7223">
            <v>10</v>
          </cell>
        </row>
        <row r="7224">
          <cell r="C7224" t="str">
            <v>江俊毅</v>
          </cell>
          <cell r="J7224">
            <v>45513</v>
          </cell>
          <cell r="K7224">
            <v>3</v>
          </cell>
        </row>
        <row r="7225">
          <cell r="C7225" t="str">
            <v>江俊毅</v>
          </cell>
          <cell r="F7225" t="str">
            <v>M240101R1</v>
          </cell>
          <cell r="J7225">
            <v>45513</v>
          </cell>
          <cell r="K7225">
            <v>8</v>
          </cell>
        </row>
        <row r="7226">
          <cell r="C7226" t="str">
            <v>江俊毅</v>
          </cell>
          <cell r="J7226">
            <v>45516</v>
          </cell>
          <cell r="K7226">
            <v>8</v>
          </cell>
        </row>
        <row r="7227">
          <cell r="C7227" t="str">
            <v>江俊毅</v>
          </cell>
          <cell r="J7227">
            <v>45517</v>
          </cell>
          <cell r="K7227">
            <v>5</v>
          </cell>
        </row>
        <row r="7228">
          <cell r="C7228" t="str">
            <v>江俊毅</v>
          </cell>
          <cell r="J7228">
            <v>45517</v>
          </cell>
          <cell r="K7228">
            <v>3</v>
          </cell>
        </row>
        <row r="7229">
          <cell r="C7229" t="str">
            <v>江俊毅</v>
          </cell>
          <cell r="F7229" t="str">
            <v>M240101R1</v>
          </cell>
          <cell r="J7229">
            <v>45518</v>
          </cell>
          <cell r="K7229">
            <v>4</v>
          </cell>
        </row>
        <row r="7230">
          <cell r="C7230" t="str">
            <v>江俊毅</v>
          </cell>
          <cell r="J7230">
            <v>45518</v>
          </cell>
          <cell r="K7230">
            <v>4</v>
          </cell>
        </row>
        <row r="7231">
          <cell r="C7231" t="str">
            <v>江俊毅</v>
          </cell>
          <cell r="J7231">
            <v>45519</v>
          </cell>
          <cell r="K7231">
            <v>3</v>
          </cell>
        </row>
        <row r="7232">
          <cell r="C7232" t="str">
            <v>江俊毅</v>
          </cell>
          <cell r="F7232" t="str">
            <v>M240101R1</v>
          </cell>
          <cell r="J7232">
            <v>45519</v>
          </cell>
          <cell r="K7232">
            <v>8</v>
          </cell>
        </row>
        <row r="7233">
          <cell r="C7233" t="str">
            <v>江俊毅</v>
          </cell>
          <cell r="J7233">
            <v>45520</v>
          </cell>
          <cell r="K7233">
            <v>3</v>
          </cell>
        </row>
        <row r="7234">
          <cell r="C7234" t="str">
            <v>江俊毅</v>
          </cell>
          <cell r="F7234" t="str">
            <v>M240101R1</v>
          </cell>
          <cell r="J7234">
            <v>45520</v>
          </cell>
          <cell r="K7234">
            <v>8</v>
          </cell>
        </row>
        <row r="7235">
          <cell r="C7235" t="str">
            <v>江俊毅</v>
          </cell>
          <cell r="F7235" t="str">
            <v>M240101R1</v>
          </cell>
          <cell r="J7235">
            <v>45523</v>
          </cell>
          <cell r="K7235">
            <v>8</v>
          </cell>
        </row>
        <row r="7236">
          <cell r="C7236" t="str">
            <v>江俊毅</v>
          </cell>
          <cell r="J7236">
            <v>45524</v>
          </cell>
          <cell r="K7236">
            <v>2</v>
          </cell>
        </row>
        <row r="7237">
          <cell r="C7237" t="str">
            <v>江俊毅</v>
          </cell>
          <cell r="F7237" t="str">
            <v>M240101R1</v>
          </cell>
          <cell r="J7237">
            <v>45524</v>
          </cell>
          <cell r="K7237">
            <v>8</v>
          </cell>
        </row>
        <row r="7238">
          <cell r="C7238" t="str">
            <v>江俊毅</v>
          </cell>
          <cell r="J7238">
            <v>45525</v>
          </cell>
          <cell r="K7238">
            <v>8</v>
          </cell>
        </row>
        <row r="7239">
          <cell r="C7239" t="str">
            <v>江俊毅</v>
          </cell>
          <cell r="J7239">
            <v>45526</v>
          </cell>
          <cell r="K7239">
            <v>6</v>
          </cell>
        </row>
        <row r="7240">
          <cell r="C7240" t="str">
            <v>江俊毅</v>
          </cell>
          <cell r="J7240">
            <v>45526</v>
          </cell>
          <cell r="K7240">
            <v>1</v>
          </cell>
        </row>
        <row r="7241">
          <cell r="C7241" t="str">
            <v>江俊毅</v>
          </cell>
          <cell r="J7241">
            <v>45526</v>
          </cell>
          <cell r="K7241">
            <v>1</v>
          </cell>
        </row>
        <row r="7242">
          <cell r="C7242" t="str">
            <v>江俊毅</v>
          </cell>
          <cell r="J7242">
            <v>45526</v>
          </cell>
          <cell r="K7242">
            <v>3</v>
          </cell>
        </row>
        <row r="7243">
          <cell r="C7243" t="str">
            <v>江俊毅</v>
          </cell>
          <cell r="J7243">
            <v>45527</v>
          </cell>
          <cell r="K7243">
            <v>8</v>
          </cell>
        </row>
        <row r="7244">
          <cell r="C7244" t="str">
            <v>江俊毅</v>
          </cell>
          <cell r="J7244">
            <v>45527</v>
          </cell>
          <cell r="K7244">
            <v>3</v>
          </cell>
        </row>
        <row r="7245">
          <cell r="C7245" t="str">
            <v>江俊毅</v>
          </cell>
          <cell r="J7245">
            <v>45530</v>
          </cell>
          <cell r="K7245">
            <v>5</v>
          </cell>
        </row>
        <row r="7246">
          <cell r="C7246" t="str">
            <v>江俊毅</v>
          </cell>
          <cell r="J7246">
            <v>45530</v>
          </cell>
          <cell r="K7246">
            <v>3</v>
          </cell>
        </row>
        <row r="7247">
          <cell r="C7247" t="str">
            <v>江俊毅</v>
          </cell>
          <cell r="J7247">
            <v>45531</v>
          </cell>
          <cell r="K7247">
            <v>4</v>
          </cell>
        </row>
        <row r="7248">
          <cell r="C7248" t="str">
            <v>江俊毅</v>
          </cell>
          <cell r="J7248">
            <v>45531</v>
          </cell>
          <cell r="K7248">
            <v>4</v>
          </cell>
        </row>
        <row r="7249">
          <cell r="C7249" t="str">
            <v>江俊毅</v>
          </cell>
          <cell r="J7249">
            <v>45532</v>
          </cell>
          <cell r="K7249">
            <v>8</v>
          </cell>
        </row>
        <row r="7250">
          <cell r="C7250" t="str">
            <v>江俊毅</v>
          </cell>
          <cell r="J7250">
            <v>45532</v>
          </cell>
          <cell r="K7250">
            <v>1</v>
          </cell>
        </row>
        <row r="7251">
          <cell r="C7251" t="str">
            <v>江俊毅</v>
          </cell>
          <cell r="J7251">
            <v>45533</v>
          </cell>
          <cell r="K7251">
            <v>1</v>
          </cell>
        </row>
        <row r="7252">
          <cell r="C7252" t="str">
            <v>江俊毅</v>
          </cell>
          <cell r="J7252">
            <v>45533</v>
          </cell>
          <cell r="K7252">
            <v>4</v>
          </cell>
        </row>
        <row r="7253">
          <cell r="C7253" t="str">
            <v>江俊毅</v>
          </cell>
          <cell r="J7253">
            <v>45533</v>
          </cell>
          <cell r="K7253">
            <v>3</v>
          </cell>
        </row>
        <row r="7254">
          <cell r="C7254" t="str">
            <v>江俊毅</v>
          </cell>
          <cell r="J7254">
            <v>45537</v>
          </cell>
          <cell r="K7254">
            <v>9</v>
          </cell>
        </row>
        <row r="7255">
          <cell r="C7255" t="str">
            <v>江俊毅</v>
          </cell>
          <cell r="J7255">
            <v>45538</v>
          </cell>
          <cell r="K7255">
            <v>3</v>
          </cell>
        </row>
        <row r="7256">
          <cell r="C7256" t="str">
            <v>江俊毅</v>
          </cell>
          <cell r="J7256">
            <v>45538</v>
          </cell>
          <cell r="K7256">
            <v>5</v>
          </cell>
        </row>
        <row r="7257">
          <cell r="C7257" t="str">
            <v>江俊毅</v>
          </cell>
          <cell r="J7257">
            <v>45539</v>
          </cell>
          <cell r="K7257">
            <v>8</v>
          </cell>
        </row>
        <row r="7258">
          <cell r="C7258" t="str">
            <v>江俊毅</v>
          </cell>
          <cell r="J7258">
            <v>45540</v>
          </cell>
          <cell r="K7258">
            <v>9</v>
          </cell>
        </row>
        <row r="7259">
          <cell r="C7259" t="str">
            <v>江俊毅</v>
          </cell>
          <cell r="J7259">
            <v>45541</v>
          </cell>
          <cell r="K7259">
            <v>4</v>
          </cell>
        </row>
        <row r="7260">
          <cell r="C7260" t="str">
            <v>江俊毅</v>
          </cell>
          <cell r="J7260">
            <v>45541</v>
          </cell>
          <cell r="K7260">
            <v>4</v>
          </cell>
        </row>
        <row r="7261">
          <cell r="C7261" t="str">
            <v>江俊毅</v>
          </cell>
          <cell r="J7261">
            <v>45544</v>
          </cell>
          <cell r="K7261">
            <v>8</v>
          </cell>
        </row>
        <row r="7262">
          <cell r="C7262" t="str">
            <v>江俊毅</v>
          </cell>
          <cell r="J7262">
            <v>45545</v>
          </cell>
          <cell r="K7262">
            <v>5</v>
          </cell>
        </row>
        <row r="7263">
          <cell r="C7263" t="str">
            <v>江俊毅</v>
          </cell>
          <cell r="F7263" t="str">
            <v>M240703R1</v>
          </cell>
          <cell r="J7263">
            <v>45545</v>
          </cell>
          <cell r="K7263">
            <v>3</v>
          </cell>
        </row>
        <row r="7264">
          <cell r="C7264" t="str">
            <v>江俊毅</v>
          </cell>
          <cell r="J7264">
            <v>45546</v>
          </cell>
          <cell r="K7264">
            <v>5</v>
          </cell>
        </row>
        <row r="7265">
          <cell r="C7265" t="str">
            <v>江俊毅</v>
          </cell>
          <cell r="J7265">
            <v>45546</v>
          </cell>
          <cell r="K7265">
            <v>3</v>
          </cell>
        </row>
        <row r="7266">
          <cell r="C7266" t="str">
            <v>江俊毅</v>
          </cell>
          <cell r="F7266" t="str">
            <v>M240703R1</v>
          </cell>
          <cell r="J7266">
            <v>45547</v>
          </cell>
          <cell r="K7266">
            <v>6</v>
          </cell>
        </row>
        <row r="7267">
          <cell r="C7267" t="str">
            <v>江俊毅</v>
          </cell>
          <cell r="J7267">
            <v>45547</v>
          </cell>
          <cell r="K7267">
            <v>4</v>
          </cell>
        </row>
        <row r="7268">
          <cell r="C7268" t="str">
            <v>江俊毅</v>
          </cell>
          <cell r="F7268" t="str">
            <v>M240703R1</v>
          </cell>
          <cell r="J7268">
            <v>45548</v>
          </cell>
          <cell r="K7268">
            <v>8</v>
          </cell>
        </row>
        <row r="7269">
          <cell r="C7269" t="str">
            <v>江俊毅</v>
          </cell>
          <cell r="F7269" t="str">
            <v>M240703R1</v>
          </cell>
          <cell r="J7269">
            <v>45551</v>
          </cell>
          <cell r="K7269">
            <v>6</v>
          </cell>
        </row>
        <row r="7270">
          <cell r="C7270" t="str">
            <v>江俊毅</v>
          </cell>
          <cell r="J7270">
            <v>45551</v>
          </cell>
          <cell r="K7270">
            <v>2</v>
          </cell>
        </row>
        <row r="7271">
          <cell r="C7271" t="str">
            <v>江俊毅</v>
          </cell>
          <cell r="J7271">
            <v>45552</v>
          </cell>
          <cell r="K7271">
            <v>8</v>
          </cell>
        </row>
        <row r="7272">
          <cell r="C7272" t="str">
            <v>江俊毅</v>
          </cell>
          <cell r="F7272" t="str">
            <v>M240703R1</v>
          </cell>
          <cell r="J7272">
            <v>45553</v>
          </cell>
          <cell r="K7272">
            <v>8</v>
          </cell>
        </row>
        <row r="7273">
          <cell r="C7273" t="str">
            <v>江俊毅</v>
          </cell>
          <cell r="F7273" t="str">
            <v>M240703R1</v>
          </cell>
          <cell r="J7273">
            <v>45554</v>
          </cell>
          <cell r="K7273">
            <v>3</v>
          </cell>
        </row>
        <row r="7274">
          <cell r="C7274" t="str">
            <v>江俊毅</v>
          </cell>
          <cell r="J7274">
            <v>45554</v>
          </cell>
          <cell r="K7274">
            <v>1</v>
          </cell>
        </row>
        <row r="7275">
          <cell r="C7275" t="str">
            <v>江俊毅</v>
          </cell>
          <cell r="J7275">
            <v>45554</v>
          </cell>
          <cell r="K7275">
            <v>4</v>
          </cell>
        </row>
        <row r="7276">
          <cell r="C7276" t="str">
            <v>江俊毅</v>
          </cell>
          <cell r="J7276">
            <v>45555</v>
          </cell>
          <cell r="K7276">
            <v>2</v>
          </cell>
        </row>
        <row r="7277">
          <cell r="C7277" t="str">
            <v>江俊毅</v>
          </cell>
          <cell r="J7277">
            <v>45555</v>
          </cell>
          <cell r="K7277">
            <v>6</v>
          </cell>
        </row>
        <row r="7278">
          <cell r="C7278" t="str">
            <v>江俊毅</v>
          </cell>
          <cell r="J7278">
            <v>45558</v>
          </cell>
          <cell r="K7278">
            <v>5</v>
          </cell>
        </row>
        <row r="7279">
          <cell r="C7279" t="str">
            <v>江俊毅</v>
          </cell>
          <cell r="F7279" t="str">
            <v>M240703R1</v>
          </cell>
          <cell r="J7279">
            <v>45558</v>
          </cell>
          <cell r="K7279">
            <v>3</v>
          </cell>
        </row>
        <row r="7280">
          <cell r="C7280" t="str">
            <v>江俊毅</v>
          </cell>
          <cell r="J7280">
            <v>45559</v>
          </cell>
          <cell r="K7280">
            <v>4</v>
          </cell>
        </row>
        <row r="7281">
          <cell r="C7281" t="str">
            <v>江俊毅</v>
          </cell>
          <cell r="F7281" t="str">
            <v>M240703R1</v>
          </cell>
          <cell r="J7281">
            <v>45559</v>
          </cell>
          <cell r="K7281">
            <v>4</v>
          </cell>
        </row>
        <row r="7282">
          <cell r="C7282" t="str">
            <v>江俊毅</v>
          </cell>
          <cell r="J7282">
            <v>45560</v>
          </cell>
          <cell r="K7282">
            <v>2</v>
          </cell>
        </row>
        <row r="7283">
          <cell r="C7283" t="str">
            <v>江俊毅</v>
          </cell>
          <cell r="F7283" t="str">
            <v>M240703R1</v>
          </cell>
          <cell r="J7283">
            <v>45560</v>
          </cell>
          <cell r="K7283">
            <v>5</v>
          </cell>
        </row>
        <row r="7284">
          <cell r="C7284" t="str">
            <v>江俊毅</v>
          </cell>
          <cell r="J7284">
            <v>45560</v>
          </cell>
          <cell r="K7284">
            <v>1</v>
          </cell>
        </row>
        <row r="7285">
          <cell r="C7285" t="str">
            <v>江俊毅</v>
          </cell>
          <cell r="J7285">
            <v>45561</v>
          </cell>
          <cell r="K7285">
            <v>2</v>
          </cell>
        </row>
        <row r="7286">
          <cell r="C7286" t="str">
            <v>江俊毅</v>
          </cell>
          <cell r="F7286" t="str">
            <v>M240703R1</v>
          </cell>
          <cell r="J7286">
            <v>45561</v>
          </cell>
          <cell r="K7286">
            <v>6</v>
          </cell>
        </row>
        <row r="7287">
          <cell r="C7287" t="str">
            <v>江俊毅</v>
          </cell>
          <cell r="F7287" t="str">
            <v>M240703R1</v>
          </cell>
          <cell r="J7287">
            <v>45562</v>
          </cell>
          <cell r="K7287">
            <v>6</v>
          </cell>
        </row>
        <row r="7288">
          <cell r="C7288" t="str">
            <v>江俊毅</v>
          </cell>
          <cell r="J7288">
            <v>45562</v>
          </cell>
          <cell r="K7288">
            <v>2</v>
          </cell>
        </row>
        <row r="7289">
          <cell r="C7289" t="str">
            <v>江俊毅</v>
          </cell>
          <cell r="J7289">
            <v>45565</v>
          </cell>
          <cell r="K7289">
            <v>8</v>
          </cell>
        </row>
        <row r="7290">
          <cell r="C7290" t="str">
            <v>江俊毅</v>
          </cell>
          <cell r="J7290">
            <v>45565</v>
          </cell>
          <cell r="K7290">
            <v>2</v>
          </cell>
        </row>
        <row r="7291">
          <cell r="C7291" t="str">
            <v>江俊毅</v>
          </cell>
          <cell r="F7291" t="str">
            <v>M240703R1</v>
          </cell>
          <cell r="J7291">
            <v>45565</v>
          </cell>
          <cell r="K7291">
            <v>6</v>
          </cell>
        </row>
        <row r="7292">
          <cell r="C7292" t="str">
            <v>江俊毅</v>
          </cell>
          <cell r="F7292" t="str">
            <v>M240703R1</v>
          </cell>
          <cell r="J7292">
            <v>45566</v>
          </cell>
          <cell r="K7292">
            <v>9</v>
          </cell>
        </row>
        <row r="7293">
          <cell r="C7293" t="str">
            <v>江俊毅</v>
          </cell>
          <cell r="J7293">
            <v>45567</v>
          </cell>
          <cell r="K7293">
            <v>8</v>
          </cell>
        </row>
        <row r="7294">
          <cell r="C7294" t="str">
            <v>江俊毅</v>
          </cell>
          <cell r="J7294">
            <v>45568</v>
          </cell>
          <cell r="K7294">
            <v>8</v>
          </cell>
        </row>
        <row r="7295">
          <cell r="C7295" t="str">
            <v>江俊毅</v>
          </cell>
          <cell r="J7295">
            <v>45569</v>
          </cell>
          <cell r="K7295">
            <v>8</v>
          </cell>
        </row>
        <row r="7296">
          <cell r="C7296" t="str">
            <v>江俊毅</v>
          </cell>
          <cell r="F7296" t="str">
            <v>M240703R1</v>
          </cell>
          <cell r="J7296">
            <v>45572</v>
          </cell>
          <cell r="K7296">
            <v>8</v>
          </cell>
        </row>
        <row r="7297">
          <cell r="C7297" t="str">
            <v>江俊毅</v>
          </cell>
          <cell r="F7297" t="str">
            <v>M240703R1</v>
          </cell>
          <cell r="J7297">
            <v>45573</v>
          </cell>
          <cell r="K7297">
            <v>8</v>
          </cell>
        </row>
        <row r="7298">
          <cell r="C7298" t="str">
            <v>江俊毅</v>
          </cell>
          <cell r="J7298">
            <v>45574</v>
          </cell>
          <cell r="K7298">
            <v>5</v>
          </cell>
        </row>
        <row r="7299">
          <cell r="C7299" t="str">
            <v>江俊毅</v>
          </cell>
          <cell r="F7299" t="str">
            <v>M240703R1</v>
          </cell>
          <cell r="J7299">
            <v>45574</v>
          </cell>
          <cell r="K7299">
            <v>4</v>
          </cell>
        </row>
        <row r="7300">
          <cell r="C7300" t="str">
            <v>江俊毅</v>
          </cell>
          <cell r="J7300">
            <v>45575</v>
          </cell>
          <cell r="K7300">
            <v>8</v>
          </cell>
        </row>
        <row r="7301">
          <cell r="C7301" t="str">
            <v>江俊毅</v>
          </cell>
          <cell r="J7301">
            <v>45576</v>
          </cell>
          <cell r="K7301">
            <v>4</v>
          </cell>
        </row>
        <row r="7302">
          <cell r="C7302" t="str">
            <v>江俊毅</v>
          </cell>
          <cell r="J7302">
            <v>45576</v>
          </cell>
          <cell r="K7302">
            <v>4</v>
          </cell>
        </row>
        <row r="7303">
          <cell r="C7303" t="str">
            <v>江俊毅</v>
          </cell>
          <cell r="J7303">
            <v>45579</v>
          </cell>
          <cell r="K7303">
            <v>5</v>
          </cell>
        </row>
        <row r="7304">
          <cell r="C7304" t="str">
            <v>江俊毅</v>
          </cell>
          <cell r="F7304" t="str">
            <v>M240703R1</v>
          </cell>
          <cell r="J7304">
            <v>45579</v>
          </cell>
          <cell r="K7304">
            <v>4</v>
          </cell>
        </row>
        <row r="7305">
          <cell r="C7305" t="str">
            <v>江俊毅</v>
          </cell>
          <cell r="F7305" t="str">
            <v>M240703R1</v>
          </cell>
          <cell r="J7305">
            <v>45580</v>
          </cell>
          <cell r="K7305">
            <v>8</v>
          </cell>
        </row>
        <row r="7306">
          <cell r="C7306" t="str">
            <v>江俊毅</v>
          </cell>
          <cell r="J7306">
            <v>45581</v>
          </cell>
          <cell r="K7306">
            <v>2</v>
          </cell>
        </row>
        <row r="7307">
          <cell r="C7307" t="str">
            <v>江俊毅</v>
          </cell>
          <cell r="F7307" t="str">
            <v>M240703R1</v>
          </cell>
          <cell r="J7307">
            <v>45581</v>
          </cell>
          <cell r="K7307">
            <v>7</v>
          </cell>
        </row>
        <row r="7308">
          <cell r="C7308" t="str">
            <v>江俊毅</v>
          </cell>
          <cell r="J7308">
            <v>45582</v>
          </cell>
          <cell r="K7308">
            <v>4</v>
          </cell>
        </row>
        <row r="7309">
          <cell r="C7309" t="str">
            <v>江俊毅</v>
          </cell>
          <cell r="F7309" t="str">
            <v>M240703R1</v>
          </cell>
          <cell r="J7309">
            <v>45582</v>
          </cell>
          <cell r="K7309">
            <v>4</v>
          </cell>
        </row>
        <row r="7310">
          <cell r="C7310" t="str">
            <v>江俊毅</v>
          </cell>
          <cell r="J7310">
            <v>45583</v>
          </cell>
          <cell r="K7310">
            <v>4</v>
          </cell>
        </row>
        <row r="7311">
          <cell r="C7311" t="str">
            <v>江俊毅</v>
          </cell>
          <cell r="F7311" t="str">
            <v>M240703R1</v>
          </cell>
          <cell r="J7311">
            <v>45583</v>
          </cell>
          <cell r="K7311">
            <v>4</v>
          </cell>
        </row>
        <row r="7312">
          <cell r="C7312" t="str">
            <v>江俊毅</v>
          </cell>
          <cell r="J7312">
            <v>45586</v>
          </cell>
          <cell r="K7312">
            <v>4</v>
          </cell>
        </row>
        <row r="7313">
          <cell r="C7313" t="str">
            <v>江俊毅</v>
          </cell>
          <cell r="F7313" t="str">
            <v>M240703R1</v>
          </cell>
          <cell r="J7313">
            <v>45586</v>
          </cell>
          <cell r="K7313">
            <v>4</v>
          </cell>
        </row>
        <row r="7314">
          <cell r="C7314" t="str">
            <v>江俊毅</v>
          </cell>
          <cell r="J7314">
            <v>45587</v>
          </cell>
          <cell r="K7314">
            <v>4</v>
          </cell>
        </row>
        <row r="7315">
          <cell r="C7315" t="str">
            <v>江俊毅</v>
          </cell>
          <cell r="J7315">
            <v>45587</v>
          </cell>
          <cell r="K7315">
            <v>4</v>
          </cell>
        </row>
        <row r="7316">
          <cell r="C7316" t="str">
            <v>江俊毅</v>
          </cell>
          <cell r="F7316" t="str">
            <v>M240703R1</v>
          </cell>
          <cell r="J7316">
            <v>45588</v>
          </cell>
          <cell r="K7316">
            <v>9</v>
          </cell>
        </row>
        <row r="7317">
          <cell r="C7317" t="str">
            <v>江俊毅</v>
          </cell>
          <cell r="F7317" t="str">
            <v>M240703R1</v>
          </cell>
          <cell r="J7317">
            <v>45589</v>
          </cell>
          <cell r="K7317">
            <v>8</v>
          </cell>
        </row>
        <row r="7318">
          <cell r="C7318" t="str">
            <v>江俊毅</v>
          </cell>
          <cell r="J7318">
            <v>45590</v>
          </cell>
          <cell r="K7318">
            <v>1</v>
          </cell>
        </row>
        <row r="7319">
          <cell r="C7319" t="str">
            <v>江俊毅</v>
          </cell>
          <cell r="F7319" t="str">
            <v>M240703R1</v>
          </cell>
          <cell r="J7319">
            <v>45590</v>
          </cell>
          <cell r="K7319">
            <v>7</v>
          </cell>
        </row>
        <row r="7320">
          <cell r="C7320" t="str">
            <v>江俊毅</v>
          </cell>
          <cell r="F7320" t="str">
            <v>M240703R1</v>
          </cell>
          <cell r="J7320">
            <v>45593</v>
          </cell>
          <cell r="K7320">
            <v>8</v>
          </cell>
        </row>
        <row r="7321">
          <cell r="C7321" t="str">
            <v>江俊毅</v>
          </cell>
          <cell r="F7321" t="str">
            <v>M240703R1</v>
          </cell>
          <cell r="J7321">
            <v>45594</v>
          </cell>
          <cell r="K7321">
            <v>9</v>
          </cell>
        </row>
        <row r="7322">
          <cell r="C7322" t="str">
            <v>江俊毅</v>
          </cell>
          <cell r="F7322" t="str">
            <v>M240703R1</v>
          </cell>
          <cell r="J7322">
            <v>45595</v>
          </cell>
          <cell r="K7322">
            <v>9</v>
          </cell>
        </row>
        <row r="7323">
          <cell r="C7323" t="str">
            <v>江俊毅</v>
          </cell>
          <cell r="J7323">
            <v>45596</v>
          </cell>
          <cell r="K7323">
            <v>8</v>
          </cell>
        </row>
        <row r="7324">
          <cell r="C7324" t="str">
            <v>江俊毅</v>
          </cell>
          <cell r="F7324" t="str">
            <v>M240703R1</v>
          </cell>
          <cell r="J7324">
            <v>45597</v>
          </cell>
          <cell r="K7324">
            <v>8</v>
          </cell>
        </row>
        <row r="7325">
          <cell r="C7325" t="str">
            <v>江俊毅</v>
          </cell>
          <cell r="J7325">
            <v>45600</v>
          </cell>
          <cell r="K7325">
            <v>4</v>
          </cell>
        </row>
        <row r="7326">
          <cell r="C7326" t="str">
            <v>江俊毅</v>
          </cell>
          <cell r="F7326" t="str">
            <v>M240703R1</v>
          </cell>
          <cell r="J7326">
            <v>45600</v>
          </cell>
          <cell r="K7326">
            <v>4</v>
          </cell>
        </row>
        <row r="7327">
          <cell r="C7327" t="str">
            <v>江俊毅</v>
          </cell>
          <cell r="J7327">
            <v>45601</v>
          </cell>
          <cell r="K7327">
            <v>8</v>
          </cell>
        </row>
        <row r="7328">
          <cell r="C7328" t="str">
            <v>江俊毅</v>
          </cell>
          <cell r="F7328" t="str">
            <v>D241001R1</v>
          </cell>
          <cell r="J7328">
            <v>45602</v>
          </cell>
          <cell r="K7328">
            <v>8</v>
          </cell>
        </row>
        <row r="7329">
          <cell r="C7329" t="str">
            <v>江俊毅</v>
          </cell>
          <cell r="F7329" t="str">
            <v>D241001R1</v>
          </cell>
          <cell r="J7329">
            <v>45603</v>
          </cell>
          <cell r="K7329">
            <v>7</v>
          </cell>
        </row>
        <row r="7330">
          <cell r="C7330" t="str">
            <v>江俊毅</v>
          </cell>
          <cell r="F7330" t="str">
            <v>M240703R1</v>
          </cell>
          <cell r="J7330">
            <v>45603</v>
          </cell>
          <cell r="K7330">
            <v>1</v>
          </cell>
        </row>
        <row r="7331">
          <cell r="C7331" t="str">
            <v>江俊毅</v>
          </cell>
          <cell r="J7331">
            <v>45604</v>
          </cell>
          <cell r="K7331">
            <v>8</v>
          </cell>
        </row>
        <row r="7332">
          <cell r="C7332" t="str">
            <v>江俊毅</v>
          </cell>
          <cell r="F7332" t="str">
            <v>M240703R1</v>
          </cell>
          <cell r="J7332">
            <v>45607</v>
          </cell>
          <cell r="K7332">
            <v>5</v>
          </cell>
        </row>
        <row r="7333">
          <cell r="C7333" t="str">
            <v>江俊毅</v>
          </cell>
          <cell r="F7333" t="str">
            <v>D241001R1</v>
          </cell>
          <cell r="J7333">
            <v>45607</v>
          </cell>
          <cell r="K7333">
            <v>3</v>
          </cell>
        </row>
        <row r="7334">
          <cell r="C7334" t="str">
            <v>江俊毅</v>
          </cell>
          <cell r="J7334">
            <v>45608</v>
          </cell>
          <cell r="K7334">
            <v>2</v>
          </cell>
        </row>
        <row r="7335">
          <cell r="C7335" t="str">
            <v>江俊毅</v>
          </cell>
          <cell r="F7335" t="str">
            <v>M240703R1</v>
          </cell>
          <cell r="J7335">
            <v>45608</v>
          </cell>
          <cell r="K7335">
            <v>8</v>
          </cell>
        </row>
        <row r="7336">
          <cell r="C7336" t="str">
            <v>江俊毅</v>
          </cell>
          <cell r="J7336">
            <v>45609</v>
          </cell>
          <cell r="K7336">
            <v>1</v>
          </cell>
        </row>
        <row r="7337">
          <cell r="C7337" t="str">
            <v>江俊毅</v>
          </cell>
          <cell r="F7337" t="str">
            <v>M240703R1</v>
          </cell>
          <cell r="J7337">
            <v>45609</v>
          </cell>
          <cell r="K7337">
            <v>9</v>
          </cell>
        </row>
        <row r="7338">
          <cell r="C7338" t="str">
            <v>江俊毅</v>
          </cell>
          <cell r="F7338" t="str">
            <v>M240703R1</v>
          </cell>
          <cell r="J7338">
            <v>45610</v>
          </cell>
          <cell r="K7338">
            <v>11</v>
          </cell>
        </row>
        <row r="7339">
          <cell r="C7339" t="str">
            <v>江俊毅</v>
          </cell>
          <cell r="F7339" t="str">
            <v>M240703R1</v>
          </cell>
          <cell r="J7339">
            <v>45611</v>
          </cell>
          <cell r="K7339">
            <v>8</v>
          </cell>
        </row>
        <row r="7340">
          <cell r="C7340" t="str">
            <v>江俊毅</v>
          </cell>
          <cell r="F7340" t="str">
            <v>M240703R1</v>
          </cell>
          <cell r="J7340">
            <v>45614</v>
          </cell>
          <cell r="K7340">
            <v>8</v>
          </cell>
        </row>
        <row r="7341">
          <cell r="C7341" t="str">
            <v>江俊毅</v>
          </cell>
          <cell r="F7341" t="str">
            <v>M240703R1</v>
          </cell>
          <cell r="J7341">
            <v>45615</v>
          </cell>
          <cell r="K7341">
            <v>8</v>
          </cell>
        </row>
        <row r="7342">
          <cell r="C7342" t="str">
            <v>江俊毅</v>
          </cell>
          <cell r="F7342" t="str">
            <v>M240703R1</v>
          </cell>
          <cell r="J7342">
            <v>45616</v>
          </cell>
          <cell r="K7342">
            <v>8</v>
          </cell>
        </row>
        <row r="7343">
          <cell r="C7343" t="str">
            <v>江俊毅</v>
          </cell>
          <cell r="F7343" t="str">
            <v>M240703R1</v>
          </cell>
          <cell r="J7343">
            <v>45617</v>
          </cell>
          <cell r="K7343">
            <v>8</v>
          </cell>
        </row>
        <row r="7344">
          <cell r="C7344" t="str">
            <v>江俊毅</v>
          </cell>
          <cell r="F7344" t="str">
            <v>D241001R1</v>
          </cell>
          <cell r="J7344">
            <v>45618</v>
          </cell>
          <cell r="K7344">
            <v>1</v>
          </cell>
        </row>
        <row r="7345">
          <cell r="C7345" t="str">
            <v>江俊毅</v>
          </cell>
          <cell r="F7345" t="str">
            <v>M240703R1</v>
          </cell>
          <cell r="J7345">
            <v>45618</v>
          </cell>
          <cell r="K7345">
            <v>7</v>
          </cell>
        </row>
        <row r="7346">
          <cell r="C7346" t="str">
            <v>江俊毅</v>
          </cell>
          <cell r="F7346" t="str">
            <v>M240703R1</v>
          </cell>
          <cell r="J7346">
            <v>45621</v>
          </cell>
          <cell r="K7346">
            <v>8</v>
          </cell>
        </row>
        <row r="7347">
          <cell r="C7347" t="str">
            <v>江俊毅</v>
          </cell>
          <cell r="F7347" t="str">
            <v>M240703R1</v>
          </cell>
          <cell r="J7347">
            <v>45622</v>
          </cell>
          <cell r="K7347">
            <v>8</v>
          </cell>
        </row>
        <row r="7348">
          <cell r="C7348" t="str">
            <v>江俊毅</v>
          </cell>
          <cell r="F7348" t="str">
            <v>M240703R1</v>
          </cell>
          <cell r="J7348">
            <v>45623</v>
          </cell>
          <cell r="K7348">
            <v>8</v>
          </cell>
        </row>
        <row r="7349">
          <cell r="C7349" t="str">
            <v>江俊毅</v>
          </cell>
          <cell r="F7349" t="str">
            <v>M240703R1</v>
          </cell>
          <cell r="J7349">
            <v>45624</v>
          </cell>
          <cell r="K7349">
            <v>5</v>
          </cell>
        </row>
        <row r="7350">
          <cell r="C7350" t="str">
            <v>江俊毅</v>
          </cell>
          <cell r="J7350">
            <v>45624</v>
          </cell>
          <cell r="K7350">
            <v>3</v>
          </cell>
        </row>
        <row r="7351">
          <cell r="C7351" t="str">
            <v>江俊毅</v>
          </cell>
          <cell r="J7351">
            <v>45625</v>
          </cell>
          <cell r="K7351">
            <v>8</v>
          </cell>
        </row>
        <row r="7352">
          <cell r="C7352" t="str">
            <v>江俊毅</v>
          </cell>
          <cell r="F7352" t="str">
            <v>M240703R1</v>
          </cell>
          <cell r="J7352">
            <v>45628</v>
          </cell>
          <cell r="K7352">
            <v>8</v>
          </cell>
        </row>
        <row r="7353">
          <cell r="C7353" t="str">
            <v>江俊毅</v>
          </cell>
          <cell r="J7353">
            <v>45629</v>
          </cell>
          <cell r="K7353">
            <v>8</v>
          </cell>
        </row>
        <row r="7354">
          <cell r="C7354" t="str">
            <v>江俊毅</v>
          </cell>
          <cell r="F7354" t="str">
            <v>M240101P1</v>
          </cell>
          <cell r="J7354">
            <v>45630</v>
          </cell>
          <cell r="K7354">
            <v>2</v>
          </cell>
        </row>
        <row r="7355">
          <cell r="C7355" t="str">
            <v>江俊毅</v>
          </cell>
          <cell r="F7355" t="str">
            <v>M240703R1</v>
          </cell>
          <cell r="J7355">
            <v>45630</v>
          </cell>
          <cell r="K7355">
            <v>6</v>
          </cell>
        </row>
        <row r="7356">
          <cell r="C7356" t="str">
            <v>江俊毅</v>
          </cell>
          <cell r="F7356" t="str">
            <v>M240703R1</v>
          </cell>
          <cell r="J7356">
            <v>45631</v>
          </cell>
          <cell r="K7356">
            <v>8</v>
          </cell>
        </row>
        <row r="7357">
          <cell r="C7357" t="str">
            <v>江俊毅</v>
          </cell>
          <cell r="F7357" t="str">
            <v>M240703R1</v>
          </cell>
          <cell r="J7357">
            <v>45632</v>
          </cell>
          <cell r="K7357">
            <v>8</v>
          </cell>
        </row>
        <row r="7358">
          <cell r="C7358" t="str">
            <v>江俊毅</v>
          </cell>
          <cell r="F7358" t="str">
            <v>M240703R1</v>
          </cell>
          <cell r="J7358">
            <v>45635</v>
          </cell>
          <cell r="K7358">
            <v>9</v>
          </cell>
        </row>
        <row r="7359">
          <cell r="C7359" t="str">
            <v>江俊毅</v>
          </cell>
          <cell r="F7359" t="str">
            <v>M240703R1</v>
          </cell>
          <cell r="J7359">
            <v>45636</v>
          </cell>
          <cell r="K7359">
            <v>9.5</v>
          </cell>
        </row>
        <row r="7360">
          <cell r="C7360" t="str">
            <v>江俊毅</v>
          </cell>
          <cell r="F7360" t="str">
            <v>M240101P1</v>
          </cell>
          <cell r="J7360">
            <v>45637</v>
          </cell>
          <cell r="K7360">
            <v>1</v>
          </cell>
        </row>
        <row r="7361">
          <cell r="C7361" t="str">
            <v>江俊毅</v>
          </cell>
          <cell r="F7361" t="str">
            <v>M240703R1</v>
          </cell>
          <cell r="J7361">
            <v>45637</v>
          </cell>
          <cell r="K7361">
            <v>8.5</v>
          </cell>
        </row>
        <row r="7362">
          <cell r="C7362" t="str">
            <v>江俊毅</v>
          </cell>
          <cell r="F7362" t="str">
            <v>M240703R1</v>
          </cell>
          <cell r="J7362">
            <v>45638</v>
          </cell>
          <cell r="K7362">
            <v>8</v>
          </cell>
        </row>
        <row r="7363">
          <cell r="C7363" t="str">
            <v>江俊毅</v>
          </cell>
          <cell r="F7363" t="str">
            <v>M240703R1</v>
          </cell>
          <cell r="J7363">
            <v>45639</v>
          </cell>
          <cell r="K7363">
            <v>8</v>
          </cell>
        </row>
        <row r="7364">
          <cell r="C7364" t="str">
            <v>江俊毅</v>
          </cell>
          <cell r="J7364">
            <v>45642</v>
          </cell>
          <cell r="K7364">
            <v>1</v>
          </cell>
        </row>
        <row r="7365">
          <cell r="C7365" t="str">
            <v>江俊毅</v>
          </cell>
          <cell r="F7365" t="str">
            <v>M240703R1</v>
          </cell>
          <cell r="J7365">
            <v>45642</v>
          </cell>
          <cell r="K7365">
            <v>8</v>
          </cell>
        </row>
        <row r="7366">
          <cell r="C7366" t="str">
            <v>江俊毅</v>
          </cell>
          <cell r="J7366">
            <v>45643</v>
          </cell>
          <cell r="K7366">
            <v>2</v>
          </cell>
        </row>
        <row r="7367">
          <cell r="C7367" t="str">
            <v>江俊毅</v>
          </cell>
          <cell r="F7367" t="str">
            <v>M240703R1</v>
          </cell>
          <cell r="J7367">
            <v>45643</v>
          </cell>
          <cell r="K7367">
            <v>7</v>
          </cell>
        </row>
        <row r="7368">
          <cell r="C7368" t="str">
            <v>江俊毅</v>
          </cell>
          <cell r="F7368" t="str">
            <v>M240703R1</v>
          </cell>
          <cell r="J7368">
            <v>45644</v>
          </cell>
          <cell r="K7368">
            <v>8</v>
          </cell>
        </row>
        <row r="7369">
          <cell r="C7369" t="str">
            <v>江俊毅</v>
          </cell>
          <cell r="F7369" t="str">
            <v>M240703R1</v>
          </cell>
          <cell r="J7369">
            <v>45645</v>
          </cell>
          <cell r="K7369">
            <v>9.5</v>
          </cell>
        </row>
        <row r="7370">
          <cell r="C7370" t="str">
            <v>江俊毅</v>
          </cell>
          <cell r="F7370" t="str">
            <v>M240703R1</v>
          </cell>
          <cell r="J7370">
            <v>45646</v>
          </cell>
          <cell r="K7370">
            <v>7</v>
          </cell>
        </row>
        <row r="7371">
          <cell r="C7371" t="str">
            <v>江俊毅</v>
          </cell>
          <cell r="J7371">
            <v>45646</v>
          </cell>
          <cell r="K7371">
            <v>1</v>
          </cell>
        </row>
        <row r="7372">
          <cell r="C7372" t="str">
            <v>江俊毅</v>
          </cell>
          <cell r="J7372">
            <v>45649</v>
          </cell>
          <cell r="K7372">
            <v>8</v>
          </cell>
        </row>
        <row r="7373">
          <cell r="C7373" t="str">
            <v>江俊毅</v>
          </cell>
          <cell r="J7373">
            <v>45650</v>
          </cell>
          <cell r="K7373">
            <v>8</v>
          </cell>
        </row>
        <row r="7374">
          <cell r="C7374" t="str">
            <v>江俊毅</v>
          </cell>
          <cell r="J7374">
            <v>45651</v>
          </cell>
          <cell r="K7374">
            <v>8</v>
          </cell>
        </row>
        <row r="7375">
          <cell r="C7375" t="str">
            <v>江俊毅</v>
          </cell>
          <cell r="F7375" t="str">
            <v>M240703R1</v>
          </cell>
          <cell r="J7375">
            <v>45652</v>
          </cell>
          <cell r="K7375">
            <v>10</v>
          </cell>
        </row>
        <row r="7376">
          <cell r="C7376" t="str">
            <v>江俊毅</v>
          </cell>
          <cell r="F7376" t="str">
            <v>M240703R1</v>
          </cell>
          <cell r="J7376">
            <v>45653</v>
          </cell>
          <cell r="K7376">
            <v>8</v>
          </cell>
        </row>
        <row r="7377">
          <cell r="C7377" t="str">
            <v>江俊毅</v>
          </cell>
          <cell r="F7377" t="str">
            <v>M240703R1</v>
          </cell>
          <cell r="J7377">
            <v>45656</v>
          </cell>
          <cell r="K7377">
            <v>8</v>
          </cell>
        </row>
        <row r="7378">
          <cell r="C7378" t="str">
            <v>江俊毅</v>
          </cell>
          <cell r="F7378" t="str">
            <v>M240703R1</v>
          </cell>
          <cell r="J7378">
            <v>45657</v>
          </cell>
          <cell r="K7378">
            <v>8</v>
          </cell>
        </row>
        <row r="7379">
          <cell r="C7379" t="str">
            <v>江俊毅</v>
          </cell>
          <cell r="J7379">
            <v>45658</v>
          </cell>
          <cell r="K7379">
            <v>8</v>
          </cell>
        </row>
        <row r="7380">
          <cell r="C7380" t="str">
            <v>江俊毅</v>
          </cell>
          <cell r="F7380" t="str">
            <v>M240703R1</v>
          </cell>
          <cell r="J7380">
            <v>45659</v>
          </cell>
          <cell r="K7380">
            <v>8</v>
          </cell>
        </row>
        <row r="7381">
          <cell r="C7381" t="str">
            <v>江俊毅</v>
          </cell>
          <cell r="J7381">
            <v>45660</v>
          </cell>
          <cell r="K7381">
            <v>2</v>
          </cell>
        </row>
        <row r="7382">
          <cell r="C7382" t="str">
            <v>江俊毅</v>
          </cell>
          <cell r="F7382" t="str">
            <v>M240703R1</v>
          </cell>
          <cell r="J7382">
            <v>45660</v>
          </cell>
          <cell r="K7382">
            <v>6</v>
          </cell>
        </row>
        <row r="7383">
          <cell r="C7383" t="str">
            <v>江俊毅</v>
          </cell>
          <cell r="J7383">
            <v>45663</v>
          </cell>
          <cell r="K7383">
            <v>8</v>
          </cell>
        </row>
        <row r="7384">
          <cell r="C7384" t="str">
            <v>江俊毅</v>
          </cell>
          <cell r="J7384">
            <v>45664</v>
          </cell>
          <cell r="K7384">
            <v>8</v>
          </cell>
        </row>
        <row r="7385">
          <cell r="C7385" t="str">
            <v>江俊毅</v>
          </cell>
          <cell r="F7385" t="str">
            <v>M240703R1</v>
          </cell>
          <cell r="J7385">
            <v>45665</v>
          </cell>
          <cell r="K7385">
            <v>8</v>
          </cell>
        </row>
        <row r="7386">
          <cell r="C7386" t="str">
            <v>江俊毅</v>
          </cell>
          <cell r="J7386">
            <v>45666</v>
          </cell>
          <cell r="K7386">
            <v>1</v>
          </cell>
        </row>
        <row r="7387">
          <cell r="C7387" t="str">
            <v>江俊毅</v>
          </cell>
          <cell r="F7387" t="str">
            <v>M240703R1</v>
          </cell>
          <cell r="J7387">
            <v>45666</v>
          </cell>
          <cell r="K7387">
            <v>8</v>
          </cell>
        </row>
        <row r="7388">
          <cell r="C7388" t="str">
            <v>江俊毅</v>
          </cell>
          <cell r="F7388" t="str">
            <v>M240703R1</v>
          </cell>
          <cell r="J7388">
            <v>45667</v>
          </cell>
          <cell r="K7388">
            <v>6</v>
          </cell>
        </row>
        <row r="7389">
          <cell r="C7389" t="str">
            <v>江俊毅</v>
          </cell>
          <cell r="F7389" t="str">
            <v>M240703R1</v>
          </cell>
          <cell r="J7389">
            <v>45670</v>
          </cell>
          <cell r="K7389">
            <v>9</v>
          </cell>
        </row>
        <row r="7390">
          <cell r="C7390" t="str">
            <v>江俊毅</v>
          </cell>
          <cell r="F7390" t="str">
            <v>M240703R1</v>
          </cell>
          <cell r="J7390">
            <v>45671</v>
          </cell>
          <cell r="K7390">
            <v>9</v>
          </cell>
        </row>
        <row r="7391">
          <cell r="C7391" t="str">
            <v>江俊毅</v>
          </cell>
          <cell r="J7391">
            <v>45672</v>
          </cell>
          <cell r="K7391">
            <v>1</v>
          </cell>
        </row>
        <row r="7392">
          <cell r="C7392" t="str">
            <v>江俊毅</v>
          </cell>
          <cell r="F7392" t="str">
            <v>M240703R1</v>
          </cell>
          <cell r="J7392">
            <v>45672</v>
          </cell>
          <cell r="K7392">
            <v>7</v>
          </cell>
        </row>
        <row r="7393">
          <cell r="C7393" t="str">
            <v>江俊毅</v>
          </cell>
          <cell r="J7393">
            <v>45673</v>
          </cell>
          <cell r="K7393">
            <v>1</v>
          </cell>
        </row>
        <row r="7394">
          <cell r="C7394" t="str">
            <v>江俊毅</v>
          </cell>
          <cell r="F7394" t="str">
            <v>M240703R1</v>
          </cell>
          <cell r="J7394">
            <v>45673</v>
          </cell>
          <cell r="K7394">
            <v>7</v>
          </cell>
        </row>
        <row r="7395">
          <cell r="C7395" t="str">
            <v>江俊毅</v>
          </cell>
          <cell r="F7395" t="str">
            <v>M240703R1</v>
          </cell>
          <cell r="J7395">
            <v>45674</v>
          </cell>
          <cell r="K7395">
            <v>9</v>
          </cell>
        </row>
        <row r="7396">
          <cell r="C7396" t="str">
            <v>江俊毅</v>
          </cell>
          <cell r="F7396" t="str">
            <v>M240703R1</v>
          </cell>
          <cell r="J7396">
            <v>45677</v>
          </cell>
          <cell r="K7396">
            <v>8</v>
          </cell>
        </row>
        <row r="7397">
          <cell r="C7397" t="str">
            <v>江俊毅</v>
          </cell>
          <cell r="F7397" t="str">
            <v>M240703R1</v>
          </cell>
          <cell r="J7397">
            <v>45678</v>
          </cell>
          <cell r="K7397">
            <v>9</v>
          </cell>
        </row>
        <row r="7398">
          <cell r="C7398" t="str">
            <v>江俊毅</v>
          </cell>
          <cell r="F7398" t="str">
            <v>M240703R1</v>
          </cell>
          <cell r="J7398">
            <v>45679</v>
          </cell>
          <cell r="K7398">
            <v>9</v>
          </cell>
        </row>
        <row r="7399">
          <cell r="C7399" t="str">
            <v>江俊毅</v>
          </cell>
          <cell r="F7399" t="str">
            <v>M240703R1</v>
          </cell>
          <cell r="J7399">
            <v>45680</v>
          </cell>
          <cell r="K7399">
            <v>8</v>
          </cell>
        </row>
        <row r="7400">
          <cell r="C7400" t="str">
            <v>江俊毅</v>
          </cell>
          <cell r="J7400">
            <v>45681</v>
          </cell>
          <cell r="K7400">
            <v>4</v>
          </cell>
        </row>
        <row r="7401">
          <cell r="C7401" t="str">
            <v>江俊毅</v>
          </cell>
          <cell r="F7401" t="str">
            <v>M240703R1</v>
          </cell>
          <cell r="J7401">
            <v>45681</v>
          </cell>
          <cell r="K7401">
            <v>4</v>
          </cell>
        </row>
        <row r="7402">
          <cell r="C7402" t="str">
            <v>江俊毅</v>
          </cell>
          <cell r="F7402" t="str">
            <v>M240703R1</v>
          </cell>
          <cell r="J7402">
            <v>45691</v>
          </cell>
          <cell r="K7402">
            <v>8</v>
          </cell>
        </row>
        <row r="7403">
          <cell r="C7403" t="str">
            <v>江俊毅</v>
          </cell>
          <cell r="J7403">
            <v>45692</v>
          </cell>
          <cell r="K7403">
            <v>4</v>
          </cell>
        </row>
        <row r="7404">
          <cell r="C7404" t="str">
            <v>江俊毅</v>
          </cell>
          <cell r="F7404" t="str">
            <v>M240703R1</v>
          </cell>
          <cell r="J7404">
            <v>45692</v>
          </cell>
          <cell r="K7404">
            <v>4</v>
          </cell>
        </row>
        <row r="7405">
          <cell r="C7405" t="str">
            <v>江俊毅</v>
          </cell>
          <cell r="J7405">
            <v>45693</v>
          </cell>
          <cell r="K7405">
            <v>4</v>
          </cell>
        </row>
        <row r="7406">
          <cell r="C7406" t="str">
            <v>江俊毅</v>
          </cell>
          <cell r="J7406">
            <v>45693</v>
          </cell>
          <cell r="K7406">
            <v>5</v>
          </cell>
        </row>
        <row r="7407">
          <cell r="C7407" t="str">
            <v>江俊毅</v>
          </cell>
          <cell r="F7407" t="str">
            <v>M240703R1</v>
          </cell>
          <cell r="J7407">
            <v>45694</v>
          </cell>
          <cell r="K7407">
            <v>9</v>
          </cell>
        </row>
        <row r="7408">
          <cell r="C7408" t="str">
            <v>江俊毅</v>
          </cell>
          <cell r="F7408" t="str">
            <v>M240703R1</v>
          </cell>
          <cell r="J7408">
            <v>45695</v>
          </cell>
          <cell r="K7408">
            <v>8</v>
          </cell>
        </row>
        <row r="7409">
          <cell r="C7409" t="str">
            <v>江俊毅</v>
          </cell>
          <cell r="F7409" t="str">
            <v>M240703R1</v>
          </cell>
          <cell r="J7409">
            <v>45696</v>
          </cell>
          <cell r="K7409">
            <v>8</v>
          </cell>
        </row>
        <row r="7410">
          <cell r="C7410" t="str">
            <v>江俊毅</v>
          </cell>
          <cell r="F7410" t="str">
            <v>M240703R1</v>
          </cell>
          <cell r="J7410">
            <v>45698</v>
          </cell>
          <cell r="K7410">
            <v>9.5</v>
          </cell>
        </row>
        <row r="7411">
          <cell r="C7411" t="str">
            <v>江俊毅</v>
          </cell>
          <cell r="F7411" t="str">
            <v>M240703R1</v>
          </cell>
          <cell r="J7411">
            <v>45699</v>
          </cell>
          <cell r="K7411">
            <v>9.5</v>
          </cell>
        </row>
        <row r="7412">
          <cell r="C7412" t="str">
            <v>江俊毅</v>
          </cell>
          <cell r="F7412" t="str">
            <v>M240703R1</v>
          </cell>
          <cell r="J7412">
            <v>45700</v>
          </cell>
          <cell r="K7412">
            <v>8</v>
          </cell>
        </row>
        <row r="7413">
          <cell r="C7413" t="str">
            <v>江俊毅</v>
          </cell>
          <cell r="F7413" t="str">
            <v>M240703R1</v>
          </cell>
          <cell r="J7413">
            <v>45701</v>
          </cell>
          <cell r="K7413">
            <v>9</v>
          </cell>
        </row>
        <row r="7414">
          <cell r="C7414" t="str">
            <v>江俊毅</v>
          </cell>
          <cell r="F7414" t="str">
            <v>M240703R1</v>
          </cell>
          <cell r="J7414">
            <v>45702</v>
          </cell>
          <cell r="K7414">
            <v>8</v>
          </cell>
        </row>
        <row r="7415">
          <cell r="C7415" t="str">
            <v>江俊毅</v>
          </cell>
          <cell r="F7415" t="str">
            <v>M240703R1</v>
          </cell>
          <cell r="J7415">
            <v>45705</v>
          </cell>
          <cell r="K7415">
            <v>10</v>
          </cell>
        </row>
        <row r="7416">
          <cell r="C7416" t="str">
            <v>江俊毅</v>
          </cell>
          <cell r="F7416" t="str">
            <v>M240703R1</v>
          </cell>
          <cell r="J7416">
            <v>45706</v>
          </cell>
          <cell r="K7416">
            <v>9</v>
          </cell>
        </row>
        <row r="7417">
          <cell r="C7417" t="str">
            <v>江俊毅</v>
          </cell>
          <cell r="F7417" t="str">
            <v>M240703R1</v>
          </cell>
          <cell r="J7417">
            <v>45707</v>
          </cell>
          <cell r="K7417">
            <v>10</v>
          </cell>
        </row>
        <row r="7418">
          <cell r="C7418" t="str">
            <v>江俊毅</v>
          </cell>
          <cell r="J7418">
            <v>45708</v>
          </cell>
          <cell r="K7418">
            <v>8</v>
          </cell>
        </row>
        <row r="7419">
          <cell r="C7419" t="str">
            <v>江俊毅</v>
          </cell>
          <cell r="F7419" t="str">
            <v>M240703R1</v>
          </cell>
          <cell r="J7419">
            <v>45709</v>
          </cell>
          <cell r="K7419">
            <v>8</v>
          </cell>
        </row>
        <row r="7420">
          <cell r="C7420" t="str">
            <v>江俊毅</v>
          </cell>
          <cell r="F7420" t="str">
            <v>M240703R1</v>
          </cell>
          <cell r="J7420">
            <v>45712</v>
          </cell>
          <cell r="K7420">
            <v>9.5</v>
          </cell>
        </row>
        <row r="7421">
          <cell r="C7421" t="str">
            <v>江俊毅</v>
          </cell>
          <cell r="F7421" t="str">
            <v>M240703R1</v>
          </cell>
          <cell r="J7421">
            <v>45713</v>
          </cell>
          <cell r="K7421">
            <v>9</v>
          </cell>
        </row>
        <row r="7422">
          <cell r="C7422" t="str">
            <v>江俊毅</v>
          </cell>
          <cell r="F7422" t="str">
            <v>M240703R1</v>
          </cell>
          <cell r="J7422">
            <v>45714</v>
          </cell>
          <cell r="K7422">
            <v>8</v>
          </cell>
        </row>
        <row r="7423">
          <cell r="C7423" t="str">
            <v>江俊毅</v>
          </cell>
          <cell r="F7423" t="str">
            <v>M240703R1</v>
          </cell>
          <cell r="J7423">
            <v>45715</v>
          </cell>
          <cell r="K7423">
            <v>8</v>
          </cell>
        </row>
        <row r="7424">
          <cell r="C7424" t="str">
            <v>江俊毅</v>
          </cell>
          <cell r="J7424">
            <v>45716</v>
          </cell>
          <cell r="K7424">
            <v>8</v>
          </cell>
        </row>
        <row r="7425">
          <cell r="C7425" t="str">
            <v>江俊毅</v>
          </cell>
          <cell r="F7425" t="str">
            <v>M240703R1</v>
          </cell>
          <cell r="J7425">
            <v>45719</v>
          </cell>
          <cell r="K7425">
            <v>8</v>
          </cell>
        </row>
        <row r="7426">
          <cell r="C7426" t="str">
            <v>江俊毅</v>
          </cell>
          <cell r="F7426" t="str">
            <v>M240703R1</v>
          </cell>
          <cell r="J7426">
            <v>45720</v>
          </cell>
          <cell r="K7426">
            <v>9.5</v>
          </cell>
        </row>
        <row r="7427">
          <cell r="C7427" t="str">
            <v>江俊毅</v>
          </cell>
          <cell r="F7427" t="str">
            <v>M240703R1</v>
          </cell>
          <cell r="J7427">
            <v>45721</v>
          </cell>
          <cell r="K7427">
            <v>9</v>
          </cell>
        </row>
        <row r="7428">
          <cell r="C7428" t="str">
            <v>江俊毅</v>
          </cell>
          <cell r="F7428" t="str">
            <v>M240703R1</v>
          </cell>
          <cell r="J7428">
            <v>45722</v>
          </cell>
          <cell r="K7428">
            <v>9</v>
          </cell>
        </row>
        <row r="7429">
          <cell r="C7429" t="str">
            <v>江俊毅</v>
          </cell>
          <cell r="F7429" t="str">
            <v>M240703R1</v>
          </cell>
          <cell r="J7429">
            <v>45723</v>
          </cell>
          <cell r="K7429">
            <v>8</v>
          </cell>
        </row>
        <row r="7430">
          <cell r="C7430" t="str">
            <v>江俊毅</v>
          </cell>
          <cell r="J7430">
            <v>45726</v>
          </cell>
          <cell r="K7430">
            <v>8</v>
          </cell>
        </row>
        <row r="7431">
          <cell r="C7431" t="str">
            <v>江俊毅</v>
          </cell>
          <cell r="F7431" t="str">
            <v>M240703R1</v>
          </cell>
          <cell r="J7431">
            <v>45727</v>
          </cell>
          <cell r="K7431">
            <v>8</v>
          </cell>
        </row>
        <row r="7432">
          <cell r="C7432" t="str">
            <v>江俊毅</v>
          </cell>
          <cell r="F7432" t="str">
            <v>M240703R1</v>
          </cell>
          <cell r="J7432">
            <v>45728</v>
          </cell>
          <cell r="K7432">
            <v>8</v>
          </cell>
        </row>
        <row r="7433">
          <cell r="C7433" t="str">
            <v>江俊毅</v>
          </cell>
          <cell r="F7433" t="str">
            <v>M240703R1</v>
          </cell>
          <cell r="J7433">
            <v>45729</v>
          </cell>
          <cell r="K7433">
            <v>8</v>
          </cell>
        </row>
        <row r="7434">
          <cell r="C7434" t="str">
            <v>江俊毅</v>
          </cell>
          <cell r="F7434" t="str">
            <v>M240703R1</v>
          </cell>
          <cell r="J7434">
            <v>45730</v>
          </cell>
          <cell r="K7434">
            <v>8</v>
          </cell>
        </row>
        <row r="7435">
          <cell r="C7435" t="str">
            <v>江俊毅</v>
          </cell>
          <cell r="F7435" t="str">
            <v>M240703R1</v>
          </cell>
          <cell r="J7435">
            <v>45733</v>
          </cell>
          <cell r="K7435">
            <v>9.5</v>
          </cell>
        </row>
        <row r="7436">
          <cell r="C7436" t="str">
            <v>江俊毅</v>
          </cell>
          <cell r="F7436" t="str">
            <v>M240703R1</v>
          </cell>
          <cell r="J7436">
            <v>45734</v>
          </cell>
          <cell r="K7436">
            <v>9</v>
          </cell>
        </row>
        <row r="7437">
          <cell r="C7437" t="str">
            <v>江俊毅</v>
          </cell>
          <cell r="F7437" t="str">
            <v>M240703R1</v>
          </cell>
          <cell r="J7437">
            <v>45735</v>
          </cell>
          <cell r="K7437">
            <v>9</v>
          </cell>
        </row>
        <row r="7438">
          <cell r="C7438" t="str">
            <v>江俊毅</v>
          </cell>
          <cell r="F7438" t="str">
            <v>M240703R1</v>
          </cell>
          <cell r="J7438">
            <v>45736</v>
          </cell>
          <cell r="K7438">
            <v>8</v>
          </cell>
        </row>
        <row r="7439">
          <cell r="C7439" t="str">
            <v>江俊毅</v>
          </cell>
          <cell r="F7439" t="str">
            <v>M240703R1</v>
          </cell>
          <cell r="J7439">
            <v>45737</v>
          </cell>
          <cell r="K7439">
            <v>8</v>
          </cell>
        </row>
        <row r="7440">
          <cell r="C7440" t="str">
            <v>江俊毅</v>
          </cell>
          <cell r="F7440" t="str">
            <v>M240703R1</v>
          </cell>
          <cell r="J7440">
            <v>45740</v>
          </cell>
          <cell r="K7440">
            <v>8</v>
          </cell>
        </row>
        <row r="7441">
          <cell r="C7441" t="str">
            <v>江俊毅</v>
          </cell>
          <cell r="F7441" t="str">
            <v>M240703R1</v>
          </cell>
          <cell r="J7441">
            <v>45741</v>
          </cell>
          <cell r="K7441">
            <v>8</v>
          </cell>
        </row>
        <row r="7442">
          <cell r="C7442" t="str">
            <v>江俊毅</v>
          </cell>
          <cell r="F7442" t="str">
            <v>M240703R1</v>
          </cell>
          <cell r="J7442">
            <v>45742</v>
          </cell>
          <cell r="K7442">
            <v>8</v>
          </cell>
        </row>
        <row r="7443">
          <cell r="C7443" t="str">
            <v>江俊毅</v>
          </cell>
          <cell r="F7443" t="str">
            <v>M240703R1</v>
          </cell>
          <cell r="J7443">
            <v>45743</v>
          </cell>
          <cell r="K7443">
            <v>8</v>
          </cell>
        </row>
        <row r="7444">
          <cell r="C7444" t="str">
            <v>江俊毅</v>
          </cell>
          <cell r="F7444" t="str">
            <v>M240703R1</v>
          </cell>
          <cell r="J7444">
            <v>45744</v>
          </cell>
          <cell r="K7444">
            <v>8</v>
          </cell>
        </row>
        <row r="7445">
          <cell r="C7445" t="str">
            <v>江俊毅</v>
          </cell>
          <cell r="J7445">
            <v>45747</v>
          </cell>
          <cell r="K7445">
            <v>3</v>
          </cell>
        </row>
        <row r="7446">
          <cell r="C7446" t="str">
            <v>江俊毅</v>
          </cell>
          <cell r="F7446" t="str">
            <v>M240703R1</v>
          </cell>
          <cell r="J7446">
            <v>45747</v>
          </cell>
          <cell r="K7446">
            <v>5</v>
          </cell>
        </row>
        <row r="7447">
          <cell r="C7447" t="str">
            <v>江俊毅</v>
          </cell>
          <cell r="F7447" t="str">
            <v>M240703R1</v>
          </cell>
          <cell r="J7447">
            <v>45748</v>
          </cell>
          <cell r="K7447">
            <v>8</v>
          </cell>
        </row>
        <row r="7448">
          <cell r="C7448" t="str">
            <v>江俊毅</v>
          </cell>
          <cell r="F7448" t="str">
            <v>M240703R1</v>
          </cell>
          <cell r="J7448">
            <v>45749</v>
          </cell>
          <cell r="K7448">
            <v>8</v>
          </cell>
        </row>
        <row r="7449">
          <cell r="C7449" t="str">
            <v>江俊毅</v>
          </cell>
          <cell r="J7449">
            <v>45754</v>
          </cell>
          <cell r="K7449">
            <v>8</v>
          </cell>
        </row>
        <row r="7450">
          <cell r="C7450" t="str">
            <v>江俊毅</v>
          </cell>
          <cell r="F7450" t="str">
            <v>M240703R1</v>
          </cell>
          <cell r="J7450">
            <v>45755</v>
          </cell>
          <cell r="K7450">
            <v>8</v>
          </cell>
        </row>
        <row r="7451">
          <cell r="C7451" t="str">
            <v>江俊毅</v>
          </cell>
          <cell r="F7451" t="str">
            <v>M240703R1</v>
          </cell>
          <cell r="J7451">
            <v>45756</v>
          </cell>
          <cell r="K7451">
            <v>8</v>
          </cell>
        </row>
        <row r="7452">
          <cell r="C7452" t="str">
            <v>江俊毅</v>
          </cell>
          <cell r="F7452" t="str">
            <v>M240703R1</v>
          </cell>
          <cell r="J7452">
            <v>45757</v>
          </cell>
          <cell r="K7452">
            <v>8</v>
          </cell>
        </row>
        <row r="7453">
          <cell r="C7453" t="str">
            <v>江俊毅</v>
          </cell>
          <cell r="F7453" t="str">
            <v>M240703R1</v>
          </cell>
          <cell r="J7453">
            <v>45758</v>
          </cell>
          <cell r="K7453">
            <v>8</v>
          </cell>
        </row>
        <row r="7454">
          <cell r="C7454" t="str">
            <v>江俊毅</v>
          </cell>
          <cell r="F7454" t="str">
            <v>M240703R1</v>
          </cell>
          <cell r="J7454">
            <v>45761</v>
          </cell>
          <cell r="K7454">
            <v>8</v>
          </cell>
        </row>
        <row r="7455">
          <cell r="C7455" t="str">
            <v>江俊毅</v>
          </cell>
          <cell r="J7455">
            <v>45762</v>
          </cell>
          <cell r="K7455">
            <v>4</v>
          </cell>
        </row>
        <row r="7456">
          <cell r="C7456" t="str">
            <v>江俊毅</v>
          </cell>
          <cell r="F7456" t="str">
            <v>M240703R1</v>
          </cell>
          <cell r="J7456">
            <v>45762</v>
          </cell>
          <cell r="K7456">
            <v>4</v>
          </cell>
        </row>
        <row r="7457">
          <cell r="C7457" t="str">
            <v>江俊毅</v>
          </cell>
          <cell r="J7457">
            <v>45763</v>
          </cell>
          <cell r="K7457">
            <v>4</v>
          </cell>
        </row>
        <row r="7458">
          <cell r="C7458" t="str">
            <v>江俊毅</v>
          </cell>
          <cell r="F7458" t="str">
            <v>M240703R1</v>
          </cell>
          <cell r="J7458">
            <v>45763</v>
          </cell>
          <cell r="K7458">
            <v>4</v>
          </cell>
        </row>
        <row r="7459">
          <cell r="C7459" t="str">
            <v>江俊毅</v>
          </cell>
          <cell r="F7459" t="str">
            <v>M240703R1</v>
          </cell>
          <cell r="J7459">
            <v>45764</v>
          </cell>
          <cell r="K7459">
            <v>8</v>
          </cell>
        </row>
        <row r="7460">
          <cell r="C7460" t="str">
            <v>江俊毅</v>
          </cell>
          <cell r="F7460" t="str">
            <v>M240703R1</v>
          </cell>
          <cell r="J7460">
            <v>45765</v>
          </cell>
          <cell r="K7460">
            <v>8</v>
          </cell>
        </row>
        <row r="7461">
          <cell r="C7461" t="str">
            <v>江俊毅</v>
          </cell>
          <cell r="F7461" t="str">
            <v>M240703R1</v>
          </cell>
          <cell r="J7461">
            <v>45768</v>
          </cell>
          <cell r="K7461">
            <v>8</v>
          </cell>
        </row>
        <row r="7462">
          <cell r="C7462" t="str">
            <v>江俊毅</v>
          </cell>
          <cell r="F7462" t="str">
            <v>M240703R1</v>
          </cell>
          <cell r="J7462">
            <v>45769</v>
          </cell>
          <cell r="K7462">
            <v>8</v>
          </cell>
        </row>
        <row r="7463">
          <cell r="C7463" t="str">
            <v>江俊毅</v>
          </cell>
          <cell r="J7463">
            <v>45770</v>
          </cell>
          <cell r="K7463">
            <v>8</v>
          </cell>
        </row>
        <row r="7464">
          <cell r="C7464" t="str">
            <v>江俊毅</v>
          </cell>
          <cell r="J7464">
            <v>45771</v>
          </cell>
          <cell r="K7464">
            <v>8</v>
          </cell>
        </row>
        <row r="7465">
          <cell r="C7465" t="str">
            <v>江俊毅</v>
          </cell>
          <cell r="J7465">
            <v>45772</v>
          </cell>
          <cell r="K7465">
            <v>8</v>
          </cell>
        </row>
        <row r="7466">
          <cell r="C7466" t="str">
            <v>江俊毅</v>
          </cell>
          <cell r="F7466" t="str">
            <v>M240703R1</v>
          </cell>
          <cell r="J7466">
            <v>45775</v>
          </cell>
          <cell r="K7466">
            <v>8</v>
          </cell>
        </row>
        <row r="7467">
          <cell r="C7467" t="str">
            <v>江俊毅</v>
          </cell>
          <cell r="F7467" t="str">
            <v>M240703R1</v>
          </cell>
          <cell r="J7467">
            <v>45776</v>
          </cell>
          <cell r="K7467">
            <v>8</v>
          </cell>
        </row>
        <row r="7468">
          <cell r="C7468" t="str">
            <v>江俊毅</v>
          </cell>
          <cell r="F7468" t="str">
            <v>M240703R1</v>
          </cell>
          <cell r="J7468">
            <v>45777</v>
          </cell>
          <cell r="K7468">
            <v>8</v>
          </cell>
        </row>
        <row r="7469">
          <cell r="C7469" t="str">
            <v>江俊毅</v>
          </cell>
          <cell r="J7469">
            <v>45778</v>
          </cell>
          <cell r="K7469">
            <v>8</v>
          </cell>
        </row>
        <row r="7470">
          <cell r="C7470" t="str">
            <v>江俊毅</v>
          </cell>
          <cell r="J7470">
            <v>45779</v>
          </cell>
          <cell r="K7470">
            <v>8</v>
          </cell>
        </row>
        <row r="7471">
          <cell r="C7471" t="str">
            <v>江俊毅</v>
          </cell>
          <cell r="J7471">
            <v>45782</v>
          </cell>
          <cell r="K7471">
            <v>8</v>
          </cell>
        </row>
        <row r="7472">
          <cell r="C7472" t="str">
            <v>江俊毅</v>
          </cell>
          <cell r="F7472" t="str">
            <v>M240703R1</v>
          </cell>
          <cell r="J7472">
            <v>45783</v>
          </cell>
          <cell r="K7472">
            <v>9</v>
          </cell>
        </row>
        <row r="7473">
          <cell r="C7473" t="str">
            <v>江俊毅</v>
          </cell>
          <cell r="J7473">
            <v>45784</v>
          </cell>
          <cell r="K7473">
            <v>8</v>
          </cell>
        </row>
        <row r="7474">
          <cell r="C7474" t="str">
            <v>江俊毅</v>
          </cell>
          <cell r="J7474">
            <v>45785</v>
          </cell>
          <cell r="K7474">
            <v>8</v>
          </cell>
        </row>
        <row r="7475">
          <cell r="C7475" t="str">
            <v>江俊毅</v>
          </cell>
          <cell r="F7475" t="str">
            <v>M240703R1</v>
          </cell>
          <cell r="J7475">
            <v>45785</v>
          </cell>
          <cell r="K7475">
            <v>1</v>
          </cell>
        </row>
        <row r="7476">
          <cell r="C7476" t="str">
            <v>江俊毅</v>
          </cell>
          <cell r="F7476" t="str">
            <v>M240703R1</v>
          </cell>
          <cell r="J7476">
            <v>45786</v>
          </cell>
          <cell r="K7476">
            <v>8</v>
          </cell>
        </row>
        <row r="7477">
          <cell r="C7477" t="str">
            <v>江俊毅</v>
          </cell>
          <cell r="F7477" t="str">
            <v>M240703R1</v>
          </cell>
          <cell r="J7477">
            <v>45789</v>
          </cell>
          <cell r="K7477">
            <v>8</v>
          </cell>
        </row>
        <row r="7478">
          <cell r="C7478" t="str">
            <v>江俊毅</v>
          </cell>
          <cell r="F7478" t="str">
            <v>M240703R1</v>
          </cell>
          <cell r="J7478">
            <v>45790</v>
          </cell>
          <cell r="K7478">
            <v>8</v>
          </cell>
        </row>
        <row r="7479">
          <cell r="C7479" t="str">
            <v>江俊毅</v>
          </cell>
          <cell r="F7479" t="str">
            <v>M240703R1</v>
          </cell>
          <cell r="J7479">
            <v>45791</v>
          </cell>
          <cell r="K7479">
            <v>8</v>
          </cell>
        </row>
        <row r="7480">
          <cell r="C7480" t="str">
            <v>江俊毅</v>
          </cell>
          <cell r="F7480" t="str">
            <v>M240703R1</v>
          </cell>
          <cell r="J7480">
            <v>45792</v>
          </cell>
          <cell r="K7480">
            <v>8</v>
          </cell>
        </row>
        <row r="7481">
          <cell r="C7481" t="str">
            <v>江俊毅</v>
          </cell>
          <cell r="J7481">
            <v>45793</v>
          </cell>
          <cell r="K7481">
            <v>1.5</v>
          </cell>
        </row>
        <row r="7482">
          <cell r="C7482" t="str">
            <v>江俊毅</v>
          </cell>
          <cell r="F7482" t="str">
            <v>M240703R1</v>
          </cell>
          <cell r="J7482">
            <v>45793</v>
          </cell>
          <cell r="K7482">
            <v>6.5</v>
          </cell>
        </row>
        <row r="7483">
          <cell r="C7483" t="str">
            <v>江俊毅</v>
          </cell>
          <cell r="J7483">
            <v>45796</v>
          </cell>
          <cell r="K7483">
            <v>7</v>
          </cell>
        </row>
        <row r="7484">
          <cell r="C7484" t="str">
            <v>江俊毅</v>
          </cell>
          <cell r="F7484" t="str">
            <v>M240703R1</v>
          </cell>
          <cell r="J7484">
            <v>45796</v>
          </cell>
          <cell r="K7484">
            <v>1</v>
          </cell>
        </row>
        <row r="7485">
          <cell r="C7485" t="str">
            <v>江俊毅</v>
          </cell>
          <cell r="J7485">
            <v>45797</v>
          </cell>
          <cell r="K7485">
            <v>1.5</v>
          </cell>
        </row>
        <row r="7486">
          <cell r="C7486" t="str">
            <v>江俊毅</v>
          </cell>
          <cell r="F7486" t="str">
            <v>M240703R1</v>
          </cell>
          <cell r="J7486">
            <v>45797</v>
          </cell>
          <cell r="K7486">
            <v>6.5</v>
          </cell>
        </row>
        <row r="7487">
          <cell r="C7487" t="str">
            <v>江俊毅</v>
          </cell>
          <cell r="F7487" t="str">
            <v>M240703R1</v>
          </cell>
          <cell r="J7487">
            <v>45798</v>
          </cell>
          <cell r="K7487">
            <v>8</v>
          </cell>
        </row>
        <row r="7488">
          <cell r="C7488" t="str">
            <v>江俊毅</v>
          </cell>
          <cell r="F7488" t="str">
            <v>M240703R1</v>
          </cell>
          <cell r="J7488">
            <v>45799</v>
          </cell>
          <cell r="K7488">
            <v>8</v>
          </cell>
        </row>
        <row r="7489">
          <cell r="C7489" t="str">
            <v>江俊毅</v>
          </cell>
          <cell r="F7489" t="str">
            <v>M240703R1</v>
          </cell>
          <cell r="J7489">
            <v>45800</v>
          </cell>
          <cell r="K7489">
            <v>8</v>
          </cell>
        </row>
        <row r="7490">
          <cell r="C7490" t="str">
            <v>江俊毅</v>
          </cell>
          <cell r="F7490" t="str">
            <v>M240703R1</v>
          </cell>
          <cell r="J7490">
            <v>45803</v>
          </cell>
          <cell r="K7490">
            <v>8</v>
          </cell>
        </row>
        <row r="7491">
          <cell r="C7491" t="str">
            <v>江俊毅</v>
          </cell>
          <cell r="J7491">
            <v>45804</v>
          </cell>
          <cell r="K7491">
            <v>6</v>
          </cell>
        </row>
        <row r="7492">
          <cell r="C7492" t="str">
            <v>江俊毅</v>
          </cell>
          <cell r="F7492" t="str">
            <v>M240703R1</v>
          </cell>
          <cell r="J7492">
            <v>45804</v>
          </cell>
          <cell r="K7492">
            <v>2</v>
          </cell>
        </row>
        <row r="7493">
          <cell r="C7493" t="str">
            <v>江俊毅</v>
          </cell>
          <cell r="F7493" t="str">
            <v>M240703R1</v>
          </cell>
          <cell r="J7493">
            <v>45805</v>
          </cell>
          <cell r="K7493">
            <v>8</v>
          </cell>
        </row>
        <row r="7494">
          <cell r="C7494" t="str">
            <v>江俊毅</v>
          </cell>
          <cell r="F7494" t="str">
            <v>M240703R1</v>
          </cell>
          <cell r="J7494">
            <v>45806</v>
          </cell>
          <cell r="K7494">
            <v>8</v>
          </cell>
        </row>
        <row r="7495">
          <cell r="C7495" t="str">
            <v>江俊毅</v>
          </cell>
          <cell r="F7495" t="str">
            <v>M240703R1</v>
          </cell>
          <cell r="J7495">
            <v>45810</v>
          </cell>
          <cell r="K7495">
            <v>8</v>
          </cell>
        </row>
        <row r="7496">
          <cell r="C7496" t="str">
            <v>江俊毅</v>
          </cell>
          <cell r="J7496">
            <v>45811</v>
          </cell>
          <cell r="K7496">
            <v>4</v>
          </cell>
        </row>
        <row r="7497">
          <cell r="C7497" t="str">
            <v>江俊毅</v>
          </cell>
          <cell r="F7497" t="str">
            <v>M240703R1</v>
          </cell>
          <cell r="J7497">
            <v>45811</v>
          </cell>
          <cell r="K7497">
            <v>4</v>
          </cell>
        </row>
        <row r="7498">
          <cell r="C7498" t="str">
            <v>江俊毅</v>
          </cell>
          <cell r="J7498">
            <v>45812</v>
          </cell>
          <cell r="K7498">
            <v>7</v>
          </cell>
        </row>
        <row r="7499">
          <cell r="C7499" t="str">
            <v>江俊毅</v>
          </cell>
          <cell r="J7499">
            <v>45812</v>
          </cell>
          <cell r="K7499">
            <v>1</v>
          </cell>
        </row>
        <row r="7500">
          <cell r="C7500" t="str">
            <v>江俊毅</v>
          </cell>
          <cell r="J7500">
            <v>45813</v>
          </cell>
          <cell r="K7500">
            <v>8</v>
          </cell>
        </row>
        <row r="7501">
          <cell r="C7501" t="str">
            <v>江俊毅</v>
          </cell>
          <cell r="J7501">
            <v>45814</v>
          </cell>
          <cell r="K7501">
            <v>1</v>
          </cell>
        </row>
        <row r="7502">
          <cell r="C7502" t="str">
            <v>江俊毅</v>
          </cell>
          <cell r="J7502">
            <v>45814</v>
          </cell>
          <cell r="K7502">
            <v>2</v>
          </cell>
        </row>
        <row r="7503">
          <cell r="C7503" t="str">
            <v>江俊毅</v>
          </cell>
          <cell r="F7503" t="str">
            <v>M240703R1</v>
          </cell>
          <cell r="J7503">
            <v>45814</v>
          </cell>
          <cell r="K7503">
            <v>5</v>
          </cell>
        </row>
        <row r="7504">
          <cell r="C7504" t="str">
            <v>江俊毅</v>
          </cell>
          <cell r="F7504" t="str">
            <v>M240703R1</v>
          </cell>
          <cell r="J7504">
            <v>45817</v>
          </cell>
          <cell r="K7504">
            <v>8</v>
          </cell>
        </row>
        <row r="7505">
          <cell r="C7505" t="str">
            <v>江俊毅</v>
          </cell>
          <cell r="F7505" t="str">
            <v>M240703R1</v>
          </cell>
          <cell r="J7505">
            <v>45818</v>
          </cell>
          <cell r="K7505">
            <v>8</v>
          </cell>
        </row>
        <row r="7506">
          <cell r="C7506" t="str">
            <v>江俊毅</v>
          </cell>
          <cell r="F7506" t="str">
            <v>M240703R1</v>
          </cell>
          <cell r="J7506">
            <v>45819</v>
          </cell>
          <cell r="K7506">
            <v>9</v>
          </cell>
        </row>
        <row r="7507">
          <cell r="C7507" t="str">
            <v>江俊毅</v>
          </cell>
          <cell r="J7507">
            <v>45820</v>
          </cell>
          <cell r="K7507">
            <v>1</v>
          </cell>
        </row>
        <row r="7508">
          <cell r="C7508" t="str">
            <v>江俊毅</v>
          </cell>
          <cell r="F7508" t="str">
            <v>M240703R1</v>
          </cell>
          <cell r="J7508">
            <v>45820</v>
          </cell>
          <cell r="K7508">
            <v>7</v>
          </cell>
        </row>
        <row r="7509">
          <cell r="C7509" t="str">
            <v>江俊毅</v>
          </cell>
          <cell r="J7509">
            <v>45821</v>
          </cell>
          <cell r="K7509">
            <v>3</v>
          </cell>
        </row>
        <row r="7510">
          <cell r="C7510" t="str">
            <v>江俊毅</v>
          </cell>
          <cell r="F7510" t="str">
            <v>M240703R1</v>
          </cell>
          <cell r="J7510">
            <v>45821</v>
          </cell>
          <cell r="K7510">
            <v>5</v>
          </cell>
        </row>
        <row r="7511">
          <cell r="C7511" t="str">
            <v>江俊毅</v>
          </cell>
          <cell r="F7511" t="str">
            <v>M240703R1</v>
          </cell>
          <cell r="J7511">
            <v>45824</v>
          </cell>
          <cell r="K7511">
            <v>8</v>
          </cell>
        </row>
        <row r="7512">
          <cell r="C7512" t="str">
            <v>江俊毅</v>
          </cell>
          <cell r="F7512" t="str">
            <v>M240703R1</v>
          </cell>
          <cell r="J7512">
            <v>45825</v>
          </cell>
          <cell r="K7512">
            <v>8</v>
          </cell>
        </row>
        <row r="7513">
          <cell r="C7513" t="str">
            <v>江俊毅</v>
          </cell>
          <cell r="J7513">
            <v>45826</v>
          </cell>
          <cell r="K7513">
            <v>4</v>
          </cell>
        </row>
        <row r="7514">
          <cell r="C7514" t="str">
            <v>江俊毅</v>
          </cell>
          <cell r="J7514">
            <v>45826</v>
          </cell>
          <cell r="K7514">
            <v>1</v>
          </cell>
        </row>
        <row r="7515">
          <cell r="C7515" t="str">
            <v>江俊毅</v>
          </cell>
          <cell r="J7515">
            <v>45826</v>
          </cell>
          <cell r="K7515">
            <v>1</v>
          </cell>
        </row>
        <row r="7516">
          <cell r="C7516" t="str">
            <v>江俊毅</v>
          </cell>
          <cell r="F7516" t="str">
            <v>M240703R1</v>
          </cell>
          <cell r="J7516">
            <v>45826</v>
          </cell>
          <cell r="K7516">
            <v>3</v>
          </cell>
        </row>
        <row r="7517">
          <cell r="C7517" t="str">
            <v>江俊毅</v>
          </cell>
          <cell r="J7517">
            <v>45827</v>
          </cell>
          <cell r="K7517">
            <v>6.5</v>
          </cell>
        </row>
        <row r="7518">
          <cell r="C7518" t="str">
            <v>江俊毅</v>
          </cell>
          <cell r="J7518">
            <v>45827</v>
          </cell>
          <cell r="K7518">
            <v>1.5</v>
          </cell>
        </row>
        <row r="7519">
          <cell r="C7519" t="str">
            <v>江俊毅</v>
          </cell>
          <cell r="J7519">
            <v>45828</v>
          </cell>
          <cell r="K7519">
            <v>4</v>
          </cell>
        </row>
        <row r="7520">
          <cell r="C7520" t="str">
            <v>江俊毅</v>
          </cell>
          <cell r="F7520" t="str">
            <v>M240703R1</v>
          </cell>
          <cell r="J7520">
            <v>45828</v>
          </cell>
          <cell r="K7520">
            <v>4</v>
          </cell>
        </row>
        <row r="7521">
          <cell r="C7521" t="str">
            <v>江俊毅</v>
          </cell>
          <cell r="F7521" t="str">
            <v>M240703R1</v>
          </cell>
          <cell r="J7521">
            <v>45831</v>
          </cell>
          <cell r="K7521">
            <v>8</v>
          </cell>
        </row>
        <row r="7522">
          <cell r="C7522" t="str">
            <v>江俊毅</v>
          </cell>
          <cell r="F7522" t="str">
            <v>M240703R1</v>
          </cell>
          <cell r="J7522">
            <v>45832</v>
          </cell>
          <cell r="K7522">
            <v>8</v>
          </cell>
        </row>
        <row r="7523">
          <cell r="C7523" t="str">
            <v>江俊毅</v>
          </cell>
          <cell r="F7523" t="str">
            <v>M240703R1</v>
          </cell>
          <cell r="J7523">
            <v>45833</v>
          </cell>
          <cell r="K7523">
            <v>7</v>
          </cell>
        </row>
        <row r="7524">
          <cell r="C7524" t="str">
            <v>江俊毅</v>
          </cell>
          <cell r="F7524" t="str">
            <v>M240703R1</v>
          </cell>
          <cell r="J7524">
            <v>45833</v>
          </cell>
          <cell r="K7524">
            <v>1</v>
          </cell>
        </row>
        <row r="7525">
          <cell r="C7525" t="str">
            <v>江俊毅</v>
          </cell>
          <cell r="F7525" t="str">
            <v>M240703R1</v>
          </cell>
          <cell r="J7525">
            <v>45834</v>
          </cell>
          <cell r="K7525">
            <v>8</v>
          </cell>
        </row>
        <row r="7526">
          <cell r="C7526" t="str">
            <v>江俊毅</v>
          </cell>
          <cell r="J7526">
            <v>45835</v>
          </cell>
          <cell r="K7526">
            <v>8</v>
          </cell>
        </row>
        <row r="7527">
          <cell r="C7527" t="str">
            <v>江俊毅</v>
          </cell>
          <cell r="J7527">
            <v>45838</v>
          </cell>
          <cell r="K7527">
            <v>8</v>
          </cell>
        </row>
        <row r="7528">
          <cell r="C7528" t="str">
            <v>江俊毅</v>
          </cell>
          <cell r="F7528" t="str">
            <v>M240703R1</v>
          </cell>
          <cell r="J7528">
            <v>45839</v>
          </cell>
          <cell r="K7528">
            <v>8</v>
          </cell>
        </row>
        <row r="7529">
          <cell r="C7529" t="str">
            <v>江俊毅</v>
          </cell>
          <cell r="J7529">
            <v>45840</v>
          </cell>
          <cell r="K7529">
            <v>2</v>
          </cell>
        </row>
        <row r="7530">
          <cell r="C7530" t="str">
            <v>江俊毅</v>
          </cell>
          <cell r="F7530" t="str">
            <v>M240703R1</v>
          </cell>
          <cell r="J7530">
            <v>45840</v>
          </cell>
          <cell r="K7530">
            <v>6</v>
          </cell>
        </row>
        <row r="7531">
          <cell r="C7531" t="str">
            <v>江俊毅</v>
          </cell>
          <cell r="F7531" t="str">
            <v>M240703R1</v>
          </cell>
          <cell r="J7531">
            <v>45841</v>
          </cell>
          <cell r="K7531">
            <v>8</v>
          </cell>
        </row>
        <row r="7532">
          <cell r="C7532" t="str">
            <v>江俊毅</v>
          </cell>
          <cell r="J7532">
            <v>45842</v>
          </cell>
          <cell r="K7532">
            <v>2</v>
          </cell>
        </row>
        <row r="7533">
          <cell r="C7533" t="str">
            <v>江俊毅</v>
          </cell>
          <cell r="F7533" t="str">
            <v>M240703R1</v>
          </cell>
          <cell r="J7533">
            <v>45842</v>
          </cell>
          <cell r="K7533">
            <v>6</v>
          </cell>
        </row>
        <row r="7534">
          <cell r="C7534" t="str">
            <v>江俊毅</v>
          </cell>
          <cell r="F7534" t="str">
            <v>M240703R1</v>
          </cell>
          <cell r="J7534">
            <v>45845</v>
          </cell>
          <cell r="K7534">
            <v>8</v>
          </cell>
        </row>
        <row r="7535">
          <cell r="C7535" t="str">
            <v>江俊毅</v>
          </cell>
          <cell r="J7535">
            <v>45846</v>
          </cell>
          <cell r="K7535">
            <v>8</v>
          </cell>
        </row>
        <row r="7536">
          <cell r="C7536" t="str">
            <v>江俊毅</v>
          </cell>
          <cell r="J7536">
            <v>45847</v>
          </cell>
          <cell r="K7536">
            <v>8</v>
          </cell>
        </row>
        <row r="7537">
          <cell r="C7537" t="str">
            <v>江俊毅</v>
          </cell>
          <cell r="J7537">
            <v>45848</v>
          </cell>
          <cell r="K7537">
            <v>4</v>
          </cell>
        </row>
        <row r="7538">
          <cell r="C7538" t="str">
            <v>江俊毅</v>
          </cell>
          <cell r="F7538" t="str">
            <v>M240703R1</v>
          </cell>
          <cell r="J7538">
            <v>45848</v>
          </cell>
          <cell r="K7538">
            <v>5</v>
          </cell>
        </row>
        <row r="7539">
          <cell r="C7539" t="str">
            <v>江俊毅</v>
          </cell>
          <cell r="J7539">
            <v>45849</v>
          </cell>
          <cell r="K7539">
            <v>3</v>
          </cell>
        </row>
        <row r="7540">
          <cell r="C7540" t="str">
            <v>江俊毅</v>
          </cell>
          <cell r="F7540" t="str">
            <v>M240703R1</v>
          </cell>
          <cell r="J7540">
            <v>45849</v>
          </cell>
          <cell r="K7540">
            <v>5</v>
          </cell>
        </row>
        <row r="7541">
          <cell r="C7541" t="str">
            <v>江俊毅</v>
          </cell>
          <cell r="J7541">
            <v>45852</v>
          </cell>
          <cell r="K7541">
            <v>5</v>
          </cell>
        </row>
        <row r="7542">
          <cell r="C7542" t="str">
            <v>江俊毅</v>
          </cell>
          <cell r="F7542" t="str">
            <v>M240703R1</v>
          </cell>
          <cell r="J7542">
            <v>45852</v>
          </cell>
          <cell r="K7542">
            <v>3</v>
          </cell>
        </row>
        <row r="7543">
          <cell r="C7543" t="str">
            <v>江俊毅</v>
          </cell>
          <cell r="J7543">
            <v>45853</v>
          </cell>
          <cell r="K7543">
            <v>6</v>
          </cell>
        </row>
        <row r="7544">
          <cell r="C7544" t="str">
            <v>江俊毅</v>
          </cell>
          <cell r="F7544" t="str">
            <v>M240703R1</v>
          </cell>
          <cell r="J7544">
            <v>45853</v>
          </cell>
          <cell r="K7544">
            <v>3</v>
          </cell>
        </row>
        <row r="7545">
          <cell r="C7545" t="str">
            <v>江俊毅</v>
          </cell>
          <cell r="J7545">
            <v>45854</v>
          </cell>
          <cell r="K7545">
            <v>8</v>
          </cell>
        </row>
        <row r="7546">
          <cell r="C7546" t="str">
            <v>江俊毅</v>
          </cell>
          <cell r="F7546" t="str">
            <v>M240703R1</v>
          </cell>
          <cell r="J7546">
            <v>45855</v>
          </cell>
          <cell r="K7546">
            <v>8</v>
          </cell>
        </row>
        <row r="7547">
          <cell r="C7547" t="str">
            <v>江俊毅</v>
          </cell>
          <cell r="F7547" t="str">
            <v>M240703R1</v>
          </cell>
          <cell r="J7547">
            <v>45856</v>
          </cell>
          <cell r="K7547">
            <v>4</v>
          </cell>
        </row>
        <row r="7548">
          <cell r="C7548" t="str">
            <v>江俊毅</v>
          </cell>
          <cell r="F7548" t="str">
            <v>M240703R1</v>
          </cell>
          <cell r="J7548">
            <v>45859</v>
          </cell>
          <cell r="K7548">
            <v>8</v>
          </cell>
        </row>
        <row r="7549">
          <cell r="C7549" t="str">
            <v>江俊毅</v>
          </cell>
          <cell r="F7549" t="str">
            <v>M240703R1</v>
          </cell>
          <cell r="J7549">
            <v>45860</v>
          </cell>
          <cell r="K7549">
            <v>8</v>
          </cell>
        </row>
        <row r="7550">
          <cell r="C7550" t="str">
            <v>江俊毅</v>
          </cell>
          <cell r="J7550">
            <v>45861</v>
          </cell>
          <cell r="K7550">
            <v>8</v>
          </cell>
        </row>
        <row r="7551">
          <cell r="C7551" t="str">
            <v>江俊毅</v>
          </cell>
          <cell r="F7551" t="str">
            <v>M240703R1</v>
          </cell>
          <cell r="J7551">
            <v>45862</v>
          </cell>
          <cell r="K7551">
            <v>8</v>
          </cell>
        </row>
        <row r="7552">
          <cell r="C7552" t="str">
            <v>江俊毅</v>
          </cell>
          <cell r="F7552" t="str">
            <v>M240703R1</v>
          </cell>
          <cell r="J7552">
            <v>45863</v>
          </cell>
          <cell r="K7552">
            <v>8</v>
          </cell>
        </row>
        <row r="7553">
          <cell r="C7553" t="str">
            <v>江俊毅</v>
          </cell>
          <cell r="J7553">
            <v>45866</v>
          </cell>
          <cell r="K7553">
            <v>6</v>
          </cell>
        </row>
        <row r="7554">
          <cell r="C7554" t="str">
            <v>江俊毅</v>
          </cell>
          <cell r="F7554" t="str">
            <v>M240703R1</v>
          </cell>
          <cell r="J7554">
            <v>45866</v>
          </cell>
          <cell r="K7554">
            <v>3</v>
          </cell>
        </row>
        <row r="7555">
          <cell r="C7555" t="str">
            <v>江俊毅</v>
          </cell>
          <cell r="J7555">
            <v>45867</v>
          </cell>
          <cell r="K7555">
            <v>2.5</v>
          </cell>
        </row>
        <row r="7556">
          <cell r="C7556" t="str">
            <v>江俊毅</v>
          </cell>
          <cell r="F7556" t="str">
            <v>M240703R1</v>
          </cell>
          <cell r="J7556">
            <v>45867</v>
          </cell>
          <cell r="K7556">
            <v>6.5</v>
          </cell>
        </row>
        <row r="7557">
          <cell r="C7557" t="str">
            <v>江俊毅</v>
          </cell>
          <cell r="F7557" t="str">
            <v>M240703R1</v>
          </cell>
          <cell r="J7557">
            <v>45868</v>
          </cell>
          <cell r="K7557">
            <v>8</v>
          </cell>
        </row>
        <row r="7558">
          <cell r="C7558" t="str">
            <v>江俊毅</v>
          </cell>
          <cell r="J7558">
            <v>45869</v>
          </cell>
          <cell r="K7558">
            <v>1</v>
          </cell>
        </row>
        <row r="7559">
          <cell r="C7559" t="str">
            <v>江俊毅</v>
          </cell>
          <cell r="J7559">
            <v>45869</v>
          </cell>
          <cell r="K7559">
            <v>4</v>
          </cell>
        </row>
        <row r="7560">
          <cell r="C7560" t="str">
            <v>江俊毅</v>
          </cell>
          <cell r="F7560" t="str">
            <v>M240703R1</v>
          </cell>
          <cell r="J7560">
            <v>45869</v>
          </cell>
          <cell r="K7560">
            <v>3</v>
          </cell>
        </row>
        <row r="7561">
          <cell r="C7561" t="str">
            <v>江俊毅</v>
          </cell>
          <cell r="J7561">
            <v>45870</v>
          </cell>
          <cell r="K7561">
            <v>2</v>
          </cell>
        </row>
        <row r="7562">
          <cell r="C7562" t="str">
            <v>江俊毅</v>
          </cell>
          <cell r="F7562" t="str">
            <v>M240703R1</v>
          </cell>
          <cell r="J7562">
            <v>45870</v>
          </cell>
          <cell r="K7562">
            <v>6</v>
          </cell>
        </row>
        <row r="7563">
          <cell r="C7563" t="str">
            <v>江俊毅</v>
          </cell>
          <cell r="J7563">
            <v>45873</v>
          </cell>
          <cell r="K7563">
            <v>8</v>
          </cell>
        </row>
        <row r="7564">
          <cell r="C7564" t="str">
            <v>江俊毅</v>
          </cell>
          <cell r="J7564">
            <v>45874</v>
          </cell>
          <cell r="K7564">
            <v>8</v>
          </cell>
        </row>
        <row r="7565">
          <cell r="C7565" t="str">
            <v>江俊毅</v>
          </cell>
          <cell r="J7565">
            <v>45875</v>
          </cell>
          <cell r="K7565">
            <v>6</v>
          </cell>
        </row>
        <row r="7566">
          <cell r="C7566" t="str">
            <v>江俊毅</v>
          </cell>
          <cell r="F7566" t="str">
            <v>M240703R1</v>
          </cell>
          <cell r="J7566">
            <v>45875</v>
          </cell>
          <cell r="K7566">
            <v>2</v>
          </cell>
        </row>
        <row r="7567">
          <cell r="C7567" t="str">
            <v>江俊毅</v>
          </cell>
          <cell r="J7567">
            <v>45876</v>
          </cell>
          <cell r="K7567">
            <v>8</v>
          </cell>
        </row>
        <row r="7568">
          <cell r="C7568" t="str">
            <v>江俊毅</v>
          </cell>
          <cell r="J7568">
            <v>45877</v>
          </cell>
          <cell r="K7568">
            <v>8</v>
          </cell>
        </row>
        <row r="7569">
          <cell r="C7569" t="str">
            <v>江俊毅</v>
          </cell>
          <cell r="F7569" t="str">
            <v>M240703R1</v>
          </cell>
          <cell r="J7569">
            <v>45880</v>
          </cell>
          <cell r="K7569">
            <v>4</v>
          </cell>
        </row>
        <row r="7570">
          <cell r="C7570" t="str">
            <v>江俊毅</v>
          </cell>
          <cell r="J7570">
            <v>45880</v>
          </cell>
          <cell r="K7570">
            <v>4</v>
          </cell>
        </row>
        <row r="7571">
          <cell r="C7571" t="str">
            <v>江俊毅</v>
          </cell>
          <cell r="J7571">
            <v>45881</v>
          </cell>
          <cell r="K7571">
            <v>8</v>
          </cell>
        </row>
        <row r="7572">
          <cell r="C7572" t="str">
            <v>江俊毅</v>
          </cell>
          <cell r="F7572" t="str">
            <v>M240703R1</v>
          </cell>
          <cell r="J7572">
            <v>45882</v>
          </cell>
          <cell r="K7572">
            <v>8</v>
          </cell>
        </row>
        <row r="7573">
          <cell r="C7573" t="str">
            <v>江俊毅</v>
          </cell>
          <cell r="J7573">
            <v>45883</v>
          </cell>
          <cell r="K7573">
            <v>2</v>
          </cell>
        </row>
        <row r="7574">
          <cell r="C7574" t="str">
            <v>江俊毅</v>
          </cell>
          <cell r="F7574" t="str">
            <v>M240703R1</v>
          </cell>
          <cell r="J7574">
            <v>45883</v>
          </cell>
          <cell r="K7574">
            <v>6</v>
          </cell>
        </row>
        <row r="7575">
          <cell r="C7575" t="str">
            <v>江俊毅</v>
          </cell>
          <cell r="J7575">
            <v>45884</v>
          </cell>
          <cell r="K7575">
            <v>3</v>
          </cell>
        </row>
        <row r="7576">
          <cell r="C7576" t="str">
            <v>江俊毅</v>
          </cell>
          <cell r="F7576" t="str">
            <v>M240703R1</v>
          </cell>
          <cell r="J7576">
            <v>45884</v>
          </cell>
          <cell r="K7576">
            <v>5</v>
          </cell>
        </row>
        <row r="7577">
          <cell r="C7577" t="str">
            <v>江俊毅</v>
          </cell>
          <cell r="J7577">
            <v>45887</v>
          </cell>
          <cell r="K7577">
            <v>5</v>
          </cell>
        </row>
        <row r="7578">
          <cell r="C7578" t="str">
            <v>江俊毅</v>
          </cell>
          <cell r="F7578" t="str">
            <v>M240703R1</v>
          </cell>
          <cell r="J7578">
            <v>45887</v>
          </cell>
          <cell r="K7578">
            <v>3</v>
          </cell>
        </row>
        <row r="7579">
          <cell r="C7579" t="str">
            <v>江俊毅</v>
          </cell>
          <cell r="J7579">
            <v>45888</v>
          </cell>
          <cell r="K7579">
            <v>3</v>
          </cell>
        </row>
        <row r="7580">
          <cell r="C7580" t="str">
            <v>江俊毅</v>
          </cell>
          <cell r="F7580" t="str">
            <v>M240703R1</v>
          </cell>
          <cell r="J7580">
            <v>45888</v>
          </cell>
          <cell r="K7580">
            <v>1</v>
          </cell>
        </row>
        <row r="7581">
          <cell r="C7581" t="str">
            <v>江俊毅</v>
          </cell>
          <cell r="F7581" t="str">
            <v>K250501R1</v>
          </cell>
          <cell r="J7581">
            <v>45888</v>
          </cell>
          <cell r="K7581">
            <v>4</v>
          </cell>
        </row>
        <row r="7582">
          <cell r="C7582" t="str">
            <v>江俊毅</v>
          </cell>
          <cell r="J7582">
            <v>45889</v>
          </cell>
          <cell r="K7582">
            <v>5</v>
          </cell>
        </row>
        <row r="7583">
          <cell r="C7583" t="str">
            <v>江俊毅</v>
          </cell>
          <cell r="F7583" t="str">
            <v>K250501R1</v>
          </cell>
          <cell r="J7583">
            <v>45889</v>
          </cell>
          <cell r="K7583">
            <v>3</v>
          </cell>
        </row>
        <row r="7584">
          <cell r="C7584" t="str">
            <v>江俊毅</v>
          </cell>
          <cell r="J7584">
            <v>45890</v>
          </cell>
          <cell r="K7584">
            <v>4</v>
          </cell>
        </row>
        <row r="7585">
          <cell r="C7585" t="str">
            <v>江俊毅</v>
          </cell>
          <cell r="F7585" t="str">
            <v>K250501R1</v>
          </cell>
          <cell r="J7585">
            <v>45890</v>
          </cell>
          <cell r="K7585">
            <v>4</v>
          </cell>
        </row>
        <row r="7586">
          <cell r="C7586" t="str">
            <v>江俊毅</v>
          </cell>
          <cell r="J7586">
            <v>45891</v>
          </cell>
          <cell r="K7586">
            <v>8</v>
          </cell>
        </row>
        <row r="7587">
          <cell r="C7587" t="str">
            <v>江俊毅</v>
          </cell>
          <cell r="J7587">
            <v>45894</v>
          </cell>
          <cell r="K7587">
            <v>2</v>
          </cell>
        </row>
        <row r="7588">
          <cell r="C7588" t="str">
            <v>江俊毅</v>
          </cell>
          <cell r="J7588">
            <v>45894</v>
          </cell>
          <cell r="K7588">
            <v>2</v>
          </cell>
        </row>
        <row r="7589">
          <cell r="C7589" t="str">
            <v>江俊毅</v>
          </cell>
          <cell r="F7589" t="str">
            <v>M240703R1</v>
          </cell>
          <cell r="J7589">
            <v>45894</v>
          </cell>
          <cell r="K7589">
            <v>4</v>
          </cell>
        </row>
        <row r="7590">
          <cell r="C7590" t="str">
            <v>江俊毅</v>
          </cell>
          <cell r="J7590">
            <v>45895</v>
          </cell>
          <cell r="K7590">
            <v>8</v>
          </cell>
        </row>
        <row r="7591">
          <cell r="C7591" t="str">
            <v>江俊毅</v>
          </cell>
          <cell r="J7591">
            <v>45896</v>
          </cell>
          <cell r="K7591">
            <v>3</v>
          </cell>
        </row>
        <row r="7592">
          <cell r="C7592" t="str">
            <v>江俊毅</v>
          </cell>
          <cell r="F7592" t="str">
            <v>K250501R1</v>
          </cell>
          <cell r="J7592">
            <v>45896</v>
          </cell>
          <cell r="K7592">
            <v>5</v>
          </cell>
        </row>
        <row r="7593">
          <cell r="C7593" t="str">
            <v>江俊毅</v>
          </cell>
          <cell r="J7593">
            <v>45897</v>
          </cell>
          <cell r="K7593">
            <v>5</v>
          </cell>
        </row>
        <row r="7594">
          <cell r="C7594" t="str">
            <v>江俊毅</v>
          </cell>
          <cell r="J7594">
            <v>45897</v>
          </cell>
          <cell r="K7594">
            <v>3</v>
          </cell>
        </row>
        <row r="7595">
          <cell r="C7595" t="str">
            <v>江俊毅</v>
          </cell>
          <cell r="J7595">
            <v>45898</v>
          </cell>
          <cell r="K7595">
            <v>4</v>
          </cell>
        </row>
        <row r="7596">
          <cell r="C7596" t="str">
            <v>江俊毅</v>
          </cell>
          <cell r="J7596">
            <v>45898</v>
          </cell>
          <cell r="K7596">
            <v>4</v>
          </cell>
        </row>
        <row r="7597">
          <cell r="C7597" t="str">
            <v>江俊毅</v>
          </cell>
          <cell r="J7597">
            <v>45901</v>
          </cell>
          <cell r="K7597">
            <v>6</v>
          </cell>
        </row>
        <row r="7598">
          <cell r="C7598" t="str">
            <v>江俊毅</v>
          </cell>
          <cell r="J7598">
            <v>45901</v>
          </cell>
          <cell r="K7598">
            <v>2</v>
          </cell>
        </row>
        <row r="7599">
          <cell r="C7599" t="str">
            <v>江俊毅</v>
          </cell>
          <cell r="J7599">
            <v>45902</v>
          </cell>
          <cell r="K7599">
            <v>5</v>
          </cell>
        </row>
        <row r="7600">
          <cell r="C7600" t="str">
            <v>江俊毅</v>
          </cell>
          <cell r="F7600" t="str">
            <v>K250501R1</v>
          </cell>
          <cell r="J7600">
            <v>45902</v>
          </cell>
          <cell r="K7600">
            <v>3</v>
          </cell>
        </row>
        <row r="7601">
          <cell r="C7601" t="str">
            <v>江俊毅</v>
          </cell>
          <cell r="J7601">
            <v>45903</v>
          </cell>
          <cell r="K7601">
            <v>3.5</v>
          </cell>
        </row>
        <row r="7602">
          <cell r="C7602" t="str">
            <v>江俊毅</v>
          </cell>
          <cell r="F7602" t="str">
            <v>K250501R1</v>
          </cell>
          <cell r="J7602">
            <v>45903</v>
          </cell>
          <cell r="K7602">
            <v>4.5</v>
          </cell>
        </row>
        <row r="7603">
          <cell r="C7603" t="str">
            <v>江俊毅</v>
          </cell>
          <cell r="J7603">
            <v>45904</v>
          </cell>
          <cell r="K7603">
            <v>2</v>
          </cell>
        </row>
        <row r="7604">
          <cell r="C7604" t="str">
            <v>江俊毅</v>
          </cell>
          <cell r="J7604">
            <v>45904</v>
          </cell>
          <cell r="K7604">
            <v>4.5</v>
          </cell>
        </row>
        <row r="7605">
          <cell r="C7605" t="str">
            <v>江俊毅</v>
          </cell>
          <cell r="F7605" t="str">
            <v>M240703R1</v>
          </cell>
          <cell r="J7605">
            <v>45904</v>
          </cell>
          <cell r="K7605">
            <v>1.5</v>
          </cell>
        </row>
        <row r="7606">
          <cell r="C7606" t="str">
            <v>江俊毅</v>
          </cell>
          <cell r="J7606">
            <v>45905</v>
          </cell>
          <cell r="K7606">
            <v>2</v>
          </cell>
        </row>
        <row r="7607">
          <cell r="C7607" t="str">
            <v>江俊毅</v>
          </cell>
          <cell r="F7607" t="str">
            <v>K250501R1</v>
          </cell>
          <cell r="J7607">
            <v>45905</v>
          </cell>
          <cell r="K7607">
            <v>6</v>
          </cell>
        </row>
        <row r="7608">
          <cell r="C7608" t="str">
            <v>江俊毅</v>
          </cell>
          <cell r="J7608">
            <v>45908</v>
          </cell>
          <cell r="K7608">
            <v>2</v>
          </cell>
        </row>
        <row r="7609">
          <cell r="C7609" t="str">
            <v>江俊毅</v>
          </cell>
          <cell r="J7609">
            <v>45908</v>
          </cell>
          <cell r="K7609">
            <v>6</v>
          </cell>
        </row>
        <row r="7610">
          <cell r="C7610" t="str">
            <v>江俊毅</v>
          </cell>
          <cell r="J7610">
            <v>45909</v>
          </cell>
          <cell r="K7610">
            <v>5</v>
          </cell>
        </row>
        <row r="7611">
          <cell r="C7611" t="str">
            <v>江俊毅</v>
          </cell>
          <cell r="F7611" t="str">
            <v>M240703R1</v>
          </cell>
          <cell r="J7611">
            <v>45909</v>
          </cell>
          <cell r="K7611">
            <v>3</v>
          </cell>
        </row>
        <row r="7612">
          <cell r="C7612" t="str">
            <v>江俊毅</v>
          </cell>
          <cell r="J7612">
            <v>45910</v>
          </cell>
          <cell r="K7612">
            <v>1</v>
          </cell>
        </row>
        <row r="7613">
          <cell r="C7613" t="str">
            <v>江俊毅</v>
          </cell>
          <cell r="J7613">
            <v>45910</v>
          </cell>
          <cell r="K7613">
            <v>3</v>
          </cell>
        </row>
        <row r="7614">
          <cell r="C7614" t="str">
            <v>江俊毅</v>
          </cell>
          <cell r="F7614" t="str">
            <v>M240703R1</v>
          </cell>
          <cell r="J7614">
            <v>45910</v>
          </cell>
          <cell r="K7614">
            <v>4</v>
          </cell>
        </row>
        <row r="7615">
          <cell r="C7615" t="str">
            <v>江俊毅</v>
          </cell>
          <cell r="F7615" t="str">
            <v>M240703R1</v>
          </cell>
          <cell r="J7615">
            <v>45911</v>
          </cell>
          <cell r="K7615">
            <v>8</v>
          </cell>
        </row>
        <row r="7616">
          <cell r="C7616" t="str">
            <v>江俊毅</v>
          </cell>
          <cell r="J7616">
            <v>45912</v>
          </cell>
          <cell r="K7616">
            <v>8</v>
          </cell>
        </row>
        <row r="7617">
          <cell r="C7617" t="str">
            <v>江俊毅</v>
          </cell>
          <cell r="J7617">
            <v>45915</v>
          </cell>
          <cell r="K7617">
            <v>4</v>
          </cell>
        </row>
        <row r="7618">
          <cell r="C7618" t="str">
            <v>江俊毅</v>
          </cell>
          <cell r="J7618">
            <v>45915</v>
          </cell>
          <cell r="K7618">
            <v>2</v>
          </cell>
        </row>
        <row r="7619">
          <cell r="C7619" t="str">
            <v>江俊毅</v>
          </cell>
          <cell r="F7619" t="str">
            <v>K250501R1</v>
          </cell>
          <cell r="J7619">
            <v>45915</v>
          </cell>
          <cell r="K7619">
            <v>3</v>
          </cell>
        </row>
        <row r="7620">
          <cell r="C7620" t="str">
            <v>江俊毅</v>
          </cell>
          <cell r="J7620">
            <v>45916</v>
          </cell>
          <cell r="K7620">
            <v>3.5</v>
          </cell>
        </row>
        <row r="7621">
          <cell r="C7621" t="str">
            <v>江俊毅</v>
          </cell>
          <cell r="F7621" t="str">
            <v>M240703R1</v>
          </cell>
          <cell r="J7621">
            <v>45916</v>
          </cell>
          <cell r="K7621">
            <v>6</v>
          </cell>
        </row>
        <row r="7622">
          <cell r="C7622" t="str">
            <v>江俊毅</v>
          </cell>
          <cell r="J7622">
            <v>45917</v>
          </cell>
          <cell r="K7622">
            <v>6</v>
          </cell>
        </row>
        <row r="7623">
          <cell r="C7623" t="str">
            <v>江俊毅</v>
          </cell>
          <cell r="J7623">
            <v>45917</v>
          </cell>
          <cell r="K7623">
            <v>2</v>
          </cell>
        </row>
        <row r="7624">
          <cell r="C7624" t="str">
            <v>江俊毅</v>
          </cell>
          <cell r="J7624">
            <v>45918</v>
          </cell>
          <cell r="K7624">
            <v>4</v>
          </cell>
        </row>
        <row r="7625">
          <cell r="C7625" t="str">
            <v>江俊毅</v>
          </cell>
          <cell r="F7625" t="str">
            <v>M240703R1</v>
          </cell>
          <cell r="J7625">
            <v>45918</v>
          </cell>
          <cell r="K7625">
            <v>4</v>
          </cell>
        </row>
        <row r="7626">
          <cell r="C7626" t="str">
            <v>江俊毅</v>
          </cell>
          <cell r="J7626">
            <v>45919</v>
          </cell>
          <cell r="K7626">
            <v>8</v>
          </cell>
        </row>
        <row r="7627">
          <cell r="C7627" t="str">
            <v>江俊毅</v>
          </cell>
          <cell r="J7627">
            <v>45922</v>
          </cell>
          <cell r="K7627">
            <v>2</v>
          </cell>
        </row>
        <row r="7628">
          <cell r="C7628" t="str">
            <v>江俊毅</v>
          </cell>
          <cell r="J7628">
            <v>45922</v>
          </cell>
          <cell r="K7628">
            <v>3</v>
          </cell>
        </row>
        <row r="7629">
          <cell r="C7629" t="str">
            <v>江俊毅</v>
          </cell>
          <cell r="F7629" t="str">
            <v>K250501R1</v>
          </cell>
          <cell r="J7629">
            <v>45922</v>
          </cell>
          <cell r="K7629">
            <v>3</v>
          </cell>
        </row>
        <row r="7630">
          <cell r="C7630" t="str">
            <v>江俊毅</v>
          </cell>
          <cell r="J7630">
            <v>45923</v>
          </cell>
          <cell r="K7630">
            <v>6</v>
          </cell>
        </row>
        <row r="7631">
          <cell r="C7631" t="str">
            <v>江俊毅</v>
          </cell>
          <cell r="F7631" t="str">
            <v>K250501R1</v>
          </cell>
          <cell r="J7631">
            <v>45923</v>
          </cell>
          <cell r="K7631">
            <v>2</v>
          </cell>
        </row>
        <row r="7632">
          <cell r="C7632" t="str">
            <v>江俊毅</v>
          </cell>
          <cell r="J7632">
            <v>45924</v>
          </cell>
          <cell r="K7632">
            <v>8</v>
          </cell>
        </row>
        <row r="7633">
          <cell r="C7633" t="str">
            <v>江俊毅</v>
          </cell>
          <cell r="J7633">
            <v>45925</v>
          </cell>
          <cell r="K7633">
            <v>5</v>
          </cell>
        </row>
        <row r="7634">
          <cell r="C7634" t="str">
            <v>江俊毅</v>
          </cell>
          <cell r="J7634">
            <v>45925</v>
          </cell>
          <cell r="K7634">
            <v>3</v>
          </cell>
        </row>
        <row r="7635">
          <cell r="C7635" t="str">
            <v>江俊毅</v>
          </cell>
          <cell r="J7635">
            <v>45926</v>
          </cell>
          <cell r="K7635">
            <v>1.5</v>
          </cell>
        </row>
        <row r="7636">
          <cell r="C7636" t="str">
            <v>江俊毅</v>
          </cell>
          <cell r="J7636">
            <v>45926</v>
          </cell>
          <cell r="K7636">
            <v>4</v>
          </cell>
        </row>
        <row r="7637">
          <cell r="C7637" t="str">
            <v>江俊毅</v>
          </cell>
          <cell r="J7637">
            <v>45926</v>
          </cell>
          <cell r="K7637">
            <v>2.5</v>
          </cell>
        </row>
        <row r="7638">
          <cell r="C7638" t="str">
            <v>江俊毅</v>
          </cell>
          <cell r="J7638">
            <v>45930</v>
          </cell>
          <cell r="K7638">
            <v>8</v>
          </cell>
        </row>
        <row r="7639">
          <cell r="C7639" t="str">
            <v>江俊毅</v>
          </cell>
          <cell r="J7639">
            <v>45931</v>
          </cell>
          <cell r="K7639">
            <v>8</v>
          </cell>
        </row>
        <row r="7640">
          <cell r="C7640" t="str">
            <v>江俊毅</v>
          </cell>
          <cell r="J7640">
            <v>45932</v>
          </cell>
          <cell r="K7640">
            <v>8</v>
          </cell>
        </row>
        <row r="7641">
          <cell r="C7641" t="str">
            <v>江俊毅</v>
          </cell>
          <cell r="J7641">
            <v>45933</v>
          </cell>
          <cell r="K7641">
            <v>4</v>
          </cell>
        </row>
        <row r="7642">
          <cell r="C7642" t="str">
            <v>江俊毅</v>
          </cell>
          <cell r="J7642">
            <v>45933</v>
          </cell>
          <cell r="K7642">
            <v>4</v>
          </cell>
        </row>
        <row r="7643">
          <cell r="C7643" t="str">
            <v>江俊毅</v>
          </cell>
          <cell r="J7643">
            <v>45937</v>
          </cell>
          <cell r="K7643">
            <v>8</v>
          </cell>
        </row>
        <row r="7644">
          <cell r="C7644" t="str">
            <v>江俊毅</v>
          </cell>
          <cell r="J7644">
            <v>45938</v>
          </cell>
          <cell r="K7644">
            <v>4</v>
          </cell>
        </row>
        <row r="7645">
          <cell r="C7645" t="str">
            <v>江俊毅</v>
          </cell>
          <cell r="J7645">
            <v>45938</v>
          </cell>
          <cell r="K7645">
            <v>4</v>
          </cell>
        </row>
        <row r="7646">
          <cell r="C7646" t="str">
            <v>江俊毅</v>
          </cell>
          <cell r="J7646">
            <v>45939</v>
          </cell>
          <cell r="K7646">
            <v>6</v>
          </cell>
        </row>
        <row r="7647">
          <cell r="C7647" t="str">
            <v>江俊毅</v>
          </cell>
          <cell r="F7647" t="str">
            <v>M240703R1</v>
          </cell>
          <cell r="J7647">
            <v>45939</v>
          </cell>
          <cell r="K7647">
            <v>2</v>
          </cell>
        </row>
        <row r="7648">
          <cell r="C7648" t="str">
            <v>江俊毅</v>
          </cell>
          <cell r="J7648">
            <v>45943</v>
          </cell>
          <cell r="K7648">
            <v>4</v>
          </cell>
        </row>
        <row r="7649">
          <cell r="C7649" t="str">
            <v>江俊毅</v>
          </cell>
          <cell r="J7649">
            <v>45943</v>
          </cell>
          <cell r="K7649">
            <v>4</v>
          </cell>
        </row>
        <row r="7650">
          <cell r="C7650" t="str">
            <v>江俊毅</v>
          </cell>
          <cell r="J7650">
            <v>45944</v>
          </cell>
          <cell r="K7650">
            <v>2</v>
          </cell>
        </row>
        <row r="7651">
          <cell r="C7651" t="str">
            <v>江俊毅</v>
          </cell>
          <cell r="F7651" t="str">
            <v>K250501R1</v>
          </cell>
          <cell r="J7651">
            <v>45944</v>
          </cell>
          <cell r="K7651">
            <v>6</v>
          </cell>
        </row>
        <row r="7652">
          <cell r="C7652" t="str">
            <v>江俊毅</v>
          </cell>
          <cell r="F7652" t="str">
            <v>K250501R1</v>
          </cell>
          <cell r="J7652">
            <v>45945</v>
          </cell>
          <cell r="K7652">
            <v>8</v>
          </cell>
        </row>
        <row r="7653">
          <cell r="C7653" t="str">
            <v>江俊毅</v>
          </cell>
          <cell r="J7653">
            <v>45946</v>
          </cell>
          <cell r="K7653">
            <v>4</v>
          </cell>
        </row>
        <row r="7654">
          <cell r="C7654" t="str">
            <v>江俊毅</v>
          </cell>
          <cell r="J7654">
            <v>45946</v>
          </cell>
          <cell r="K7654">
            <v>4</v>
          </cell>
        </row>
        <row r="7655">
          <cell r="C7655" t="str">
            <v>江俊毅</v>
          </cell>
          <cell r="J7655">
            <v>45947</v>
          </cell>
          <cell r="K7655">
            <v>8</v>
          </cell>
        </row>
        <row r="7656">
          <cell r="C7656" t="str">
            <v>江俊毅</v>
          </cell>
          <cell r="J7656">
            <v>45950</v>
          </cell>
          <cell r="K7656">
            <v>4</v>
          </cell>
        </row>
        <row r="7657">
          <cell r="C7657" t="str">
            <v>江俊毅</v>
          </cell>
          <cell r="F7657" t="str">
            <v>K250501R1</v>
          </cell>
          <cell r="J7657">
            <v>45950</v>
          </cell>
          <cell r="K7657">
            <v>4</v>
          </cell>
        </row>
        <row r="7658">
          <cell r="C7658" t="str">
            <v>江俊毅</v>
          </cell>
          <cell r="J7658">
            <v>45951</v>
          </cell>
          <cell r="K7658">
            <v>8</v>
          </cell>
        </row>
        <row r="7659">
          <cell r="C7659" t="str">
            <v>江俊毅</v>
          </cell>
          <cell r="J7659">
            <v>45952</v>
          </cell>
          <cell r="K7659">
            <v>8</v>
          </cell>
        </row>
        <row r="7660">
          <cell r="C7660" t="str">
            <v>江俊毅</v>
          </cell>
          <cell r="J7660">
            <v>45953</v>
          </cell>
          <cell r="K7660">
            <v>8</v>
          </cell>
        </row>
        <row r="7661">
          <cell r="C7661" t="str">
            <v>何秋明</v>
          </cell>
          <cell r="J7661">
            <v>45733</v>
          </cell>
          <cell r="K7661">
            <v>5</v>
          </cell>
        </row>
        <row r="7662">
          <cell r="C7662" t="str">
            <v>何秋明</v>
          </cell>
          <cell r="J7662">
            <v>45733</v>
          </cell>
          <cell r="K7662">
            <v>3</v>
          </cell>
        </row>
        <row r="7663">
          <cell r="C7663" t="str">
            <v>何秋明</v>
          </cell>
          <cell r="J7663">
            <v>45734</v>
          </cell>
          <cell r="K7663">
            <v>2</v>
          </cell>
        </row>
        <row r="7664">
          <cell r="C7664" t="str">
            <v>何秋明</v>
          </cell>
          <cell r="J7664">
            <v>45734</v>
          </cell>
          <cell r="K7664">
            <v>6</v>
          </cell>
        </row>
        <row r="7665">
          <cell r="C7665" t="str">
            <v>何秋明</v>
          </cell>
          <cell r="J7665">
            <v>45735</v>
          </cell>
          <cell r="K7665">
            <v>2</v>
          </cell>
        </row>
        <row r="7666">
          <cell r="C7666" t="str">
            <v>何秋明</v>
          </cell>
          <cell r="J7666">
            <v>45735</v>
          </cell>
          <cell r="K7666">
            <v>6</v>
          </cell>
        </row>
        <row r="7667">
          <cell r="C7667" t="str">
            <v>何秋明</v>
          </cell>
          <cell r="J7667">
            <v>45736</v>
          </cell>
          <cell r="K7667">
            <v>3</v>
          </cell>
        </row>
        <row r="7668">
          <cell r="C7668" t="str">
            <v>何秋明</v>
          </cell>
          <cell r="J7668">
            <v>45736</v>
          </cell>
          <cell r="K7668">
            <v>5</v>
          </cell>
        </row>
        <row r="7669">
          <cell r="C7669" t="str">
            <v>簡振芳</v>
          </cell>
          <cell r="J7669">
            <v>45470</v>
          </cell>
          <cell r="K7669">
            <v>8</v>
          </cell>
        </row>
        <row r="7670">
          <cell r="C7670" t="str">
            <v>簡振芳</v>
          </cell>
          <cell r="F7670" t="str">
            <v>K240101R1</v>
          </cell>
          <cell r="J7670">
            <v>45471</v>
          </cell>
          <cell r="K7670">
            <v>8</v>
          </cell>
        </row>
        <row r="7671">
          <cell r="C7671" t="str">
            <v>簡振芳</v>
          </cell>
          <cell r="F7671" t="str">
            <v>K240101R1</v>
          </cell>
          <cell r="J7671">
            <v>45474</v>
          </cell>
          <cell r="K7671">
            <v>8</v>
          </cell>
        </row>
        <row r="7672">
          <cell r="C7672" t="str">
            <v>簡振芳</v>
          </cell>
          <cell r="F7672" t="str">
            <v>K240101R1</v>
          </cell>
          <cell r="J7672">
            <v>45475</v>
          </cell>
          <cell r="K7672">
            <v>8</v>
          </cell>
        </row>
        <row r="7673">
          <cell r="C7673" t="str">
            <v>簡振芳</v>
          </cell>
          <cell r="F7673" t="str">
            <v>K240101R1</v>
          </cell>
          <cell r="J7673">
            <v>45476</v>
          </cell>
          <cell r="K7673">
            <v>8</v>
          </cell>
        </row>
        <row r="7674">
          <cell r="C7674" t="str">
            <v>簡振芳</v>
          </cell>
          <cell r="F7674" t="str">
            <v>K240101R1</v>
          </cell>
          <cell r="J7674">
            <v>45477</v>
          </cell>
          <cell r="K7674">
            <v>8</v>
          </cell>
        </row>
        <row r="7675">
          <cell r="C7675" t="str">
            <v>簡振芳</v>
          </cell>
          <cell r="F7675" t="str">
            <v>K240101R1</v>
          </cell>
          <cell r="J7675">
            <v>45478</v>
          </cell>
          <cell r="K7675">
            <v>8</v>
          </cell>
        </row>
        <row r="7676">
          <cell r="C7676" t="str">
            <v>簡振芳</v>
          </cell>
          <cell r="F7676" t="str">
            <v>K240101R1</v>
          </cell>
          <cell r="J7676">
            <v>45481</v>
          </cell>
          <cell r="K7676">
            <v>8</v>
          </cell>
        </row>
        <row r="7677">
          <cell r="C7677" t="str">
            <v>簡振芳</v>
          </cell>
          <cell r="J7677">
            <v>45482</v>
          </cell>
          <cell r="K7677">
            <v>8</v>
          </cell>
        </row>
        <row r="7678">
          <cell r="C7678" t="str">
            <v>簡振芳</v>
          </cell>
          <cell r="J7678">
            <v>45483</v>
          </cell>
          <cell r="K7678">
            <v>8</v>
          </cell>
        </row>
        <row r="7679">
          <cell r="C7679" t="str">
            <v>簡振芳</v>
          </cell>
          <cell r="F7679" t="str">
            <v>K240101R1</v>
          </cell>
          <cell r="J7679">
            <v>45484</v>
          </cell>
          <cell r="K7679">
            <v>8</v>
          </cell>
        </row>
        <row r="7680">
          <cell r="C7680" t="str">
            <v>簡振芳</v>
          </cell>
          <cell r="J7680">
            <v>45485</v>
          </cell>
          <cell r="K7680">
            <v>8</v>
          </cell>
        </row>
        <row r="7681">
          <cell r="C7681" t="str">
            <v>簡振芳</v>
          </cell>
          <cell r="F7681" t="str">
            <v>K240101R1</v>
          </cell>
          <cell r="J7681">
            <v>45488</v>
          </cell>
          <cell r="K7681">
            <v>8</v>
          </cell>
        </row>
        <row r="7682">
          <cell r="C7682" t="str">
            <v>簡振芳</v>
          </cell>
          <cell r="F7682" t="str">
            <v>K240101R1</v>
          </cell>
          <cell r="J7682">
            <v>45489</v>
          </cell>
          <cell r="K7682">
            <v>8</v>
          </cell>
        </row>
        <row r="7683">
          <cell r="C7683" t="str">
            <v>簡振芳</v>
          </cell>
          <cell r="F7683" t="str">
            <v>K240101R1</v>
          </cell>
          <cell r="J7683">
            <v>45490</v>
          </cell>
          <cell r="K7683">
            <v>8</v>
          </cell>
        </row>
        <row r="7684">
          <cell r="C7684" t="str">
            <v>簡振芳</v>
          </cell>
          <cell r="F7684" t="str">
            <v>K240101R1</v>
          </cell>
          <cell r="J7684">
            <v>45491</v>
          </cell>
          <cell r="K7684">
            <v>8</v>
          </cell>
        </row>
        <row r="7685">
          <cell r="C7685" t="str">
            <v>簡振芳</v>
          </cell>
          <cell r="F7685" t="str">
            <v>K240101R1</v>
          </cell>
          <cell r="J7685">
            <v>45492</v>
          </cell>
          <cell r="K7685">
            <v>8</v>
          </cell>
        </row>
        <row r="7686">
          <cell r="C7686" t="str">
            <v>簡振芳</v>
          </cell>
          <cell r="F7686" t="str">
            <v>K240101R1</v>
          </cell>
          <cell r="J7686">
            <v>45495</v>
          </cell>
          <cell r="K7686">
            <v>8</v>
          </cell>
        </row>
        <row r="7687">
          <cell r="C7687" t="str">
            <v>簡振芳</v>
          </cell>
          <cell r="F7687" t="str">
            <v>K240101R1</v>
          </cell>
          <cell r="J7687">
            <v>45496</v>
          </cell>
          <cell r="K7687">
            <v>8</v>
          </cell>
        </row>
        <row r="7688">
          <cell r="C7688" t="str">
            <v>簡振芳</v>
          </cell>
          <cell r="F7688" t="str">
            <v>K240101R1</v>
          </cell>
          <cell r="J7688">
            <v>45499</v>
          </cell>
          <cell r="K7688">
            <v>8</v>
          </cell>
        </row>
        <row r="7689">
          <cell r="C7689" t="str">
            <v>簡振芳</v>
          </cell>
          <cell r="F7689" t="str">
            <v>K240101R1</v>
          </cell>
          <cell r="J7689">
            <v>45502</v>
          </cell>
          <cell r="K7689">
            <v>8</v>
          </cell>
        </row>
        <row r="7690">
          <cell r="C7690" t="str">
            <v>簡振芳</v>
          </cell>
          <cell r="F7690" t="str">
            <v>K240101R1</v>
          </cell>
          <cell r="J7690">
            <v>45503</v>
          </cell>
          <cell r="K7690">
            <v>8</v>
          </cell>
        </row>
        <row r="7691">
          <cell r="C7691" t="str">
            <v>簡振芳</v>
          </cell>
          <cell r="F7691" t="str">
            <v>K240101R1</v>
          </cell>
          <cell r="J7691">
            <v>45504</v>
          </cell>
          <cell r="K7691">
            <v>8</v>
          </cell>
        </row>
        <row r="7692">
          <cell r="C7692" t="str">
            <v>簡振芳</v>
          </cell>
          <cell r="F7692" t="str">
            <v>K240101R1</v>
          </cell>
          <cell r="J7692">
            <v>45505</v>
          </cell>
          <cell r="K7692">
            <v>8</v>
          </cell>
        </row>
        <row r="7693">
          <cell r="C7693" t="str">
            <v>簡振芳</v>
          </cell>
          <cell r="J7693">
            <v>45506</v>
          </cell>
          <cell r="K7693">
            <v>8</v>
          </cell>
        </row>
        <row r="7694">
          <cell r="C7694" t="str">
            <v>簡振芳</v>
          </cell>
          <cell r="F7694" t="str">
            <v>M220703R1</v>
          </cell>
          <cell r="J7694">
            <v>45509</v>
          </cell>
          <cell r="K7694">
            <v>8</v>
          </cell>
        </row>
        <row r="7695">
          <cell r="C7695" t="str">
            <v>簡振芳</v>
          </cell>
          <cell r="F7695" t="str">
            <v>M220703R1</v>
          </cell>
          <cell r="J7695">
            <v>45510</v>
          </cell>
          <cell r="K7695">
            <v>8</v>
          </cell>
        </row>
        <row r="7696">
          <cell r="C7696" t="str">
            <v>簡振芳</v>
          </cell>
          <cell r="F7696" t="str">
            <v>M240702R1</v>
          </cell>
          <cell r="J7696">
            <v>45511</v>
          </cell>
          <cell r="K7696">
            <v>8</v>
          </cell>
        </row>
        <row r="7697">
          <cell r="C7697" t="str">
            <v>簡振芳</v>
          </cell>
          <cell r="F7697" t="str">
            <v>M240702R1</v>
          </cell>
          <cell r="J7697">
            <v>45512</v>
          </cell>
          <cell r="K7697">
            <v>8</v>
          </cell>
        </row>
        <row r="7698">
          <cell r="C7698" t="str">
            <v>簡振芳</v>
          </cell>
          <cell r="F7698" t="str">
            <v>M240702R1</v>
          </cell>
          <cell r="J7698">
            <v>45513</v>
          </cell>
          <cell r="K7698">
            <v>8</v>
          </cell>
        </row>
        <row r="7699">
          <cell r="C7699" t="str">
            <v>簡振芳</v>
          </cell>
          <cell r="F7699" t="str">
            <v>M240702R1</v>
          </cell>
          <cell r="J7699">
            <v>45516</v>
          </cell>
          <cell r="K7699">
            <v>8</v>
          </cell>
        </row>
        <row r="7700">
          <cell r="C7700" t="str">
            <v>簡振芳</v>
          </cell>
          <cell r="F7700" t="str">
            <v>K240101R1</v>
          </cell>
          <cell r="J7700">
            <v>45517</v>
          </cell>
          <cell r="K7700">
            <v>8</v>
          </cell>
        </row>
        <row r="7701">
          <cell r="C7701" t="str">
            <v>簡振芳</v>
          </cell>
          <cell r="F7701" t="str">
            <v>M240702R1</v>
          </cell>
          <cell r="J7701">
            <v>45518</v>
          </cell>
          <cell r="K7701">
            <v>8</v>
          </cell>
        </row>
        <row r="7702">
          <cell r="C7702" t="str">
            <v>簡振芳</v>
          </cell>
          <cell r="F7702" t="str">
            <v>M240702R1</v>
          </cell>
          <cell r="J7702">
            <v>45519</v>
          </cell>
          <cell r="K7702">
            <v>8</v>
          </cell>
        </row>
        <row r="7703">
          <cell r="C7703" t="str">
            <v>簡振芳</v>
          </cell>
          <cell r="F7703" t="str">
            <v>M240702R1</v>
          </cell>
          <cell r="J7703">
            <v>45520</v>
          </cell>
          <cell r="K7703">
            <v>8</v>
          </cell>
        </row>
        <row r="7704">
          <cell r="C7704" t="str">
            <v>簡振芳</v>
          </cell>
          <cell r="F7704" t="str">
            <v>M240702R1</v>
          </cell>
          <cell r="J7704">
            <v>45523</v>
          </cell>
          <cell r="K7704">
            <v>8</v>
          </cell>
        </row>
        <row r="7705">
          <cell r="C7705" t="str">
            <v>簡振芳</v>
          </cell>
          <cell r="F7705" t="str">
            <v>M240702R1</v>
          </cell>
          <cell r="J7705">
            <v>45524</v>
          </cell>
          <cell r="K7705">
            <v>8</v>
          </cell>
        </row>
        <row r="7706">
          <cell r="C7706" t="str">
            <v>簡振芳</v>
          </cell>
          <cell r="F7706" t="str">
            <v>M240702R1</v>
          </cell>
          <cell r="J7706">
            <v>45525</v>
          </cell>
          <cell r="K7706">
            <v>8</v>
          </cell>
        </row>
        <row r="7707">
          <cell r="C7707" t="str">
            <v>簡振芳</v>
          </cell>
          <cell r="J7707">
            <v>45526</v>
          </cell>
          <cell r="K7707">
            <v>8</v>
          </cell>
        </row>
        <row r="7708">
          <cell r="C7708" t="str">
            <v>簡振芳</v>
          </cell>
          <cell r="F7708" t="str">
            <v>K240101R1</v>
          </cell>
          <cell r="J7708">
            <v>45527</v>
          </cell>
          <cell r="K7708">
            <v>8</v>
          </cell>
        </row>
        <row r="7709">
          <cell r="C7709" t="str">
            <v>簡振芳</v>
          </cell>
          <cell r="F7709" t="str">
            <v>K240101R1</v>
          </cell>
          <cell r="J7709">
            <v>45530</v>
          </cell>
          <cell r="K7709">
            <v>8</v>
          </cell>
        </row>
        <row r="7710">
          <cell r="C7710" t="str">
            <v>簡振芳</v>
          </cell>
          <cell r="F7710" t="str">
            <v>K240101R1</v>
          </cell>
          <cell r="J7710">
            <v>45531</v>
          </cell>
          <cell r="K7710">
            <v>8</v>
          </cell>
        </row>
        <row r="7711">
          <cell r="C7711" t="str">
            <v>簡振芳</v>
          </cell>
          <cell r="F7711" t="str">
            <v>M240702R1</v>
          </cell>
          <cell r="J7711">
            <v>45532</v>
          </cell>
          <cell r="K7711">
            <v>8</v>
          </cell>
        </row>
        <row r="7712">
          <cell r="C7712" t="str">
            <v>簡振芳</v>
          </cell>
          <cell r="F7712" t="str">
            <v>M240702R1</v>
          </cell>
          <cell r="J7712">
            <v>45533</v>
          </cell>
          <cell r="K7712">
            <v>8</v>
          </cell>
        </row>
        <row r="7713">
          <cell r="C7713" t="str">
            <v>簡振芳</v>
          </cell>
          <cell r="F7713" t="str">
            <v>M240702R1</v>
          </cell>
          <cell r="J7713">
            <v>45534</v>
          </cell>
          <cell r="K7713">
            <v>8</v>
          </cell>
        </row>
        <row r="7714">
          <cell r="C7714" t="str">
            <v>簡振芳</v>
          </cell>
          <cell r="F7714" t="str">
            <v>K240101R1</v>
          </cell>
          <cell r="J7714">
            <v>45537</v>
          </cell>
          <cell r="K7714">
            <v>8</v>
          </cell>
        </row>
        <row r="7715">
          <cell r="C7715" t="str">
            <v>簡振芳</v>
          </cell>
          <cell r="F7715" t="str">
            <v>K240101R1</v>
          </cell>
          <cell r="J7715">
            <v>45538</v>
          </cell>
          <cell r="K7715">
            <v>8</v>
          </cell>
        </row>
        <row r="7716">
          <cell r="C7716" t="str">
            <v>簡振芳</v>
          </cell>
          <cell r="J7716">
            <v>45539</v>
          </cell>
          <cell r="K7716">
            <v>8</v>
          </cell>
        </row>
        <row r="7717">
          <cell r="C7717" t="str">
            <v>簡振芳</v>
          </cell>
          <cell r="F7717" t="str">
            <v>K240101R1</v>
          </cell>
          <cell r="J7717">
            <v>45540</v>
          </cell>
          <cell r="K7717">
            <v>8</v>
          </cell>
        </row>
        <row r="7718">
          <cell r="C7718" t="str">
            <v>簡振芳</v>
          </cell>
          <cell r="F7718" t="str">
            <v>K240101R1</v>
          </cell>
          <cell r="J7718">
            <v>45541</v>
          </cell>
          <cell r="K7718">
            <v>8</v>
          </cell>
        </row>
        <row r="7719">
          <cell r="C7719" t="str">
            <v>簡振芳</v>
          </cell>
          <cell r="J7719">
            <v>45544</v>
          </cell>
          <cell r="K7719">
            <v>8</v>
          </cell>
        </row>
        <row r="7720">
          <cell r="C7720" t="str">
            <v>簡振芳</v>
          </cell>
          <cell r="J7720">
            <v>45545</v>
          </cell>
          <cell r="K7720">
            <v>8</v>
          </cell>
        </row>
        <row r="7721">
          <cell r="C7721" t="str">
            <v>簡振芳</v>
          </cell>
          <cell r="F7721" t="str">
            <v>K240101R1</v>
          </cell>
          <cell r="J7721">
            <v>45546</v>
          </cell>
          <cell r="K7721">
            <v>8</v>
          </cell>
        </row>
        <row r="7722">
          <cell r="C7722" t="str">
            <v>簡振芳</v>
          </cell>
          <cell r="F7722" t="str">
            <v>K240101R1</v>
          </cell>
          <cell r="J7722">
            <v>45547</v>
          </cell>
          <cell r="K7722">
            <v>8</v>
          </cell>
        </row>
        <row r="7723">
          <cell r="C7723" t="str">
            <v>簡振芳</v>
          </cell>
          <cell r="F7723" t="str">
            <v>M240702R1</v>
          </cell>
          <cell r="J7723">
            <v>45548</v>
          </cell>
          <cell r="K7723">
            <v>8</v>
          </cell>
        </row>
        <row r="7724">
          <cell r="C7724" t="str">
            <v>簡振芳</v>
          </cell>
          <cell r="J7724">
            <v>45551</v>
          </cell>
          <cell r="K7724">
            <v>8</v>
          </cell>
        </row>
        <row r="7725">
          <cell r="C7725" t="str">
            <v>簡振芳</v>
          </cell>
          <cell r="J7725">
            <v>45553</v>
          </cell>
          <cell r="K7725">
            <v>8</v>
          </cell>
        </row>
        <row r="7726">
          <cell r="C7726" t="str">
            <v>簡振芳</v>
          </cell>
          <cell r="J7726">
            <v>45554</v>
          </cell>
          <cell r="K7726">
            <v>8</v>
          </cell>
        </row>
        <row r="7727">
          <cell r="C7727" t="str">
            <v>簡振芳</v>
          </cell>
          <cell r="J7727">
            <v>45555</v>
          </cell>
          <cell r="K7727">
            <v>8</v>
          </cell>
        </row>
        <row r="7728">
          <cell r="C7728" t="str">
            <v>簡振芳</v>
          </cell>
          <cell r="J7728">
            <v>45558</v>
          </cell>
          <cell r="K7728">
            <v>8</v>
          </cell>
        </row>
        <row r="7729">
          <cell r="C7729" t="str">
            <v>簡振芳</v>
          </cell>
          <cell r="J7729">
            <v>45559</v>
          </cell>
          <cell r="K7729">
            <v>8</v>
          </cell>
        </row>
        <row r="7730">
          <cell r="C7730" t="str">
            <v>簡振芳</v>
          </cell>
          <cell r="J7730">
            <v>45560</v>
          </cell>
          <cell r="K7730">
            <v>8</v>
          </cell>
        </row>
        <row r="7731">
          <cell r="C7731" t="str">
            <v>簡振芳</v>
          </cell>
          <cell r="J7731">
            <v>45561</v>
          </cell>
          <cell r="K7731">
            <v>8</v>
          </cell>
        </row>
        <row r="7732">
          <cell r="C7732" t="str">
            <v>簡振芳</v>
          </cell>
          <cell r="J7732">
            <v>45562</v>
          </cell>
          <cell r="K7732">
            <v>8</v>
          </cell>
        </row>
        <row r="7733">
          <cell r="C7733" t="str">
            <v>簡振芳</v>
          </cell>
          <cell r="J7733">
            <v>45565</v>
          </cell>
          <cell r="K7733">
            <v>8</v>
          </cell>
        </row>
        <row r="7734">
          <cell r="C7734" t="str">
            <v>簡振芳</v>
          </cell>
          <cell r="J7734">
            <v>45566</v>
          </cell>
          <cell r="K7734">
            <v>8</v>
          </cell>
        </row>
        <row r="7735">
          <cell r="C7735" t="str">
            <v>簡振芳</v>
          </cell>
          <cell r="F7735" t="str">
            <v>M240302R1</v>
          </cell>
          <cell r="J7735">
            <v>45569</v>
          </cell>
          <cell r="K7735">
            <v>8</v>
          </cell>
        </row>
        <row r="7736">
          <cell r="C7736" t="str">
            <v>簡振芳</v>
          </cell>
          <cell r="F7736" t="str">
            <v>M240302R1</v>
          </cell>
          <cell r="J7736">
            <v>45572</v>
          </cell>
          <cell r="K7736">
            <v>8</v>
          </cell>
        </row>
        <row r="7737">
          <cell r="C7737" t="str">
            <v>簡振芳</v>
          </cell>
          <cell r="F7737" t="str">
            <v>M240302R1</v>
          </cell>
          <cell r="J7737">
            <v>45573</v>
          </cell>
          <cell r="K7737">
            <v>8</v>
          </cell>
        </row>
        <row r="7738">
          <cell r="C7738" t="str">
            <v>簡振芳</v>
          </cell>
          <cell r="F7738" t="str">
            <v>M240302R1</v>
          </cell>
          <cell r="J7738">
            <v>45574</v>
          </cell>
          <cell r="K7738">
            <v>8</v>
          </cell>
        </row>
        <row r="7739">
          <cell r="C7739" t="str">
            <v>簡振芳</v>
          </cell>
          <cell r="J7739">
            <v>45576</v>
          </cell>
          <cell r="K7739">
            <v>8</v>
          </cell>
        </row>
        <row r="7740">
          <cell r="C7740" t="str">
            <v>簡振芳</v>
          </cell>
          <cell r="J7740">
            <v>45579</v>
          </cell>
          <cell r="K7740">
            <v>8</v>
          </cell>
        </row>
        <row r="7741">
          <cell r="C7741" t="str">
            <v>簡振芳</v>
          </cell>
          <cell r="F7741" t="str">
            <v>M240702R1</v>
          </cell>
          <cell r="J7741">
            <v>45580</v>
          </cell>
          <cell r="K7741">
            <v>8</v>
          </cell>
        </row>
        <row r="7742">
          <cell r="C7742" t="str">
            <v>簡振芳</v>
          </cell>
          <cell r="F7742" t="str">
            <v>M240702R1</v>
          </cell>
          <cell r="J7742">
            <v>45581</v>
          </cell>
          <cell r="K7742">
            <v>8</v>
          </cell>
        </row>
        <row r="7743">
          <cell r="C7743" t="str">
            <v>簡振芳</v>
          </cell>
          <cell r="F7743" t="str">
            <v>M240702R1</v>
          </cell>
          <cell r="J7743">
            <v>45582</v>
          </cell>
          <cell r="K7743">
            <v>8</v>
          </cell>
        </row>
        <row r="7744">
          <cell r="C7744" t="str">
            <v>簡振芳</v>
          </cell>
          <cell r="F7744" t="str">
            <v>M240702R1</v>
          </cell>
          <cell r="J7744">
            <v>45583</v>
          </cell>
          <cell r="K7744">
            <v>8</v>
          </cell>
        </row>
        <row r="7745">
          <cell r="C7745" t="str">
            <v>簡振芳</v>
          </cell>
          <cell r="F7745" t="str">
            <v>M240702R1</v>
          </cell>
          <cell r="J7745">
            <v>45586</v>
          </cell>
          <cell r="K7745">
            <v>8</v>
          </cell>
        </row>
        <row r="7746">
          <cell r="C7746" t="str">
            <v>簡振芳</v>
          </cell>
          <cell r="F7746" t="str">
            <v>M240702R1</v>
          </cell>
          <cell r="J7746">
            <v>45587</v>
          </cell>
          <cell r="K7746">
            <v>8</v>
          </cell>
        </row>
        <row r="7747">
          <cell r="C7747" t="str">
            <v>簡振芳</v>
          </cell>
          <cell r="F7747" t="str">
            <v>E241002I1</v>
          </cell>
          <cell r="J7747">
            <v>45588</v>
          </cell>
          <cell r="K7747">
            <v>8</v>
          </cell>
        </row>
        <row r="7748">
          <cell r="C7748" t="str">
            <v>簡振芳</v>
          </cell>
          <cell r="F7748" t="str">
            <v>M240702R1</v>
          </cell>
          <cell r="J7748">
            <v>45589</v>
          </cell>
          <cell r="K7748">
            <v>8</v>
          </cell>
        </row>
        <row r="7749">
          <cell r="C7749" t="str">
            <v>簡振芳</v>
          </cell>
          <cell r="F7749" t="str">
            <v>M240702R1</v>
          </cell>
          <cell r="J7749">
            <v>45590</v>
          </cell>
          <cell r="K7749">
            <v>8</v>
          </cell>
        </row>
        <row r="7750">
          <cell r="C7750" t="str">
            <v>簡振芳</v>
          </cell>
          <cell r="F7750" t="str">
            <v>M240702R1</v>
          </cell>
          <cell r="J7750">
            <v>45593</v>
          </cell>
          <cell r="K7750">
            <v>8</v>
          </cell>
        </row>
        <row r="7751">
          <cell r="C7751" t="str">
            <v>簡振芳</v>
          </cell>
          <cell r="F7751" t="str">
            <v>E241002I1</v>
          </cell>
          <cell r="J7751">
            <v>45594</v>
          </cell>
          <cell r="K7751">
            <v>8</v>
          </cell>
        </row>
        <row r="7752">
          <cell r="C7752" t="str">
            <v>簡振芳</v>
          </cell>
          <cell r="F7752" t="str">
            <v>M240702R1</v>
          </cell>
          <cell r="J7752">
            <v>45595</v>
          </cell>
          <cell r="K7752">
            <v>8</v>
          </cell>
        </row>
        <row r="7753">
          <cell r="C7753" t="str">
            <v>簡振芳</v>
          </cell>
          <cell r="F7753" t="str">
            <v>E241002I1</v>
          </cell>
          <cell r="J7753">
            <v>45597</v>
          </cell>
          <cell r="K7753">
            <v>8</v>
          </cell>
        </row>
        <row r="7754">
          <cell r="C7754" t="str">
            <v>簡振芳</v>
          </cell>
          <cell r="F7754" t="str">
            <v>E241002I1</v>
          </cell>
          <cell r="J7754">
            <v>45600</v>
          </cell>
          <cell r="K7754">
            <v>8</v>
          </cell>
        </row>
        <row r="7755">
          <cell r="C7755" t="str">
            <v>簡振芳</v>
          </cell>
          <cell r="F7755" t="str">
            <v>M240702R1</v>
          </cell>
          <cell r="J7755">
            <v>45601</v>
          </cell>
          <cell r="K7755">
            <v>8</v>
          </cell>
        </row>
        <row r="7756">
          <cell r="C7756" t="str">
            <v>簡振芳</v>
          </cell>
          <cell r="F7756" t="str">
            <v>M240702R1</v>
          </cell>
          <cell r="J7756">
            <v>45602</v>
          </cell>
          <cell r="K7756">
            <v>8</v>
          </cell>
        </row>
        <row r="7757">
          <cell r="C7757" t="str">
            <v>簡振芳</v>
          </cell>
          <cell r="F7757" t="str">
            <v>M240702R1</v>
          </cell>
          <cell r="J7757">
            <v>45604</v>
          </cell>
          <cell r="K7757">
            <v>8</v>
          </cell>
        </row>
        <row r="7758">
          <cell r="C7758" t="str">
            <v>簡振芳</v>
          </cell>
          <cell r="F7758" t="str">
            <v>M240702R1</v>
          </cell>
          <cell r="J7758">
            <v>45607</v>
          </cell>
          <cell r="K7758">
            <v>8</v>
          </cell>
        </row>
        <row r="7759">
          <cell r="C7759" t="str">
            <v>簡振芳</v>
          </cell>
          <cell r="F7759" t="str">
            <v>M240702R1</v>
          </cell>
          <cell r="J7759">
            <v>45608</v>
          </cell>
          <cell r="K7759">
            <v>8</v>
          </cell>
        </row>
        <row r="7760">
          <cell r="C7760" t="str">
            <v>簡振芳</v>
          </cell>
          <cell r="F7760" t="str">
            <v>M240702R1</v>
          </cell>
          <cell r="J7760">
            <v>45609</v>
          </cell>
          <cell r="K7760">
            <v>8</v>
          </cell>
        </row>
        <row r="7761">
          <cell r="C7761" t="str">
            <v>簡振芳</v>
          </cell>
          <cell r="F7761" t="str">
            <v>M240702R1</v>
          </cell>
          <cell r="J7761">
            <v>45610</v>
          </cell>
          <cell r="K7761">
            <v>8</v>
          </cell>
        </row>
        <row r="7762">
          <cell r="C7762" t="str">
            <v>簡振芳</v>
          </cell>
          <cell r="F7762" t="str">
            <v>M240702R1</v>
          </cell>
          <cell r="J7762">
            <v>45611</v>
          </cell>
          <cell r="K7762">
            <v>8</v>
          </cell>
        </row>
        <row r="7763">
          <cell r="C7763" t="str">
            <v>簡振芳</v>
          </cell>
          <cell r="F7763" t="str">
            <v>M240702R1</v>
          </cell>
          <cell r="J7763">
            <v>45614</v>
          </cell>
          <cell r="K7763">
            <v>8</v>
          </cell>
        </row>
        <row r="7764">
          <cell r="C7764" t="str">
            <v>簡振芳</v>
          </cell>
          <cell r="F7764" t="str">
            <v>M240702R1</v>
          </cell>
          <cell r="J7764">
            <v>45615</v>
          </cell>
          <cell r="K7764">
            <v>8</v>
          </cell>
        </row>
        <row r="7765">
          <cell r="C7765" t="str">
            <v>簡振芳</v>
          </cell>
          <cell r="J7765">
            <v>45616</v>
          </cell>
          <cell r="K7765">
            <v>8</v>
          </cell>
        </row>
        <row r="7766">
          <cell r="C7766" t="str">
            <v>簡振芳</v>
          </cell>
          <cell r="F7766" t="str">
            <v>M240702R1</v>
          </cell>
          <cell r="J7766">
            <v>45617</v>
          </cell>
          <cell r="K7766">
            <v>8</v>
          </cell>
        </row>
        <row r="7767">
          <cell r="C7767" t="str">
            <v>簡振芳</v>
          </cell>
          <cell r="F7767" t="str">
            <v>M240702R1</v>
          </cell>
          <cell r="J7767">
            <v>45618</v>
          </cell>
          <cell r="K7767">
            <v>8</v>
          </cell>
        </row>
        <row r="7768">
          <cell r="C7768" t="str">
            <v>簡振芳</v>
          </cell>
          <cell r="F7768" t="str">
            <v>M240702R1</v>
          </cell>
          <cell r="J7768">
            <v>45621</v>
          </cell>
          <cell r="K7768">
            <v>8</v>
          </cell>
        </row>
        <row r="7769">
          <cell r="C7769" t="str">
            <v>簡振芳</v>
          </cell>
          <cell r="F7769" t="str">
            <v>M240702R1</v>
          </cell>
          <cell r="J7769">
            <v>45622</v>
          </cell>
          <cell r="K7769">
            <v>8</v>
          </cell>
        </row>
        <row r="7770">
          <cell r="C7770" t="str">
            <v>簡振芳</v>
          </cell>
          <cell r="F7770" t="str">
            <v>M240702R1</v>
          </cell>
          <cell r="J7770">
            <v>45623</v>
          </cell>
          <cell r="K7770">
            <v>8</v>
          </cell>
        </row>
        <row r="7771">
          <cell r="C7771" t="str">
            <v>簡振芳</v>
          </cell>
          <cell r="F7771" t="str">
            <v>M240702R1</v>
          </cell>
          <cell r="J7771">
            <v>45624</v>
          </cell>
          <cell r="K7771">
            <v>8</v>
          </cell>
        </row>
        <row r="7772">
          <cell r="C7772" t="str">
            <v>簡振芳</v>
          </cell>
          <cell r="J7772">
            <v>45625</v>
          </cell>
          <cell r="K7772">
            <v>8</v>
          </cell>
        </row>
        <row r="7773">
          <cell r="C7773" t="str">
            <v>簡振芳</v>
          </cell>
          <cell r="F7773" t="str">
            <v>M240702R1</v>
          </cell>
          <cell r="J7773">
            <v>45628</v>
          </cell>
          <cell r="K7773">
            <v>8</v>
          </cell>
        </row>
        <row r="7774">
          <cell r="C7774" t="str">
            <v>簡振芳</v>
          </cell>
          <cell r="J7774">
            <v>45629</v>
          </cell>
          <cell r="K7774">
            <v>8</v>
          </cell>
        </row>
        <row r="7775">
          <cell r="C7775" t="str">
            <v>簡振芳</v>
          </cell>
          <cell r="J7775">
            <v>45630</v>
          </cell>
          <cell r="K7775">
            <v>8</v>
          </cell>
        </row>
        <row r="7776">
          <cell r="C7776" t="str">
            <v>簡振芳</v>
          </cell>
          <cell r="F7776" t="str">
            <v>K240101R1</v>
          </cell>
          <cell r="J7776">
            <v>45631</v>
          </cell>
          <cell r="K7776">
            <v>8</v>
          </cell>
        </row>
        <row r="7777">
          <cell r="C7777" t="str">
            <v>簡振芳</v>
          </cell>
          <cell r="J7777">
            <v>45632</v>
          </cell>
          <cell r="K7777">
            <v>8</v>
          </cell>
        </row>
        <row r="7778">
          <cell r="C7778" t="str">
            <v>簡振芳</v>
          </cell>
          <cell r="J7778">
            <v>45635</v>
          </cell>
          <cell r="K7778">
            <v>8</v>
          </cell>
        </row>
        <row r="7779">
          <cell r="C7779" t="str">
            <v>簡振芳</v>
          </cell>
          <cell r="F7779" t="str">
            <v>M240302R1</v>
          </cell>
          <cell r="J7779">
            <v>45636</v>
          </cell>
          <cell r="K7779">
            <v>8</v>
          </cell>
        </row>
        <row r="7780">
          <cell r="C7780" t="str">
            <v>簡振芳</v>
          </cell>
          <cell r="F7780" t="str">
            <v>M240702R1</v>
          </cell>
          <cell r="J7780">
            <v>45637</v>
          </cell>
          <cell r="K7780">
            <v>8</v>
          </cell>
        </row>
        <row r="7781">
          <cell r="C7781" t="str">
            <v>簡振芳</v>
          </cell>
          <cell r="F7781" t="str">
            <v>M240702R1</v>
          </cell>
          <cell r="J7781">
            <v>45638</v>
          </cell>
          <cell r="K7781">
            <v>8</v>
          </cell>
        </row>
        <row r="7782">
          <cell r="C7782" t="str">
            <v>簡振芳</v>
          </cell>
          <cell r="J7782">
            <v>45639</v>
          </cell>
          <cell r="K7782">
            <v>8</v>
          </cell>
        </row>
        <row r="7783">
          <cell r="C7783" t="str">
            <v>簡振芳</v>
          </cell>
          <cell r="F7783" t="str">
            <v>M240702R1</v>
          </cell>
          <cell r="J7783">
            <v>45642</v>
          </cell>
          <cell r="K7783">
            <v>8</v>
          </cell>
        </row>
        <row r="7784">
          <cell r="C7784" t="str">
            <v>簡振芳</v>
          </cell>
          <cell r="J7784">
            <v>45643</v>
          </cell>
          <cell r="K7784">
            <v>8</v>
          </cell>
        </row>
        <row r="7785">
          <cell r="C7785" t="str">
            <v>簡振芳</v>
          </cell>
          <cell r="F7785" t="str">
            <v>M240702R1</v>
          </cell>
          <cell r="J7785">
            <v>45644</v>
          </cell>
          <cell r="K7785">
            <v>8</v>
          </cell>
        </row>
        <row r="7786">
          <cell r="C7786" t="str">
            <v>簡振芳</v>
          </cell>
          <cell r="F7786" t="str">
            <v>M240702R1</v>
          </cell>
          <cell r="J7786">
            <v>45645</v>
          </cell>
          <cell r="K7786">
            <v>8</v>
          </cell>
        </row>
        <row r="7787">
          <cell r="C7787" t="str">
            <v>簡振芳</v>
          </cell>
          <cell r="J7787">
            <v>45646</v>
          </cell>
          <cell r="K7787">
            <v>8</v>
          </cell>
        </row>
        <row r="7788">
          <cell r="C7788" t="str">
            <v>簡振芳</v>
          </cell>
          <cell r="F7788" t="str">
            <v>M240702R1</v>
          </cell>
          <cell r="J7788">
            <v>45649</v>
          </cell>
          <cell r="K7788">
            <v>8</v>
          </cell>
        </row>
        <row r="7789">
          <cell r="C7789" t="str">
            <v>簡振芳</v>
          </cell>
          <cell r="F7789" t="str">
            <v>E241002I1</v>
          </cell>
          <cell r="J7789">
            <v>45650</v>
          </cell>
          <cell r="K7789">
            <v>8</v>
          </cell>
        </row>
        <row r="7790">
          <cell r="C7790" t="str">
            <v>簡振芳</v>
          </cell>
          <cell r="F7790" t="str">
            <v>E241002I1</v>
          </cell>
          <cell r="J7790">
            <v>45651</v>
          </cell>
          <cell r="K7790">
            <v>8</v>
          </cell>
        </row>
        <row r="7791">
          <cell r="C7791" t="str">
            <v>簡振芳</v>
          </cell>
          <cell r="F7791" t="str">
            <v>E241002I1</v>
          </cell>
          <cell r="J7791">
            <v>45652</v>
          </cell>
          <cell r="K7791">
            <v>8</v>
          </cell>
        </row>
        <row r="7792">
          <cell r="C7792" t="str">
            <v>簡振芳</v>
          </cell>
          <cell r="F7792" t="str">
            <v>M240702R1</v>
          </cell>
          <cell r="J7792">
            <v>45653</v>
          </cell>
          <cell r="K7792">
            <v>8</v>
          </cell>
        </row>
        <row r="7793">
          <cell r="C7793" t="str">
            <v>簡振芳</v>
          </cell>
          <cell r="F7793" t="str">
            <v>M240702R1</v>
          </cell>
          <cell r="J7793">
            <v>45656</v>
          </cell>
          <cell r="K7793">
            <v>8</v>
          </cell>
        </row>
        <row r="7794">
          <cell r="C7794" t="str">
            <v>簡振芳</v>
          </cell>
          <cell r="J7794">
            <v>45657</v>
          </cell>
          <cell r="K7794">
            <v>8</v>
          </cell>
        </row>
        <row r="7795">
          <cell r="C7795" t="str">
            <v>簡振芳</v>
          </cell>
          <cell r="F7795" t="str">
            <v>M240702R1</v>
          </cell>
          <cell r="J7795">
            <v>45659</v>
          </cell>
          <cell r="K7795">
            <v>8</v>
          </cell>
        </row>
        <row r="7796">
          <cell r="C7796" t="str">
            <v>簡振芳</v>
          </cell>
          <cell r="F7796" t="str">
            <v>M240702R1</v>
          </cell>
          <cell r="J7796">
            <v>45660</v>
          </cell>
          <cell r="K7796">
            <v>8</v>
          </cell>
        </row>
        <row r="7797">
          <cell r="C7797" t="str">
            <v>簡振芳</v>
          </cell>
          <cell r="F7797" t="str">
            <v>E241002I1</v>
          </cell>
          <cell r="J7797">
            <v>45663</v>
          </cell>
          <cell r="K7797">
            <v>8</v>
          </cell>
        </row>
        <row r="7798">
          <cell r="C7798" t="str">
            <v>簡振芳</v>
          </cell>
          <cell r="F7798" t="str">
            <v>E241002I1</v>
          </cell>
          <cell r="J7798">
            <v>45664</v>
          </cell>
          <cell r="K7798">
            <v>8</v>
          </cell>
        </row>
        <row r="7799">
          <cell r="C7799" t="str">
            <v>簡振芳</v>
          </cell>
          <cell r="F7799" t="str">
            <v>E241002I1</v>
          </cell>
          <cell r="J7799">
            <v>45665</v>
          </cell>
          <cell r="K7799">
            <v>8</v>
          </cell>
        </row>
        <row r="7800">
          <cell r="C7800" t="str">
            <v>簡振芳</v>
          </cell>
          <cell r="F7800" t="str">
            <v>M240302R1</v>
          </cell>
          <cell r="J7800">
            <v>45666</v>
          </cell>
          <cell r="K7800">
            <v>8</v>
          </cell>
        </row>
        <row r="7801">
          <cell r="C7801" t="str">
            <v>簡振芳</v>
          </cell>
          <cell r="F7801" t="str">
            <v>M240302R1</v>
          </cell>
          <cell r="J7801">
            <v>45667</v>
          </cell>
          <cell r="K7801">
            <v>6</v>
          </cell>
        </row>
        <row r="7802">
          <cell r="C7802" t="str">
            <v>簡振芳</v>
          </cell>
          <cell r="F7802" t="str">
            <v>M240702R1</v>
          </cell>
          <cell r="J7802">
            <v>45670</v>
          </cell>
          <cell r="K7802">
            <v>8</v>
          </cell>
        </row>
        <row r="7803">
          <cell r="C7803" t="str">
            <v>簡振芳</v>
          </cell>
          <cell r="F7803" t="str">
            <v>M240702R1</v>
          </cell>
          <cell r="J7803">
            <v>45671</v>
          </cell>
          <cell r="K7803">
            <v>8</v>
          </cell>
        </row>
        <row r="7804">
          <cell r="C7804" t="str">
            <v>簡振芳</v>
          </cell>
          <cell r="F7804" t="str">
            <v>M240702R1</v>
          </cell>
          <cell r="J7804">
            <v>45672</v>
          </cell>
          <cell r="K7804">
            <v>8</v>
          </cell>
        </row>
        <row r="7805">
          <cell r="C7805" t="str">
            <v>簡振芳</v>
          </cell>
          <cell r="F7805" t="str">
            <v>E241002I1</v>
          </cell>
          <cell r="J7805">
            <v>45673</v>
          </cell>
          <cell r="K7805">
            <v>8</v>
          </cell>
        </row>
        <row r="7806">
          <cell r="C7806" t="str">
            <v>簡振芳</v>
          </cell>
          <cell r="F7806" t="str">
            <v>E241002I1</v>
          </cell>
          <cell r="J7806">
            <v>45674</v>
          </cell>
          <cell r="K7806">
            <v>8</v>
          </cell>
        </row>
        <row r="7807">
          <cell r="C7807" t="str">
            <v>簡振芳</v>
          </cell>
          <cell r="F7807" t="str">
            <v>E241002I1</v>
          </cell>
          <cell r="J7807">
            <v>45677</v>
          </cell>
          <cell r="K7807">
            <v>8</v>
          </cell>
        </row>
        <row r="7808">
          <cell r="C7808" t="str">
            <v>簡振芳</v>
          </cell>
          <cell r="F7808" t="str">
            <v>E241002I1</v>
          </cell>
          <cell r="J7808">
            <v>45678</v>
          </cell>
          <cell r="K7808">
            <v>8</v>
          </cell>
        </row>
        <row r="7809">
          <cell r="C7809" t="str">
            <v>簡振芳</v>
          </cell>
          <cell r="J7809">
            <v>45679</v>
          </cell>
          <cell r="K7809">
            <v>8</v>
          </cell>
        </row>
        <row r="7810">
          <cell r="C7810" t="str">
            <v>簡振芳</v>
          </cell>
          <cell r="F7810" t="str">
            <v>E241002I1</v>
          </cell>
          <cell r="J7810">
            <v>45680</v>
          </cell>
          <cell r="K7810">
            <v>8</v>
          </cell>
        </row>
        <row r="7811">
          <cell r="C7811" t="str">
            <v>簡振芳</v>
          </cell>
          <cell r="J7811">
            <v>45681</v>
          </cell>
          <cell r="K7811">
            <v>8</v>
          </cell>
        </row>
        <row r="7812">
          <cell r="C7812" t="str">
            <v>簡振芳</v>
          </cell>
          <cell r="F7812" t="str">
            <v>E241002I1</v>
          </cell>
          <cell r="J7812">
            <v>45691</v>
          </cell>
          <cell r="K7812">
            <v>8</v>
          </cell>
        </row>
        <row r="7813">
          <cell r="C7813" t="str">
            <v>簡振芳</v>
          </cell>
          <cell r="F7813" t="str">
            <v>M240702R1</v>
          </cell>
          <cell r="J7813">
            <v>45692</v>
          </cell>
          <cell r="K7813">
            <v>8</v>
          </cell>
        </row>
        <row r="7814">
          <cell r="C7814" t="str">
            <v>簡振芳</v>
          </cell>
          <cell r="F7814" t="str">
            <v>M240702R1</v>
          </cell>
          <cell r="J7814">
            <v>45693</v>
          </cell>
          <cell r="K7814">
            <v>8</v>
          </cell>
        </row>
        <row r="7815">
          <cell r="C7815" t="str">
            <v>簡振芳</v>
          </cell>
          <cell r="F7815" t="str">
            <v>M240702R1</v>
          </cell>
          <cell r="J7815">
            <v>45694</v>
          </cell>
          <cell r="K7815">
            <v>8</v>
          </cell>
        </row>
        <row r="7816">
          <cell r="C7816" t="str">
            <v>簡振芳</v>
          </cell>
          <cell r="F7816" t="str">
            <v>M240702R1</v>
          </cell>
          <cell r="J7816">
            <v>45695</v>
          </cell>
          <cell r="K7816">
            <v>8</v>
          </cell>
        </row>
        <row r="7817">
          <cell r="C7817" t="str">
            <v>簡振芳</v>
          </cell>
          <cell r="J7817">
            <v>45696</v>
          </cell>
          <cell r="K7817">
            <v>8</v>
          </cell>
        </row>
        <row r="7818">
          <cell r="C7818" t="str">
            <v>簡振芳</v>
          </cell>
          <cell r="F7818" t="str">
            <v>M240702R1</v>
          </cell>
          <cell r="J7818">
            <v>45698</v>
          </cell>
          <cell r="K7818">
            <v>8</v>
          </cell>
        </row>
        <row r="7819">
          <cell r="C7819" t="str">
            <v>簡振芳</v>
          </cell>
          <cell r="F7819" t="str">
            <v>M240702R1</v>
          </cell>
          <cell r="J7819">
            <v>45699</v>
          </cell>
          <cell r="K7819">
            <v>8</v>
          </cell>
        </row>
        <row r="7820">
          <cell r="C7820" t="str">
            <v>簡振芳</v>
          </cell>
          <cell r="F7820" t="str">
            <v>M240702R1</v>
          </cell>
          <cell r="J7820">
            <v>45700</v>
          </cell>
          <cell r="K7820">
            <v>8</v>
          </cell>
        </row>
        <row r="7821">
          <cell r="C7821" t="str">
            <v>簡振芳</v>
          </cell>
          <cell r="F7821" t="str">
            <v>M240702R1</v>
          </cell>
          <cell r="J7821">
            <v>45701</v>
          </cell>
          <cell r="K7821">
            <v>8</v>
          </cell>
        </row>
        <row r="7822">
          <cell r="C7822" t="str">
            <v>簡振芳</v>
          </cell>
          <cell r="J7822">
            <v>45702</v>
          </cell>
          <cell r="K7822">
            <v>8</v>
          </cell>
        </row>
        <row r="7823">
          <cell r="C7823" t="str">
            <v>簡振芳</v>
          </cell>
          <cell r="J7823">
            <v>45705</v>
          </cell>
          <cell r="K7823">
            <v>8</v>
          </cell>
        </row>
        <row r="7824">
          <cell r="C7824" t="str">
            <v>簡振芳</v>
          </cell>
          <cell r="F7824" t="str">
            <v>M240702R1</v>
          </cell>
          <cell r="J7824">
            <v>45706</v>
          </cell>
          <cell r="K7824">
            <v>8</v>
          </cell>
        </row>
        <row r="7825">
          <cell r="C7825" t="str">
            <v>簡振芳</v>
          </cell>
          <cell r="F7825" t="str">
            <v>M240702R1</v>
          </cell>
          <cell r="J7825">
            <v>45707</v>
          </cell>
          <cell r="K7825">
            <v>8</v>
          </cell>
        </row>
        <row r="7826">
          <cell r="C7826" t="str">
            <v>簡振芳</v>
          </cell>
          <cell r="F7826" t="str">
            <v>M240702R1</v>
          </cell>
          <cell r="J7826">
            <v>45708</v>
          </cell>
          <cell r="K7826">
            <v>8</v>
          </cell>
        </row>
        <row r="7827">
          <cell r="C7827" t="str">
            <v>簡振芳</v>
          </cell>
          <cell r="J7827">
            <v>45709</v>
          </cell>
          <cell r="K7827">
            <v>4</v>
          </cell>
        </row>
        <row r="7828">
          <cell r="C7828" t="str">
            <v>簡振芳</v>
          </cell>
          <cell r="F7828" t="str">
            <v>M240702R1</v>
          </cell>
          <cell r="J7828">
            <v>45709</v>
          </cell>
          <cell r="K7828">
            <v>4</v>
          </cell>
        </row>
        <row r="7829">
          <cell r="C7829" t="str">
            <v>簡振芳</v>
          </cell>
          <cell r="J7829">
            <v>45712</v>
          </cell>
          <cell r="K7829">
            <v>8</v>
          </cell>
        </row>
        <row r="7830">
          <cell r="C7830" t="str">
            <v>簡振芳</v>
          </cell>
          <cell r="F7830" t="str">
            <v>M240702R1</v>
          </cell>
          <cell r="J7830">
            <v>45713</v>
          </cell>
          <cell r="K7830">
            <v>8</v>
          </cell>
        </row>
        <row r="7831">
          <cell r="C7831" t="str">
            <v>簡振芳</v>
          </cell>
          <cell r="F7831" t="str">
            <v>M240702R1</v>
          </cell>
          <cell r="J7831">
            <v>45714</v>
          </cell>
          <cell r="K7831">
            <v>8</v>
          </cell>
        </row>
        <row r="7832">
          <cell r="C7832" t="str">
            <v>簡振芳</v>
          </cell>
          <cell r="F7832" t="str">
            <v>M240702R1</v>
          </cell>
          <cell r="J7832">
            <v>45715</v>
          </cell>
          <cell r="K7832">
            <v>8</v>
          </cell>
        </row>
        <row r="7833">
          <cell r="C7833" t="str">
            <v>簡振芳</v>
          </cell>
          <cell r="J7833">
            <v>45719</v>
          </cell>
          <cell r="K7833">
            <v>8</v>
          </cell>
        </row>
        <row r="7834">
          <cell r="C7834" t="str">
            <v>簡振芳</v>
          </cell>
          <cell r="F7834" t="str">
            <v>M240702R1</v>
          </cell>
          <cell r="J7834">
            <v>45720</v>
          </cell>
          <cell r="K7834">
            <v>8</v>
          </cell>
        </row>
        <row r="7835">
          <cell r="C7835" t="str">
            <v>簡振芳</v>
          </cell>
          <cell r="F7835" t="str">
            <v>M240702R1</v>
          </cell>
          <cell r="J7835">
            <v>45721</v>
          </cell>
          <cell r="K7835">
            <v>8</v>
          </cell>
        </row>
        <row r="7836">
          <cell r="C7836" t="str">
            <v>簡振芳</v>
          </cell>
          <cell r="J7836">
            <v>45722</v>
          </cell>
          <cell r="K7836">
            <v>8</v>
          </cell>
        </row>
        <row r="7837">
          <cell r="C7837" t="str">
            <v>簡振芳</v>
          </cell>
          <cell r="J7837">
            <v>45723</v>
          </cell>
          <cell r="K7837">
            <v>8</v>
          </cell>
        </row>
        <row r="7838">
          <cell r="C7838" t="str">
            <v>簡振芳</v>
          </cell>
          <cell r="J7838">
            <v>45726</v>
          </cell>
          <cell r="K7838">
            <v>8</v>
          </cell>
        </row>
        <row r="7839">
          <cell r="C7839" t="str">
            <v>簡振芳</v>
          </cell>
          <cell r="J7839">
            <v>45727</v>
          </cell>
          <cell r="K7839">
            <v>8</v>
          </cell>
        </row>
        <row r="7840">
          <cell r="C7840" t="str">
            <v>簡振芳</v>
          </cell>
          <cell r="J7840">
            <v>45728</v>
          </cell>
          <cell r="K7840">
            <v>8</v>
          </cell>
        </row>
        <row r="7841">
          <cell r="C7841" t="str">
            <v>簡振芳</v>
          </cell>
          <cell r="J7841">
            <v>45729</v>
          </cell>
          <cell r="K7841">
            <v>8</v>
          </cell>
        </row>
        <row r="7842">
          <cell r="C7842" t="str">
            <v>簡振芳</v>
          </cell>
          <cell r="J7842">
            <v>45730</v>
          </cell>
          <cell r="K7842">
            <v>4</v>
          </cell>
        </row>
        <row r="7843">
          <cell r="C7843" t="str">
            <v>簡振芳</v>
          </cell>
          <cell r="J7843">
            <v>45730</v>
          </cell>
          <cell r="K7843">
            <v>4</v>
          </cell>
        </row>
        <row r="7844">
          <cell r="C7844" t="str">
            <v>簡振芳</v>
          </cell>
          <cell r="J7844">
            <v>45733</v>
          </cell>
          <cell r="K7844">
            <v>8</v>
          </cell>
        </row>
        <row r="7845">
          <cell r="C7845" t="str">
            <v>簡振芳</v>
          </cell>
          <cell r="F7845" t="str">
            <v>M250301R1</v>
          </cell>
          <cell r="J7845">
            <v>45734</v>
          </cell>
          <cell r="K7845">
            <v>8</v>
          </cell>
        </row>
        <row r="7846">
          <cell r="C7846" t="str">
            <v>簡振芳</v>
          </cell>
          <cell r="F7846" t="str">
            <v>M250301R1</v>
          </cell>
          <cell r="J7846">
            <v>45735</v>
          </cell>
          <cell r="K7846">
            <v>8</v>
          </cell>
        </row>
        <row r="7847">
          <cell r="C7847" t="str">
            <v>簡振芳</v>
          </cell>
          <cell r="F7847" t="str">
            <v>M250301R1</v>
          </cell>
          <cell r="J7847">
            <v>45736</v>
          </cell>
          <cell r="K7847">
            <v>8</v>
          </cell>
        </row>
        <row r="7848">
          <cell r="C7848" t="str">
            <v>簡振芳</v>
          </cell>
          <cell r="F7848" t="str">
            <v>M250301R1</v>
          </cell>
          <cell r="J7848">
            <v>45737</v>
          </cell>
          <cell r="K7848">
            <v>8</v>
          </cell>
        </row>
        <row r="7849">
          <cell r="C7849" t="str">
            <v>簡振芳</v>
          </cell>
          <cell r="F7849" t="str">
            <v>M250301R1</v>
          </cell>
          <cell r="J7849">
            <v>45740</v>
          </cell>
          <cell r="K7849">
            <v>8</v>
          </cell>
        </row>
        <row r="7850">
          <cell r="C7850" t="str">
            <v>簡振芳</v>
          </cell>
          <cell r="F7850" t="str">
            <v>M250301R1</v>
          </cell>
          <cell r="J7850">
            <v>45741</v>
          </cell>
          <cell r="K7850">
            <v>8</v>
          </cell>
        </row>
        <row r="7851">
          <cell r="C7851" t="str">
            <v>簡振芳</v>
          </cell>
          <cell r="F7851" t="str">
            <v>M250301R1</v>
          </cell>
          <cell r="J7851">
            <v>45742</v>
          </cell>
          <cell r="K7851">
            <v>8</v>
          </cell>
        </row>
        <row r="7852">
          <cell r="C7852" t="str">
            <v>簡振芳</v>
          </cell>
          <cell r="F7852" t="str">
            <v>M250301R1</v>
          </cell>
          <cell r="J7852">
            <v>45743</v>
          </cell>
          <cell r="K7852">
            <v>8</v>
          </cell>
        </row>
        <row r="7853">
          <cell r="C7853" t="str">
            <v>簡振芳</v>
          </cell>
          <cell r="J7853">
            <v>45744</v>
          </cell>
          <cell r="K7853">
            <v>4</v>
          </cell>
        </row>
        <row r="7854">
          <cell r="C7854" t="str">
            <v>簡振芳</v>
          </cell>
          <cell r="F7854" t="str">
            <v>M250301R1</v>
          </cell>
          <cell r="J7854">
            <v>45744</v>
          </cell>
          <cell r="K7854">
            <v>4</v>
          </cell>
        </row>
        <row r="7855">
          <cell r="C7855" t="str">
            <v>簡振芳</v>
          </cell>
          <cell r="F7855" t="str">
            <v>M250301R1</v>
          </cell>
          <cell r="J7855">
            <v>45747</v>
          </cell>
          <cell r="K7855">
            <v>8</v>
          </cell>
        </row>
        <row r="7856">
          <cell r="C7856" t="str">
            <v>簡振芳</v>
          </cell>
          <cell r="F7856" t="str">
            <v>M250301R1</v>
          </cell>
          <cell r="J7856">
            <v>45748</v>
          </cell>
          <cell r="K7856">
            <v>8</v>
          </cell>
        </row>
        <row r="7857">
          <cell r="C7857" t="str">
            <v>簡振芳</v>
          </cell>
          <cell r="F7857" t="str">
            <v>M250301R1</v>
          </cell>
          <cell r="J7857">
            <v>45749</v>
          </cell>
          <cell r="K7857">
            <v>8</v>
          </cell>
        </row>
        <row r="7858">
          <cell r="C7858" t="str">
            <v>簡振芳</v>
          </cell>
          <cell r="F7858" t="str">
            <v>M250301R1</v>
          </cell>
          <cell r="J7858">
            <v>45754</v>
          </cell>
          <cell r="K7858">
            <v>8</v>
          </cell>
        </row>
        <row r="7859">
          <cell r="C7859" t="str">
            <v>簡振芳</v>
          </cell>
          <cell r="F7859" t="str">
            <v>M250301R1</v>
          </cell>
          <cell r="J7859">
            <v>45755</v>
          </cell>
          <cell r="K7859">
            <v>8</v>
          </cell>
        </row>
        <row r="7860">
          <cell r="C7860" t="str">
            <v>簡振芳</v>
          </cell>
          <cell r="F7860" t="str">
            <v>M250301R1</v>
          </cell>
          <cell r="J7860">
            <v>45756</v>
          </cell>
          <cell r="K7860">
            <v>8</v>
          </cell>
        </row>
        <row r="7861">
          <cell r="C7861" t="str">
            <v>簡振芳</v>
          </cell>
          <cell r="J7861">
            <v>45757</v>
          </cell>
          <cell r="K7861">
            <v>4</v>
          </cell>
        </row>
        <row r="7862">
          <cell r="C7862" t="str">
            <v>簡振芳</v>
          </cell>
          <cell r="F7862" t="str">
            <v>M250301R1</v>
          </cell>
          <cell r="J7862">
            <v>45757</v>
          </cell>
          <cell r="K7862">
            <v>4</v>
          </cell>
        </row>
        <row r="7863">
          <cell r="C7863" t="str">
            <v>簡振芳</v>
          </cell>
          <cell r="F7863" t="str">
            <v>M250301R1</v>
          </cell>
          <cell r="J7863">
            <v>45758</v>
          </cell>
          <cell r="K7863">
            <v>8</v>
          </cell>
        </row>
        <row r="7864">
          <cell r="C7864" t="str">
            <v>簡振芳</v>
          </cell>
          <cell r="F7864" t="str">
            <v>M250301R1</v>
          </cell>
          <cell r="J7864">
            <v>45761</v>
          </cell>
          <cell r="K7864">
            <v>8</v>
          </cell>
        </row>
        <row r="7865">
          <cell r="C7865" t="str">
            <v>簡振芳</v>
          </cell>
          <cell r="J7865">
            <v>45762</v>
          </cell>
          <cell r="K7865">
            <v>4</v>
          </cell>
        </row>
        <row r="7866">
          <cell r="C7866" t="str">
            <v>簡振芳</v>
          </cell>
          <cell r="J7866">
            <v>45762</v>
          </cell>
          <cell r="K7866">
            <v>4</v>
          </cell>
        </row>
        <row r="7867">
          <cell r="C7867" t="str">
            <v>簡振芳</v>
          </cell>
          <cell r="F7867" t="str">
            <v>M250301R1</v>
          </cell>
          <cell r="J7867">
            <v>45763</v>
          </cell>
          <cell r="K7867">
            <v>8</v>
          </cell>
        </row>
        <row r="7868">
          <cell r="C7868" t="str">
            <v>簡振芳</v>
          </cell>
          <cell r="F7868" t="str">
            <v>M250301R1</v>
          </cell>
          <cell r="J7868">
            <v>45764</v>
          </cell>
          <cell r="K7868">
            <v>8</v>
          </cell>
        </row>
        <row r="7869">
          <cell r="C7869" t="str">
            <v>簡振芳</v>
          </cell>
          <cell r="J7869">
            <v>45765</v>
          </cell>
          <cell r="K7869">
            <v>4</v>
          </cell>
        </row>
        <row r="7870">
          <cell r="C7870" t="str">
            <v>簡振芳</v>
          </cell>
          <cell r="F7870" t="str">
            <v>M250301R1</v>
          </cell>
          <cell r="J7870">
            <v>45765</v>
          </cell>
          <cell r="K7870">
            <v>4</v>
          </cell>
        </row>
        <row r="7871">
          <cell r="C7871" t="str">
            <v>簡振芳</v>
          </cell>
          <cell r="F7871" t="str">
            <v>M250301R1</v>
          </cell>
          <cell r="J7871">
            <v>45768</v>
          </cell>
          <cell r="K7871">
            <v>8</v>
          </cell>
        </row>
        <row r="7872">
          <cell r="C7872" t="str">
            <v>簡振芳</v>
          </cell>
          <cell r="F7872" t="str">
            <v>M250301R1</v>
          </cell>
          <cell r="J7872">
            <v>45769</v>
          </cell>
          <cell r="K7872">
            <v>8</v>
          </cell>
        </row>
        <row r="7873">
          <cell r="C7873" t="str">
            <v>簡振芳</v>
          </cell>
          <cell r="J7873">
            <v>45770</v>
          </cell>
          <cell r="K7873">
            <v>4</v>
          </cell>
        </row>
        <row r="7874">
          <cell r="C7874" t="str">
            <v>簡振芳</v>
          </cell>
          <cell r="J7874">
            <v>45770</v>
          </cell>
          <cell r="K7874">
            <v>4</v>
          </cell>
        </row>
        <row r="7875">
          <cell r="C7875" t="str">
            <v>簡振芳</v>
          </cell>
          <cell r="F7875" t="str">
            <v>M250301R1</v>
          </cell>
          <cell r="J7875">
            <v>45771</v>
          </cell>
          <cell r="K7875">
            <v>8</v>
          </cell>
        </row>
        <row r="7876">
          <cell r="C7876" t="str">
            <v>簡振芳</v>
          </cell>
          <cell r="F7876" t="str">
            <v>M250301R1</v>
          </cell>
          <cell r="J7876">
            <v>45772</v>
          </cell>
          <cell r="K7876">
            <v>8</v>
          </cell>
        </row>
        <row r="7877">
          <cell r="C7877" t="str">
            <v>簡振芳</v>
          </cell>
          <cell r="F7877" t="str">
            <v>M250301R1</v>
          </cell>
          <cell r="J7877">
            <v>45775</v>
          </cell>
          <cell r="K7877">
            <v>8</v>
          </cell>
        </row>
        <row r="7878">
          <cell r="C7878" t="str">
            <v>簡振芳</v>
          </cell>
          <cell r="F7878" t="str">
            <v>M250301R1</v>
          </cell>
          <cell r="J7878">
            <v>45776</v>
          </cell>
          <cell r="K7878">
            <v>8</v>
          </cell>
        </row>
        <row r="7879">
          <cell r="C7879" t="str">
            <v>簡振芳</v>
          </cell>
          <cell r="F7879" t="str">
            <v>M250301R1</v>
          </cell>
          <cell r="J7879">
            <v>45777</v>
          </cell>
          <cell r="K7879">
            <v>8</v>
          </cell>
        </row>
        <row r="7880">
          <cell r="C7880" t="str">
            <v>簡振芳</v>
          </cell>
          <cell r="J7880">
            <v>45779</v>
          </cell>
          <cell r="K7880">
            <v>8</v>
          </cell>
        </row>
        <row r="7881">
          <cell r="C7881" t="str">
            <v>簡振芳</v>
          </cell>
          <cell r="F7881" t="str">
            <v>M250301R1</v>
          </cell>
          <cell r="J7881">
            <v>45782</v>
          </cell>
          <cell r="K7881">
            <v>8</v>
          </cell>
        </row>
        <row r="7882">
          <cell r="C7882" t="str">
            <v>簡振芳</v>
          </cell>
          <cell r="F7882" t="str">
            <v>M250301R1</v>
          </cell>
          <cell r="J7882">
            <v>45783</v>
          </cell>
          <cell r="K7882">
            <v>8</v>
          </cell>
        </row>
        <row r="7883">
          <cell r="C7883" t="str">
            <v>簡振芳</v>
          </cell>
          <cell r="F7883" t="str">
            <v>M250301R1</v>
          </cell>
          <cell r="J7883">
            <v>45784</v>
          </cell>
          <cell r="K7883">
            <v>8</v>
          </cell>
        </row>
        <row r="7884">
          <cell r="C7884" t="str">
            <v>簡振芳</v>
          </cell>
          <cell r="J7884">
            <v>45785</v>
          </cell>
          <cell r="K7884">
            <v>8</v>
          </cell>
        </row>
        <row r="7885">
          <cell r="C7885" t="str">
            <v>簡振芳</v>
          </cell>
          <cell r="F7885" t="str">
            <v>M250301R1</v>
          </cell>
          <cell r="J7885">
            <v>45786</v>
          </cell>
          <cell r="K7885">
            <v>8</v>
          </cell>
        </row>
        <row r="7886">
          <cell r="C7886" t="str">
            <v>簡振芳</v>
          </cell>
          <cell r="F7886" t="str">
            <v>M250301R1</v>
          </cell>
          <cell r="J7886">
            <v>45789</v>
          </cell>
          <cell r="K7886">
            <v>8</v>
          </cell>
        </row>
        <row r="7887">
          <cell r="C7887" t="str">
            <v>簡振芳</v>
          </cell>
          <cell r="F7887" t="str">
            <v>M250301R1</v>
          </cell>
          <cell r="J7887">
            <v>45790</v>
          </cell>
          <cell r="K7887">
            <v>8</v>
          </cell>
        </row>
        <row r="7888">
          <cell r="C7888" t="str">
            <v>簡振芳</v>
          </cell>
          <cell r="F7888" t="str">
            <v>M250301R1</v>
          </cell>
          <cell r="J7888">
            <v>45791</v>
          </cell>
          <cell r="K7888">
            <v>8</v>
          </cell>
        </row>
        <row r="7889">
          <cell r="C7889" t="str">
            <v>簡振芳</v>
          </cell>
          <cell r="F7889" t="str">
            <v>M250301R1</v>
          </cell>
          <cell r="J7889">
            <v>45792</v>
          </cell>
          <cell r="K7889">
            <v>8</v>
          </cell>
        </row>
        <row r="7890">
          <cell r="C7890" t="str">
            <v>簡振芳</v>
          </cell>
          <cell r="F7890" t="str">
            <v>M250301R1</v>
          </cell>
          <cell r="J7890">
            <v>45793</v>
          </cell>
          <cell r="K7890">
            <v>8</v>
          </cell>
        </row>
        <row r="7891">
          <cell r="C7891" t="str">
            <v>簡振芳</v>
          </cell>
          <cell r="F7891" t="str">
            <v>M250301R1</v>
          </cell>
          <cell r="J7891">
            <v>45796</v>
          </cell>
          <cell r="K7891">
            <v>8</v>
          </cell>
        </row>
        <row r="7892">
          <cell r="C7892" t="str">
            <v>簡振芳</v>
          </cell>
          <cell r="J7892">
            <v>45797</v>
          </cell>
          <cell r="K7892">
            <v>8</v>
          </cell>
        </row>
        <row r="7893">
          <cell r="C7893" t="str">
            <v>簡振芳</v>
          </cell>
          <cell r="J7893">
            <v>45798</v>
          </cell>
          <cell r="K7893">
            <v>8</v>
          </cell>
        </row>
        <row r="7894">
          <cell r="C7894" t="str">
            <v>簡振芳</v>
          </cell>
          <cell r="F7894" t="str">
            <v>M250301R1</v>
          </cell>
          <cell r="J7894">
            <v>45799</v>
          </cell>
          <cell r="K7894">
            <v>8</v>
          </cell>
        </row>
        <row r="7895">
          <cell r="C7895" t="str">
            <v>簡振芳</v>
          </cell>
          <cell r="J7895">
            <v>45800</v>
          </cell>
          <cell r="K7895">
            <v>8</v>
          </cell>
        </row>
        <row r="7896">
          <cell r="C7896" t="str">
            <v>簡振芳</v>
          </cell>
          <cell r="J7896">
            <v>45803</v>
          </cell>
          <cell r="K7896">
            <v>8</v>
          </cell>
        </row>
        <row r="7897">
          <cell r="C7897" t="str">
            <v>簡振芳</v>
          </cell>
          <cell r="J7897">
            <v>45804</v>
          </cell>
          <cell r="K7897">
            <v>8</v>
          </cell>
        </row>
        <row r="7898">
          <cell r="C7898" t="str">
            <v>簡振芳</v>
          </cell>
          <cell r="F7898" t="str">
            <v>M250301R1</v>
          </cell>
          <cell r="J7898">
            <v>45805</v>
          </cell>
          <cell r="K7898">
            <v>8</v>
          </cell>
        </row>
        <row r="7899">
          <cell r="C7899" t="str">
            <v>簡振芳</v>
          </cell>
          <cell r="J7899">
            <v>45806</v>
          </cell>
          <cell r="K7899">
            <v>8</v>
          </cell>
        </row>
        <row r="7900">
          <cell r="C7900" t="str">
            <v>簡振芳</v>
          </cell>
          <cell r="F7900" t="str">
            <v>M250301R1</v>
          </cell>
          <cell r="J7900">
            <v>45810</v>
          </cell>
          <cell r="K7900">
            <v>8</v>
          </cell>
        </row>
        <row r="7901">
          <cell r="C7901" t="str">
            <v>簡振芳</v>
          </cell>
          <cell r="F7901" t="str">
            <v>M250301R1</v>
          </cell>
          <cell r="J7901">
            <v>45811</v>
          </cell>
          <cell r="K7901">
            <v>8</v>
          </cell>
        </row>
        <row r="7902">
          <cell r="C7902" t="str">
            <v>簡振芳</v>
          </cell>
          <cell r="J7902">
            <v>45812</v>
          </cell>
          <cell r="K7902">
            <v>8</v>
          </cell>
        </row>
        <row r="7903">
          <cell r="C7903" t="str">
            <v>簡振芳</v>
          </cell>
          <cell r="J7903">
            <v>45813</v>
          </cell>
          <cell r="K7903">
            <v>8</v>
          </cell>
        </row>
        <row r="7904">
          <cell r="C7904" t="str">
            <v>簡振芳</v>
          </cell>
          <cell r="J7904">
            <v>45814</v>
          </cell>
          <cell r="K7904">
            <v>8</v>
          </cell>
        </row>
        <row r="7905">
          <cell r="C7905" t="str">
            <v>簡振芳</v>
          </cell>
          <cell r="F7905" t="str">
            <v>M250301R1</v>
          </cell>
          <cell r="J7905">
            <v>45817</v>
          </cell>
          <cell r="K7905">
            <v>8</v>
          </cell>
        </row>
        <row r="7906">
          <cell r="C7906" t="str">
            <v>簡振芳</v>
          </cell>
          <cell r="F7906" t="str">
            <v>M250301R1</v>
          </cell>
          <cell r="J7906">
            <v>45818</v>
          </cell>
          <cell r="K7906">
            <v>8</v>
          </cell>
        </row>
        <row r="7907">
          <cell r="C7907" t="str">
            <v>簡振芳</v>
          </cell>
          <cell r="J7907">
            <v>45819</v>
          </cell>
          <cell r="K7907">
            <v>8</v>
          </cell>
        </row>
        <row r="7908">
          <cell r="C7908" t="str">
            <v>簡振芳</v>
          </cell>
          <cell r="J7908">
            <v>45820</v>
          </cell>
          <cell r="K7908">
            <v>8</v>
          </cell>
        </row>
        <row r="7909">
          <cell r="C7909" t="str">
            <v>簡振芳</v>
          </cell>
          <cell r="J7909">
            <v>45821</v>
          </cell>
          <cell r="K7909">
            <v>8</v>
          </cell>
        </row>
        <row r="7910">
          <cell r="C7910" t="str">
            <v>簡振芳</v>
          </cell>
          <cell r="F7910" t="str">
            <v>M250301R1</v>
          </cell>
          <cell r="J7910">
            <v>45824</v>
          </cell>
          <cell r="K7910">
            <v>8</v>
          </cell>
        </row>
        <row r="7911">
          <cell r="C7911" t="str">
            <v>簡振芳</v>
          </cell>
          <cell r="J7911">
            <v>45825</v>
          </cell>
          <cell r="K7911">
            <v>8</v>
          </cell>
        </row>
        <row r="7912">
          <cell r="C7912" t="str">
            <v>簡振芳</v>
          </cell>
          <cell r="J7912">
            <v>45826</v>
          </cell>
          <cell r="K7912">
            <v>8</v>
          </cell>
        </row>
        <row r="7913">
          <cell r="C7913" t="str">
            <v>簡振芳</v>
          </cell>
          <cell r="J7913">
            <v>45827</v>
          </cell>
          <cell r="K7913">
            <v>8</v>
          </cell>
        </row>
        <row r="7914">
          <cell r="C7914" t="str">
            <v>簡振芳</v>
          </cell>
          <cell r="J7914">
            <v>45828</v>
          </cell>
          <cell r="K7914">
            <v>8</v>
          </cell>
        </row>
        <row r="7915">
          <cell r="C7915" t="str">
            <v>簡振芳</v>
          </cell>
          <cell r="J7915">
            <v>45831</v>
          </cell>
          <cell r="K7915">
            <v>8</v>
          </cell>
        </row>
        <row r="7916">
          <cell r="C7916" t="str">
            <v>簡振芳</v>
          </cell>
          <cell r="J7916">
            <v>45832</v>
          </cell>
          <cell r="K7916">
            <v>8</v>
          </cell>
        </row>
        <row r="7917">
          <cell r="C7917" t="str">
            <v>簡振芳</v>
          </cell>
          <cell r="J7917">
            <v>45833</v>
          </cell>
          <cell r="K7917">
            <v>8</v>
          </cell>
        </row>
        <row r="7918">
          <cell r="C7918" t="str">
            <v>簡振芳</v>
          </cell>
          <cell r="J7918">
            <v>45834</v>
          </cell>
          <cell r="K7918">
            <v>8</v>
          </cell>
        </row>
        <row r="7919">
          <cell r="C7919" t="str">
            <v>簡振芳</v>
          </cell>
          <cell r="J7919">
            <v>45835</v>
          </cell>
          <cell r="K7919">
            <v>8</v>
          </cell>
        </row>
        <row r="7920">
          <cell r="C7920" t="str">
            <v>簡振芳</v>
          </cell>
          <cell r="J7920">
            <v>45838</v>
          </cell>
          <cell r="K7920">
            <v>8</v>
          </cell>
        </row>
        <row r="7921">
          <cell r="C7921" t="str">
            <v>簡振芳</v>
          </cell>
          <cell r="J7921">
            <v>45839</v>
          </cell>
          <cell r="K7921">
            <v>8</v>
          </cell>
        </row>
        <row r="7922">
          <cell r="C7922" t="str">
            <v>簡振芳</v>
          </cell>
          <cell r="J7922">
            <v>45840</v>
          </cell>
          <cell r="K7922">
            <v>8</v>
          </cell>
        </row>
        <row r="7923">
          <cell r="C7923" t="str">
            <v>簡振芳</v>
          </cell>
          <cell r="J7923">
            <v>45841</v>
          </cell>
          <cell r="K7923">
            <v>4</v>
          </cell>
        </row>
        <row r="7924">
          <cell r="C7924" t="str">
            <v>簡振芳</v>
          </cell>
          <cell r="J7924">
            <v>45841</v>
          </cell>
          <cell r="K7924">
            <v>4</v>
          </cell>
        </row>
        <row r="7925">
          <cell r="C7925" t="str">
            <v>簡振芳</v>
          </cell>
          <cell r="F7925" t="str">
            <v>M250301R1</v>
          </cell>
          <cell r="J7925">
            <v>45842</v>
          </cell>
          <cell r="K7925">
            <v>8</v>
          </cell>
        </row>
        <row r="7926">
          <cell r="C7926" t="str">
            <v>簡振芳</v>
          </cell>
          <cell r="F7926" t="str">
            <v>M250301R1</v>
          </cell>
          <cell r="J7926">
            <v>45845</v>
          </cell>
          <cell r="K7926">
            <v>8</v>
          </cell>
        </row>
        <row r="7927">
          <cell r="C7927" t="str">
            <v>簡振芳</v>
          </cell>
          <cell r="F7927" t="str">
            <v>M250301R1</v>
          </cell>
          <cell r="J7927">
            <v>45846</v>
          </cell>
          <cell r="K7927">
            <v>8</v>
          </cell>
        </row>
        <row r="7928">
          <cell r="C7928" t="str">
            <v>簡振芳</v>
          </cell>
          <cell r="F7928" t="str">
            <v>M250301R1</v>
          </cell>
          <cell r="J7928">
            <v>45847</v>
          </cell>
          <cell r="K7928">
            <v>8</v>
          </cell>
        </row>
        <row r="7929">
          <cell r="C7929" t="str">
            <v>簡振芳</v>
          </cell>
          <cell r="J7929">
            <v>45852</v>
          </cell>
          <cell r="K7929">
            <v>8</v>
          </cell>
        </row>
        <row r="7930">
          <cell r="C7930" t="str">
            <v>簡振芳</v>
          </cell>
          <cell r="J7930">
            <v>45853</v>
          </cell>
          <cell r="K7930">
            <v>8</v>
          </cell>
        </row>
        <row r="7931">
          <cell r="C7931" t="str">
            <v>簡振芳</v>
          </cell>
          <cell r="J7931">
            <v>45854</v>
          </cell>
          <cell r="K7931">
            <v>8</v>
          </cell>
        </row>
        <row r="7932">
          <cell r="C7932" t="str">
            <v>簡振芳</v>
          </cell>
          <cell r="J7932">
            <v>45855</v>
          </cell>
          <cell r="K7932">
            <v>8</v>
          </cell>
        </row>
        <row r="7933">
          <cell r="C7933" t="str">
            <v>簡振芳</v>
          </cell>
          <cell r="J7933">
            <v>45856</v>
          </cell>
          <cell r="K7933">
            <v>8</v>
          </cell>
        </row>
        <row r="7934">
          <cell r="C7934" t="str">
            <v>簡振芳</v>
          </cell>
          <cell r="J7934">
            <v>45859</v>
          </cell>
          <cell r="K7934">
            <v>8</v>
          </cell>
        </row>
        <row r="7935">
          <cell r="C7935" t="str">
            <v>簡振芳</v>
          </cell>
          <cell r="J7935">
            <v>45860</v>
          </cell>
          <cell r="K7935">
            <v>8</v>
          </cell>
        </row>
        <row r="7936">
          <cell r="C7936" t="str">
            <v>簡振芳</v>
          </cell>
          <cell r="J7936">
            <v>45861</v>
          </cell>
          <cell r="K7936">
            <v>8</v>
          </cell>
        </row>
        <row r="7937">
          <cell r="C7937" t="str">
            <v>簡振芳</v>
          </cell>
          <cell r="J7937">
            <v>45862</v>
          </cell>
          <cell r="K7937">
            <v>8</v>
          </cell>
        </row>
        <row r="7938">
          <cell r="C7938" t="str">
            <v>簡振芳</v>
          </cell>
          <cell r="J7938">
            <v>45863</v>
          </cell>
          <cell r="K7938">
            <v>8</v>
          </cell>
        </row>
        <row r="7939">
          <cell r="C7939" t="str">
            <v>魏暉恩</v>
          </cell>
          <cell r="F7939" t="str">
            <v>K180702R1</v>
          </cell>
          <cell r="J7939">
            <v>45470</v>
          </cell>
          <cell r="K7939">
            <v>8</v>
          </cell>
        </row>
        <row r="7940">
          <cell r="C7940" t="str">
            <v>魏暉恩</v>
          </cell>
          <cell r="J7940">
            <v>45471</v>
          </cell>
          <cell r="K7940">
            <v>8</v>
          </cell>
        </row>
        <row r="7941">
          <cell r="C7941" t="str">
            <v>魏暉恩</v>
          </cell>
          <cell r="F7941" t="str">
            <v>M240201R1</v>
          </cell>
          <cell r="J7941">
            <v>45474</v>
          </cell>
          <cell r="K7941">
            <v>8</v>
          </cell>
        </row>
        <row r="7942">
          <cell r="C7942" t="str">
            <v>魏暉恩</v>
          </cell>
          <cell r="F7942" t="str">
            <v>K240101R1</v>
          </cell>
          <cell r="J7942">
            <v>45475</v>
          </cell>
          <cell r="K7942">
            <v>8</v>
          </cell>
        </row>
        <row r="7943">
          <cell r="C7943" t="str">
            <v>魏暉恩</v>
          </cell>
          <cell r="F7943" t="str">
            <v>M240201R1</v>
          </cell>
          <cell r="J7943">
            <v>45476</v>
          </cell>
          <cell r="K7943">
            <v>8</v>
          </cell>
        </row>
        <row r="7944">
          <cell r="C7944" t="str">
            <v>魏暉恩</v>
          </cell>
          <cell r="F7944" t="str">
            <v>K240101R1</v>
          </cell>
          <cell r="J7944">
            <v>45477</v>
          </cell>
          <cell r="K7944">
            <v>8</v>
          </cell>
        </row>
        <row r="7945">
          <cell r="C7945" t="str">
            <v>魏暉恩</v>
          </cell>
          <cell r="F7945" t="str">
            <v>K240101R1</v>
          </cell>
          <cell r="J7945">
            <v>45478</v>
          </cell>
          <cell r="K7945">
            <v>8</v>
          </cell>
        </row>
        <row r="7946">
          <cell r="C7946" t="str">
            <v>魏暉恩</v>
          </cell>
          <cell r="F7946" t="str">
            <v>K240101R1</v>
          </cell>
          <cell r="J7946">
            <v>45481</v>
          </cell>
          <cell r="K7946">
            <v>8</v>
          </cell>
        </row>
        <row r="7947">
          <cell r="C7947" t="str">
            <v>魏暉恩</v>
          </cell>
          <cell r="F7947" t="str">
            <v>K180702R1</v>
          </cell>
          <cell r="J7947">
            <v>45482</v>
          </cell>
          <cell r="K7947">
            <v>8</v>
          </cell>
        </row>
        <row r="7948">
          <cell r="C7948" t="str">
            <v>魏暉恩</v>
          </cell>
          <cell r="F7948" t="str">
            <v>K240101R1</v>
          </cell>
          <cell r="J7948">
            <v>45483</v>
          </cell>
          <cell r="K7948">
            <v>8</v>
          </cell>
        </row>
        <row r="7949">
          <cell r="C7949" t="str">
            <v>魏暉恩</v>
          </cell>
          <cell r="F7949" t="str">
            <v>F200201S1</v>
          </cell>
          <cell r="J7949">
            <v>45484</v>
          </cell>
          <cell r="K7949">
            <v>8</v>
          </cell>
        </row>
        <row r="7950">
          <cell r="C7950" t="str">
            <v>魏暉恩</v>
          </cell>
          <cell r="F7950" t="str">
            <v>K240101R1</v>
          </cell>
          <cell r="J7950">
            <v>45485</v>
          </cell>
          <cell r="K7950">
            <v>8</v>
          </cell>
        </row>
        <row r="7951">
          <cell r="C7951" t="str">
            <v>魏暉恩</v>
          </cell>
          <cell r="F7951" t="str">
            <v>K240101R1</v>
          </cell>
          <cell r="J7951">
            <v>45488</v>
          </cell>
          <cell r="K7951">
            <v>8</v>
          </cell>
        </row>
        <row r="7952">
          <cell r="C7952" t="str">
            <v>魏暉恩</v>
          </cell>
          <cell r="F7952" t="str">
            <v>K240101R1</v>
          </cell>
          <cell r="J7952">
            <v>45489</v>
          </cell>
          <cell r="K7952">
            <v>8</v>
          </cell>
        </row>
        <row r="7953">
          <cell r="C7953" t="str">
            <v>魏暉恩</v>
          </cell>
          <cell r="F7953" t="str">
            <v>K240101R1</v>
          </cell>
          <cell r="J7953">
            <v>45490</v>
          </cell>
          <cell r="K7953">
            <v>8</v>
          </cell>
        </row>
        <row r="7954">
          <cell r="C7954" t="str">
            <v>魏暉恩</v>
          </cell>
          <cell r="F7954" t="str">
            <v>K240101R1</v>
          </cell>
          <cell r="J7954">
            <v>45491</v>
          </cell>
          <cell r="K7954">
            <v>8</v>
          </cell>
        </row>
        <row r="7955">
          <cell r="C7955" t="str">
            <v>魏暉恩</v>
          </cell>
          <cell r="F7955" t="str">
            <v>K240101R1</v>
          </cell>
          <cell r="J7955">
            <v>45492</v>
          </cell>
          <cell r="K7955">
            <v>8</v>
          </cell>
        </row>
        <row r="7956">
          <cell r="C7956" t="str">
            <v>魏暉恩</v>
          </cell>
          <cell r="J7956">
            <v>45495</v>
          </cell>
          <cell r="K7956">
            <v>8</v>
          </cell>
        </row>
        <row r="7957">
          <cell r="C7957" t="str">
            <v>魏暉恩</v>
          </cell>
          <cell r="F7957" t="str">
            <v>K240101R1</v>
          </cell>
          <cell r="J7957">
            <v>45496</v>
          </cell>
          <cell r="K7957">
            <v>8</v>
          </cell>
        </row>
        <row r="7958">
          <cell r="C7958" t="str">
            <v>魏暉恩</v>
          </cell>
          <cell r="J7958">
            <v>45497</v>
          </cell>
          <cell r="K7958">
            <v>8</v>
          </cell>
        </row>
        <row r="7959">
          <cell r="C7959" t="str">
            <v>魏暉恩</v>
          </cell>
          <cell r="J7959">
            <v>45498</v>
          </cell>
          <cell r="K7959">
            <v>8</v>
          </cell>
        </row>
        <row r="7960">
          <cell r="C7960" t="str">
            <v>魏暉恩</v>
          </cell>
          <cell r="F7960" t="str">
            <v>K240101R1</v>
          </cell>
          <cell r="J7960">
            <v>45499</v>
          </cell>
          <cell r="K7960">
            <v>8</v>
          </cell>
        </row>
        <row r="7961">
          <cell r="C7961" t="str">
            <v>魏暉恩</v>
          </cell>
          <cell r="F7961" t="str">
            <v>K240101R1</v>
          </cell>
          <cell r="J7961">
            <v>45502</v>
          </cell>
          <cell r="K7961">
            <v>8</v>
          </cell>
        </row>
        <row r="7962">
          <cell r="C7962" t="str">
            <v>魏暉恩</v>
          </cell>
          <cell r="F7962" t="str">
            <v>K240101R1</v>
          </cell>
          <cell r="J7962">
            <v>45503</v>
          </cell>
          <cell r="K7962">
            <v>8</v>
          </cell>
        </row>
        <row r="7963">
          <cell r="C7963" t="str">
            <v>魏暉恩</v>
          </cell>
          <cell r="F7963" t="str">
            <v>K240101R1</v>
          </cell>
          <cell r="J7963">
            <v>45504</v>
          </cell>
          <cell r="K7963">
            <v>8</v>
          </cell>
        </row>
        <row r="7964">
          <cell r="C7964" t="str">
            <v>魏暉恩</v>
          </cell>
          <cell r="F7964" t="str">
            <v>K240101R1</v>
          </cell>
          <cell r="J7964">
            <v>45505</v>
          </cell>
          <cell r="K7964">
            <v>11</v>
          </cell>
        </row>
        <row r="7965">
          <cell r="C7965" t="str">
            <v>魏暉恩</v>
          </cell>
          <cell r="J7965">
            <v>45506</v>
          </cell>
          <cell r="K7965">
            <v>8</v>
          </cell>
        </row>
        <row r="7966">
          <cell r="C7966" t="str">
            <v>魏暉恩</v>
          </cell>
          <cell r="F7966" t="str">
            <v>K240101R1</v>
          </cell>
          <cell r="J7966">
            <v>45509</v>
          </cell>
          <cell r="K7966">
            <v>8</v>
          </cell>
        </row>
        <row r="7967">
          <cell r="C7967" t="str">
            <v>魏暉恩</v>
          </cell>
          <cell r="J7967">
            <v>45510</v>
          </cell>
          <cell r="K7967">
            <v>9</v>
          </cell>
        </row>
        <row r="7968">
          <cell r="C7968" t="str">
            <v>魏暉恩</v>
          </cell>
          <cell r="J7968">
            <v>45511</v>
          </cell>
          <cell r="K7968">
            <v>9</v>
          </cell>
        </row>
        <row r="7969">
          <cell r="C7969" t="str">
            <v>魏暉恩</v>
          </cell>
          <cell r="F7969" t="str">
            <v>F200201S1</v>
          </cell>
          <cell r="J7969">
            <v>45512</v>
          </cell>
          <cell r="K7969">
            <v>8</v>
          </cell>
        </row>
        <row r="7970">
          <cell r="C7970" t="str">
            <v>魏暉恩</v>
          </cell>
          <cell r="F7970" t="str">
            <v>K240101R1</v>
          </cell>
          <cell r="J7970">
            <v>45513</v>
          </cell>
          <cell r="K7970">
            <v>8</v>
          </cell>
        </row>
        <row r="7971">
          <cell r="C7971" t="str">
            <v>魏暉恩</v>
          </cell>
          <cell r="F7971" t="str">
            <v>K240101R1</v>
          </cell>
          <cell r="J7971">
            <v>45516</v>
          </cell>
          <cell r="K7971">
            <v>8</v>
          </cell>
        </row>
        <row r="7972">
          <cell r="C7972" t="str">
            <v>魏暉恩</v>
          </cell>
          <cell r="F7972" t="str">
            <v>M240201R1</v>
          </cell>
          <cell r="J7972">
            <v>45517</v>
          </cell>
          <cell r="K7972">
            <v>2</v>
          </cell>
        </row>
        <row r="7973">
          <cell r="C7973" t="str">
            <v>魏暉恩</v>
          </cell>
          <cell r="F7973" t="str">
            <v>K240101R1</v>
          </cell>
          <cell r="J7973">
            <v>45517</v>
          </cell>
          <cell r="K7973">
            <v>6</v>
          </cell>
        </row>
        <row r="7974">
          <cell r="C7974" t="str">
            <v>魏暉恩</v>
          </cell>
          <cell r="F7974" t="str">
            <v>K240101R1</v>
          </cell>
          <cell r="J7974">
            <v>45518</v>
          </cell>
          <cell r="K7974">
            <v>8</v>
          </cell>
        </row>
        <row r="7975">
          <cell r="C7975" t="str">
            <v>魏暉恩</v>
          </cell>
          <cell r="J7975">
            <v>45518</v>
          </cell>
          <cell r="K7975">
            <v>3</v>
          </cell>
        </row>
        <row r="7976">
          <cell r="C7976" t="str">
            <v>魏暉恩</v>
          </cell>
          <cell r="F7976" t="str">
            <v>K240101R1</v>
          </cell>
          <cell r="J7976">
            <v>45519</v>
          </cell>
          <cell r="K7976">
            <v>8</v>
          </cell>
        </row>
        <row r="7977">
          <cell r="C7977" t="str">
            <v>魏暉恩</v>
          </cell>
          <cell r="F7977" t="str">
            <v>K240101R1</v>
          </cell>
          <cell r="J7977">
            <v>45520</v>
          </cell>
          <cell r="K7977">
            <v>8</v>
          </cell>
        </row>
        <row r="7978">
          <cell r="C7978" t="str">
            <v>魏暉恩</v>
          </cell>
          <cell r="F7978" t="str">
            <v>K240101R1</v>
          </cell>
          <cell r="J7978">
            <v>45523</v>
          </cell>
          <cell r="K7978">
            <v>8</v>
          </cell>
        </row>
        <row r="7979">
          <cell r="C7979" t="str">
            <v>魏暉恩</v>
          </cell>
          <cell r="F7979" t="str">
            <v>F200201S1</v>
          </cell>
          <cell r="J7979">
            <v>45524</v>
          </cell>
          <cell r="K7979">
            <v>8</v>
          </cell>
        </row>
        <row r="7980">
          <cell r="C7980" t="str">
            <v>魏暉恩</v>
          </cell>
          <cell r="F7980" t="str">
            <v>K240101R1</v>
          </cell>
          <cell r="J7980">
            <v>45525</v>
          </cell>
          <cell r="K7980">
            <v>8</v>
          </cell>
        </row>
        <row r="7981">
          <cell r="C7981" t="str">
            <v>魏暉恩</v>
          </cell>
          <cell r="J7981">
            <v>45525</v>
          </cell>
          <cell r="K7981">
            <v>3</v>
          </cell>
        </row>
        <row r="7982">
          <cell r="C7982" t="str">
            <v>魏暉恩</v>
          </cell>
          <cell r="F7982" t="str">
            <v>K240101R1</v>
          </cell>
          <cell r="J7982">
            <v>45526</v>
          </cell>
          <cell r="K7982">
            <v>8</v>
          </cell>
        </row>
        <row r="7983">
          <cell r="C7983" t="str">
            <v>魏暉恩</v>
          </cell>
          <cell r="F7983" t="str">
            <v>K240101R1</v>
          </cell>
          <cell r="J7983">
            <v>45527</v>
          </cell>
          <cell r="K7983">
            <v>8</v>
          </cell>
        </row>
        <row r="7984">
          <cell r="C7984" t="str">
            <v>魏暉恩</v>
          </cell>
          <cell r="F7984" t="str">
            <v>K180702R1</v>
          </cell>
          <cell r="J7984">
            <v>45530</v>
          </cell>
          <cell r="K7984">
            <v>8</v>
          </cell>
        </row>
        <row r="7985">
          <cell r="C7985" t="str">
            <v>魏暉恩</v>
          </cell>
          <cell r="F7985" t="str">
            <v>K240101R1</v>
          </cell>
          <cell r="J7985">
            <v>45531</v>
          </cell>
          <cell r="K7985">
            <v>8</v>
          </cell>
        </row>
        <row r="7986">
          <cell r="C7986" t="str">
            <v>魏暉恩</v>
          </cell>
          <cell r="F7986" t="str">
            <v>K240101R1</v>
          </cell>
          <cell r="J7986">
            <v>45532</v>
          </cell>
          <cell r="K7986">
            <v>8</v>
          </cell>
        </row>
        <row r="7987">
          <cell r="C7987" t="str">
            <v>魏暉恩</v>
          </cell>
          <cell r="F7987" t="str">
            <v>K240101R1</v>
          </cell>
          <cell r="J7987">
            <v>45533</v>
          </cell>
          <cell r="K7987">
            <v>8</v>
          </cell>
        </row>
        <row r="7988">
          <cell r="C7988" t="str">
            <v>魏暉恩</v>
          </cell>
          <cell r="F7988" t="str">
            <v>K240101R1</v>
          </cell>
          <cell r="J7988">
            <v>45534</v>
          </cell>
          <cell r="K7988">
            <v>8</v>
          </cell>
        </row>
        <row r="7989">
          <cell r="C7989" t="str">
            <v>魏暉恩</v>
          </cell>
          <cell r="F7989" t="str">
            <v>K240101R1</v>
          </cell>
          <cell r="J7989">
            <v>45537</v>
          </cell>
          <cell r="K7989">
            <v>8</v>
          </cell>
        </row>
        <row r="7990">
          <cell r="C7990" t="str">
            <v>魏暉恩</v>
          </cell>
          <cell r="J7990">
            <v>45538</v>
          </cell>
          <cell r="K7990">
            <v>8</v>
          </cell>
        </row>
        <row r="7991">
          <cell r="C7991" t="str">
            <v>魏暉恩</v>
          </cell>
          <cell r="F7991" t="str">
            <v>K240101R1</v>
          </cell>
          <cell r="J7991">
            <v>45539</v>
          </cell>
          <cell r="K7991">
            <v>8</v>
          </cell>
        </row>
        <row r="7992">
          <cell r="C7992" t="str">
            <v>魏暉恩</v>
          </cell>
          <cell r="F7992" t="str">
            <v>K240101R1</v>
          </cell>
          <cell r="J7992">
            <v>45540</v>
          </cell>
          <cell r="K7992">
            <v>8</v>
          </cell>
        </row>
        <row r="7993">
          <cell r="C7993" t="str">
            <v>魏暉恩</v>
          </cell>
          <cell r="F7993" t="str">
            <v>K240101R1</v>
          </cell>
          <cell r="J7993">
            <v>45541</v>
          </cell>
          <cell r="K7993">
            <v>8</v>
          </cell>
        </row>
        <row r="7994">
          <cell r="C7994" t="str">
            <v>魏暉恩</v>
          </cell>
          <cell r="F7994" t="str">
            <v>K240101R1</v>
          </cell>
          <cell r="J7994">
            <v>45544</v>
          </cell>
          <cell r="K7994">
            <v>8</v>
          </cell>
        </row>
        <row r="7995">
          <cell r="C7995" t="str">
            <v>魏暉恩</v>
          </cell>
          <cell r="F7995" t="str">
            <v>K240101R1</v>
          </cell>
          <cell r="J7995">
            <v>45545</v>
          </cell>
          <cell r="K7995">
            <v>8</v>
          </cell>
        </row>
        <row r="7996">
          <cell r="C7996" t="str">
            <v>魏暉恩</v>
          </cell>
          <cell r="F7996" t="str">
            <v>F200201S1</v>
          </cell>
          <cell r="J7996">
            <v>45546</v>
          </cell>
          <cell r="K7996">
            <v>8</v>
          </cell>
        </row>
        <row r="7997">
          <cell r="C7997" t="str">
            <v>魏暉恩</v>
          </cell>
          <cell r="F7997" t="str">
            <v>K240101R1</v>
          </cell>
          <cell r="J7997">
            <v>45547</v>
          </cell>
          <cell r="K7997">
            <v>8</v>
          </cell>
        </row>
        <row r="7998">
          <cell r="C7998" t="str">
            <v>魏暉恩</v>
          </cell>
          <cell r="J7998">
            <v>45548</v>
          </cell>
          <cell r="K7998">
            <v>9</v>
          </cell>
        </row>
        <row r="7999">
          <cell r="C7999" t="str">
            <v>魏暉恩</v>
          </cell>
          <cell r="J7999">
            <v>45551</v>
          </cell>
          <cell r="K7999">
            <v>8</v>
          </cell>
        </row>
        <row r="8000">
          <cell r="C8000" t="str">
            <v>魏暉恩</v>
          </cell>
          <cell r="J8000">
            <v>45553</v>
          </cell>
          <cell r="K8000">
            <v>8</v>
          </cell>
        </row>
        <row r="8001">
          <cell r="C8001" t="str">
            <v>魏暉恩</v>
          </cell>
          <cell r="F8001" t="str">
            <v>K180702R1</v>
          </cell>
          <cell r="J8001">
            <v>45554</v>
          </cell>
          <cell r="K8001">
            <v>8</v>
          </cell>
        </row>
        <row r="8002">
          <cell r="C8002" t="str">
            <v>魏暉恩</v>
          </cell>
          <cell r="F8002" t="str">
            <v>K180702R1</v>
          </cell>
          <cell r="J8002">
            <v>45555</v>
          </cell>
          <cell r="K8002">
            <v>8</v>
          </cell>
        </row>
        <row r="8003">
          <cell r="C8003" t="str">
            <v>魏暉恩</v>
          </cell>
          <cell r="F8003" t="str">
            <v>K240101R1</v>
          </cell>
          <cell r="J8003">
            <v>45558</v>
          </cell>
          <cell r="K8003">
            <v>8</v>
          </cell>
        </row>
        <row r="8004">
          <cell r="C8004" t="str">
            <v>魏暉恩</v>
          </cell>
          <cell r="F8004" t="str">
            <v>M240702R1</v>
          </cell>
          <cell r="J8004">
            <v>45559</v>
          </cell>
          <cell r="K8004">
            <v>8</v>
          </cell>
        </row>
        <row r="8005">
          <cell r="C8005" t="str">
            <v>魏暉恩</v>
          </cell>
          <cell r="F8005" t="str">
            <v>M230604R1</v>
          </cell>
          <cell r="J8005">
            <v>45560</v>
          </cell>
          <cell r="K8005">
            <v>8</v>
          </cell>
        </row>
        <row r="8006">
          <cell r="C8006" t="str">
            <v>魏暉恩</v>
          </cell>
          <cell r="F8006" t="str">
            <v>M240701R1</v>
          </cell>
          <cell r="J8006">
            <v>45561</v>
          </cell>
          <cell r="K8006">
            <v>8</v>
          </cell>
        </row>
        <row r="8007">
          <cell r="C8007" t="str">
            <v>魏暉恩</v>
          </cell>
          <cell r="F8007" t="str">
            <v>F200201S1</v>
          </cell>
          <cell r="J8007">
            <v>45562</v>
          </cell>
          <cell r="K8007">
            <v>8</v>
          </cell>
        </row>
        <row r="8008">
          <cell r="C8008" t="str">
            <v>魏暉恩</v>
          </cell>
          <cell r="F8008" t="str">
            <v>M240704R1</v>
          </cell>
          <cell r="J8008">
            <v>45565</v>
          </cell>
          <cell r="K8008">
            <v>8</v>
          </cell>
        </row>
        <row r="8009">
          <cell r="C8009" t="str">
            <v>魏暉恩</v>
          </cell>
          <cell r="F8009" t="str">
            <v>M240701R1</v>
          </cell>
          <cell r="J8009">
            <v>45566</v>
          </cell>
          <cell r="K8009">
            <v>8</v>
          </cell>
        </row>
        <row r="8010">
          <cell r="C8010" t="str">
            <v>魏暉恩</v>
          </cell>
          <cell r="J8010">
            <v>45567</v>
          </cell>
          <cell r="K8010">
            <v>8</v>
          </cell>
        </row>
        <row r="8011">
          <cell r="C8011" t="str">
            <v>魏暉恩</v>
          </cell>
          <cell r="J8011">
            <v>45568</v>
          </cell>
          <cell r="K8011">
            <v>8</v>
          </cell>
        </row>
        <row r="8012">
          <cell r="C8012" t="str">
            <v>魏暉恩</v>
          </cell>
          <cell r="F8012" t="str">
            <v>M240702R1</v>
          </cell>
          <cell r="J8012">
            <v>45569</v>
          </cell>
          <cell r="K8012">
            <v>8</v>
          </cell>
        </row>
        <row r="8013">
          <cell r="C8013" t="str">
            <v>魏暉恩</v>
          </cell>
          <cell r="F8013" t="str">
            <v>M240701R1</v>
          </cell>
          <cell r="J8013">
            <v>45572</v>
          </cell>
          <cell r="K8013">
            <v>8</v>
          </cell>
        </row>
        <row r="8014">
          <cell r="C8014" t="str">
            <v>魏暉恩</v>
          </cell>
          <cell r="F8014" t="str">
            <v>M240702R1</v>
          </cell>
          <cell r="J8014">
            <v>45573</v>
          </cell>
          <cell r="K8014">
            <v>8</v>
          </cell>
        </row>
        <row r="8015">
          <cell r="C8015" t="str">
            <v>魏暉恩</v>
          </cell>
          <cell r="F8015" t="str">
            <v>M240702R1</v>
          </cell>
          <cell r="J8015">
            <v>45574</v>
          </cell>
          <cell r="K8015">
            <v>8</v>
          </cell>
        </row>
        <row r="8016">
          <cell r="C8016" t="str">
            <v>魏暉恩</v>
          </cell>
          <cell r="J8016">
            <v>45576</v>
          </cell>
          <cell r="K8016">
            <v>8</v>
          </cell>
        </row>
        <row r="8017">
          <cell r="C8017" t="str">
            <v>魏暉恩</v>
          </cell>
          <cell r="F8017" t="str">
            <v>M240704R1</v>
          </cell>
          <cell r="J8017">
            <v>45579</v>
          </cell>
          <cell r="K8017">
            <v>8</v>
          </cell>
        </row>
        <row r="8018">
          <cell r="C8018" t="str">
            <v>魏暉恩</v>
          </cell>
          <cell r="F8018" t="str">
            <v>M240702R1</v>
          </cell>
          <cell r="J8018">
            <v>45580</v>
          </cell>
          <cell r="K8018">
            <v>3</v>
          </cell>
        </row>
        <row r="8019">
          <cell r="C8019" t="str">
            <v>魏暉恩</v>
          </cell>
          <cell r="F8019" t="str">
            <v>M240701R1</v>
          </cell>
          <cell r="J8019">
            <v>45580</v>
          </cell>
          <cell r="K8019">
            <v>3</v>
          </cell>
        </row>
        <row r="8020">
          <cell r="C8020" t="str">
            <v>魏暉恩</v>
          </cell>
          <cell r="F8020" t="str">
            <v>M240704R1</v>
          </cell>
          <cell r="J8020">
            <v>45580</v>
          </cell>
          <cell r="K8020">
            <v>2</v>
          </cell>
        </row>
        <row r="8021">
          <cell r="C8021" t="str">
            <v>魏暉恩</v>
          </cell>
          <cell r="F8021" t="str">
            <v>M240701R1</v>
          </cell>
          <cell r="J8021">
            <v>45581</v>
          </cell>
          <cell r="K8021">
            <v>2</v>
          </cell>
        </row>
        <row r="8022">
          <cell r="C8022" t="str">
            <v>魏暉恩</v>
          </cell>
          <cell r="F8022" t="str">
            <v>M240702R1</v>
          </cell>
          <cell r="J8022">
            <v>45581</v>
          </cell>
          <cell r="K8022">
            <v>5</v>
          </cell>
        </row>
        <row r="8023">
          <cell r="C8023" t="str">
            <v>魏暉恩</v>
          </cell>
          <cell r="F8023" t="str">
            <v>F200201S1</v>
          </cell>
          <cell r="J8023">
            <v>45582</v>
          </cell>
          <cell r="K8023">
            <v>8</v>
          </cell>
        </row>
        <row r="8024">
          <cell r="C8024" t="str">
            <v>魏暉恩</v>
          </cell>
          <cell r="J8024">
            <v>45586</v>
          </cell>
          <cell r="K8024">
            <v>4</v>
          </cell>
        </row>
        <row r="8025">
          <cell r="C8025" t="str">
            <v>魏暉恩</v>
          </cell>
          <cell r="J8025">
            <v>45586</v>
          </cell>
          <cell r="K8025">
            <v>4</v>
          </cell>
        </row>
        <row r="8026">
          <cell r="C8026" t="str">
            <v>魏暉恩</v>
          </cell>
          <cell r="F8026" t="str">
            <v>F200201S1</v>
          </cell>
          <cell r="J8026">
            <v>45587</v>
          </cell>
          <cell r="K8026">
            <v>8</v>
          </cell>
        </row>
        <row r="8027">
          <cell r="C8027" t="str">
            <v>魏暉恩</v>
          </cell>
          <cell r="F8027" t="str">
            <v>M240701R1</v>
          </cell>
          <cell r="J8027">
            <v>45588</v>
          </cell>
          <cell r="K8027">
            <v>4</v>
          </cell>
        </row>
        <row r="8028">
          <cell r="C8028" t="str">
            <v>魏暉恩</v>
          </cell>
          <cell r="F8028" t="str">
            <v>K240101R1</v>
          </cell>
          <cell r="J8028">
            <v>45588</v>
          </cell>
          <cell r="K8028">
            <v>2</v>
          </cell>
        </row>
        <row r="8029">
          <cell r="C8029" t="str">
            <v>魏暉恩</v>
          </cell>
          <cell r="J8029">
            <v>45588</v>
          </cell>
          <cell r="K8029">
            <v>2</v>
          </cell>
        </row>
        <row r="8030">
          <cell r="C8030" t="str">
            <v>魏暉恩</v>
          </cell>
          <cell r="F8030" t="str">
            <v>M240702R1</v>
          </cell>
          <cell r="J8030">
            <v>45589</v>
          </cell>
          <cell r="K8030">
            <v>8</v>
          </cell>
        </row>
        <row r="8031">
          <cell r="C8031" t="str">
            <v>魏暉恩</v>
          </cell>
          <cell r="J8031">
            <v>45590</v>
          </cell>
          <cell r="K8031">
            <v>8</v>
          </cell>
        </row>
        <row r="8032">
          <cell r="C8032" t="str">
            <v>魏暉恩</v>
          </cell>
          <cell r="F8032" t="str">
            <v>M240704R1</v>
          </cell>
          <cell r="J8032">
            <v>45593</v>
          </cell>
          <cell r="K8032">
            <v>4</v>
          </cell>
        </row>
        <row r="8033">
          <cell r="C8033" t="str">
            <v>魏暉恩</v>
          </cell>
          <cell r="F8033" t="str">
            <v>M240702R1</v>
          </cell>
          <cell r="J8033">
            <v>45593</v>
          </cell>
          <cell r="K8033">
            <v>4</v>
          </cell>
        </row>
        <row r="8034">
          <cell r="C8034" t="str">
            <v>魏暉恩</v>
          </cell>
          <cell r="F8034" t="str">
            <v>F200201S1</v>
          </cell>
          <cell r="J8034">
            <v>45594</v>
          </cell>
          <cell r="K8034">
            <v>8</v>
          </cell>
        </row>
        <row r="8035">
          <cell r="C8035" t="str">
            <v>魏暉恩</v>
          </cell>
          <cell r="J8035">
            <v>45595</v>
          </cell>
          <cell r="K8035">
            <v>8</v>
          </cell>
        </row>
        <row r="8036">
          <cell r="C8036" t="str">
            <v>魏暉恩</v>
          </cell>
          <cell r="J8036">
            <v>45596</v>
          </cell>
          <cell r="K8036">
            <v>8</v>
          </cell>
        </row>
        <row r="8037">
          <cell r="C8037" t="str">
            <v>魏暉恩</v>
          </cell>
          <cell r="J8037">
            <v>45597</v>
          </cell>
          <cell r="K8037">
            <v>4</v>
          </cell>
        </row>
        <row r="8038">
          <cell r="C8038" t="str">
            <v>魏暉恩</v>
          </cell>
          <cell r="F8038" t="str">
            <v>M240704R1</v>
          </cell>
          <cell r="J8038">
            <v>45597</v>
          </cell>
          <cell r="K8038">
            <v>4</v>
          </cell>
        </row>
        <row r="8039">
          <cell r="C8039" t="str">
            <v>魏暉恩</v>
          </cell>
          <cell r="F8039" t="str">
            <v>M240702R1</v>
          </cell>
          <cell r="J8039">
            <v>45600</v>
          </cell>
          <cell r="K8039">
            <v>8</v>
          </cell>
        </row>
        <row r="8040">
          <cell r="C8040" t="str">
            <v>魏暉恩</v>
          </cell>
          <cell r="F8040" t="str">
            <v>F200201S1</v>
          </cell>
          <cell r="J8040">
            <v>45601</v>
          </cell>
          <cell r="K8040">
            <v>8</v>
          </cell>
        </row>
        <row r="8041">
          <cell r="C8041" t="str">
            <v>魏暉恩</v>
          </cell>
          <cell r="F8041" t="str">
            <v>K240101R1</v>
          </cell>
          <cell r="J8041">
            <v>45602</v>
          </cell>
          <cell r="K8041">
            <v>6</v>
          </cell>
        </row>
        <row r="8042">
          <cell r="C8042" t="str">
            <v>魏暉恩</v>
          </cell>
          <cell r="F8042" t="str">
            <v>M240704R1</v>
          </cell>
          <cell r="J8042">
            <v>45603</v>
          </cell>
          <cell r="K8042">
            <v>2</v>
          </cell>
        </row>
        <row r="8043">
          <cell r="C8043" t="str">
            <v>魏暉恩</v>
          </cell>
          <cell r="F8043" t="str">
            <v>M240702R1</v>
          </cell>
          <cell r="J8043">
            <v>45603</v>
          </cell>
          <cell r="K8043">
            <v>8</v>
          </cell>
        </row>
        <row r="8044">
          <cell r="C8044" t="str">
            <v>魏暉恩</v>
          </cell>
          <cell r="F8044" t="str">
            <v>M240704R1</v>
          </cell>
          <cell r="J8044">
            <v>45604</v>
          </cell>
          <cell r="K8044">
            <v>8</v>
          </cell>
        </row>
        <row r="8045">
          <cell r="C8045" t="str">
            <v>魏暉恩</v>
          </cell>
          <cell r="F8045" t="str">
            <v>M240702R1</v>
          </cell>
          <cell r="J8045">
            <v>45607</v>
          </cell>
          <cell r="K8045">
            <v>8</v>
          </cell>
        </row>
        <row r="8046">
          <cell r="C8046" t="str">
            <v>魏暉恩</v>
          </cell>
          <cell r="F8046" t="str">
            <v>M240702R1</v>
          </cell>
          <cell r="J8046">
            <v>45608</v>
          </cell>
          <cell r="K8046">
            <v>4</v>
          </cell>
        </row>
        <row r="8047">
          <cell r="C8047" t="str">
            <v>魏暉恩</v>
          </cell>
          <cell r="F8047" t="str">
            <v>M240701R1</v>
          </cell>
          <cell r="J8047">
            <v>45608</v>
          </cell>
          <cell r="K8047">
            <v>4</v>
          </cell>
        </row>
        <row r="8048">
          <cell r="C8048" t="str">
            <v>魏暉恩</v>
          </cell>
          <cell r="F8048" t="str">
            <v>M240702R1</v>
          </cell>
          <cell r="J8048">
            <v>45609</v>
          </cell>
          <cell r="K8048">
            <v>8</v>
          </cell>
        </row>
        <row r="8049">
          <cell r="C8049" t="str">
            <v>魏暉恩</v>
          </cell>
          <cell r="F8049" t="str">
            <v>M240702R1</v>
          </cell>
          <cell r="J8049">
            <v>45610</v>
          </cell>
          <cell r="K8049">
            <v>8</v>
          </cell>
        </row>
        <row r="8050">
          <cell r="C8050" t="str">
            <v>魏暉恩</v>
          </cell>
          <cell r="F8050" t="str">
            <v>F200201S1</v>
          </cell>
          <cell r="J8050">
            <v>45611</v>
          </cell>
          <cell r="K8050">
            <v>8</v>
          </cell>
        </row>
        <row r="8051">
          <cell r="C8051" t="str">
            <v>魏暉恩</v>
          </cell>
          <cell r="F8051" t="str">
            <v>M240702R1</v>
          </cell>
          <cell r="J8051">
            <v>45614</v>
          </cell>
          <cell r="K8051">
            <v>8</v>
          </cell>
        </row>
        <row r="8052">
          <cell r="C8052" t="str">
            <v>魏暉恩</v>
          </cell>
          <cell r="F8052" t="str">
            <v>M240702R1</v>
          </cell>
          <cell r="J8052">
            <v>45615</v>
          </cell>
          <cell r="K8052">
            <v>8</v>
          </cell>
        </row>
        <row r="8053">
          <cell r="C8053" t="str">
            <v>魏暉恩</v>
          </cell>
          <cell r="F8053" t="str">
            <v>M240702R1</v>
          </cell>
          <cell r="J8053">
            <v>45616</v>
          </cell>
          <cell r="K8053">
            <v>8</v>
          </cell>
        </row>
        <row r="8054">
          <cell r="C8054" t="str">
            <v>魏暉恩</v>
          </cell>
          <cell r="F8054" t="str">
            <v>M240702R1</v>
          </cell>
          <cell r="J8054">
            <v>45617</v>
          </cell>
          <cell r="K8054">
            <v>8</v>
          </cell>
        </row>
        <row r="8055">
          <cell r="C8055" t="str">
            <v>魏暉恩</v>
          </cell>
          <cell r="F8055" t="str">
            <v>F200201S1</v>
          </cell>
          <cell r="J8055">
            <v>45618</v>
          </cell>
          <cell r="K8055">
            <v>8</v>
          </cell>
        </row>
        <row r="8056">
          <cell r="C8056" t="str">
            <v>魏暉恩</v>
          </cell>
          <cell r="F8056" t="str">
            <v>K180702R1</v>
          </cell>
          <cell r="J8056">
            <v>45621</v>
          </cell>
          <cell r="K8056">
            <v>8</v>
          </cell>
        </row>
        <row r="8057">
          <cell r="C8057" t="str">
            <v>魏暉恩</v>
          </cell>
          <cell r="F8057" t="str">
            <v>K180702R1</v>
          </cell>
          <cell r="J8057">
            <v>45622</v>
          </cell>
          <cell r="K8057">
            <v>8</v>
          </cell>
        </row>
        <row r="8058">
          <cell r="C8058" t="str">
            <v>魏暉恩</v>
          </cell>
          <cell r="J8058">
            <v>45623</v>
          </cell>
          <cell r="K8058">
            <v>5</v>
          </cell>
        </row>
        <row r="8059">
          <cell r="C8059" t="str">
            <v>魏暉恩</v>
          </cell>
          <cell r="J8059">
            <v>45623</v>
          </cell>
          <cell r="K8059">
            <v>2</v>
          </cell>
        </row>
        <row r="8060">
          <cell r="C8060" t="str">
            <v>魏暉恩</v>
          </cell>
          <cell r="F8060" t="str">
            <v>F200201S1</v>
          </cell>
          <cell r="J8060">
            <v>45623</v>
          </cell>
          <cell r="K8060">
            <v>2.5</v>
          </cell>
        </row>
        <row r="8061">
          <cell r="C8061" t="str">
            <v>魏暉恩</v>
          </cell>
          <cell r="F8061" t="str">
            <v>M240704R1</v>
          </cell>
          <cell r="J8061">
            <v>45624</v>
          </cell>
          <cell r="K8061">
            <v>2</v>
          </cell>
        </row>
        <row r="8062">
          <cell r="C8062" t="str">
            <v>魏暉恩</v>
          </cell>
          <cell r="J8062">
            <v>45624</v>
          </cell>
          <cell r="K8062">
            <v>4</v>
          </cell>
        </row>
        <row r="8063">
          <cell r="C8063" t="str">
            <v>魏暉恩</v>
          </cell>
          <cell r="F8063" t="str">
            <v>M240702R1</v>
          </cell>
          <cell r="J8063">
            <v>45624</v>
          </cell>
          <cell r="K8063">
            <v>2</v>
          </cell>
        </row>
        <row r="8064">
          <cell r="C8064" t="str">
            <v>魏暉恩</v>
          </cell>
          <cell r="F8064" t="str">
            <v>M240702R1</v>
          </cell>
          <cell r="J8064">
            <v>45625</v>
          </cell>
          <cell r="K8064">
            <v>6.5</v>
          </cell>
        </row>
        <row r="8065">
          <cell r="C8065" t="str">
            <v>魏暉恩</v>
          </cell>
          <cell r="F8065" t="str">
            <v>M240704R1</v>
          </cell>
          <cell r="J8065">
            <v>45625</v>
          </cell>
          <cell r="K8065">
            <v>1.5</v>
          </cell>
        </row>
        <row r="8066">
          <cell r="C8066" t="str">
            <v>魏暉恩</v>
          </cell>
          <cell r="F8066" t="str">
            <v>M240702R1</v>
          </cell>
          <cell r="J8066">
            <v>45628</v>
          </cell>
          <cell r="K8066">
            <v>8</v>
          </cell>
        </row>
        <row r="8067">
          <cell r="C8067" t="str">
            <v>魏暉恩</v>
          </cell>
          <cell r="F8067" t="str">
            <v>M240702R1</v>
          </cell>
          <cell r="J8067">
            <v>45629</v>
          </cell>
          <cell r="K8067">
            <v>8</v>
          </cell>
        </row>
        <row r="8068">
          <cell r="C8068" t="str">
            <v>魏暉恩</v>
          </cell>
          <cell r="F8068" t="str">
            <v>F200201S1</v>
          </cell>
          <cell r="J8068">
            <v>45630</v>
          </cell>
          <cell r="K8068">
            <v>8</v>
          </cell>
        </row>
        <row r="8069">
          <cell r="C8069" t="str">
            <v>魏暉恩</v>
          </cell>
          <cell r="F8069" t="str">
            <v>K240101P1</v>
          </cell>
          <cell r="J8069">
            <v>45631</v>
          </cell>
          <cell r="K8069">
            <v>8</v>
          </cell>
        </row>
        <row r="8070">
          <cell r="C8070" t="str">
            <v>魏暉恩</v>
          </cell>
          <cell r="F8070" t="str">
            <v>M240702R1</v>
          </cell>
          <cell r="J8070">
            <v>45632</v>
          </cell>
          <cell r="K8070">
            <v>8</v>
          </cell>
        </row>
        <row r="8071">
          <cell r="C8071" t="str">
            <v>魏暉恩</v>
          </cell>
          <cell r="F8071" t="str">
            <v>M240201R1</v>
          </cell>
          <cell r="J8071">
            <v>45635</v>
          </cell>
          <cell r="K8071">
            <v>8</v>
          </cell>
        </row>
        <row r="8072">
          <cell r="C8072" t="str">
            <v>魏暉恩</v>
          </cell>
          <cell r="F8072" t="str">
            <v>F200201S1</v>
          </cell>
          <cell r="J8072">
            <v>45636</v>
          </cell>
          <cell r="K8072">
            <v>8</v>
          </cell>
        </row>
        <row r="8073">
          <cell r="C8073" t="str">
            <v>魏暉恩</v>
          </cell>
          <cell r="F8073" t="str">
            <v>M240201R1</v>
          </cell>
          <cell r="J8073">
            <v>45637</v>
          </cell>
          <cell r="K8073">
            <v>8</v>
          </cell>
        </row>
        <row r="8074">
          <cell r="C8074" t="str">
            <v>魏暉恩</v>
          </cell>
          <cell r="F8074" t="str">
            <v>M240201R1</v>
          </cell>
          <cell r="J8074">
            <v>45638</v>
          </cell>
          <cell r="K8074">
            <v>8</v>
          </cell>
        </row>
        <row r="8075">
          <cell r="C8075" t="str">
            <v>魏暉恩</v>
          </cell>
          <cell r="J8075">
            <v>45639</v>
          </cell>
          <cell r="K8075">
            <v>8</v>
          </cell>
        </row>
        <row r="8076">
          <cell r="C8076" t="str">
            <v>魏暉恩</v>
          </cell>
          <cell r="F8076" t="str">
            <v>F200201S1</v>
          </cell>
          <cell r="J8076">
            <v>45642</v>
          </cell>
          <cell r="K8076">
            <v>8</v>
          </cell>
        </row>
        <row r="8077">
          <cell r="C8077" t="str">
            <v>魏暉恩</v>
          </cell>
          <cell r="F8077" t="str">
            <v>M240201R1</v>
          </cell>
          <cell r="J8077">
            <v>45643</v>
          </cell>
          <cell r="K8077">
            <v>2</v>
          </cell>
        </row>
        <row r="8078">
          <cell r="C8078" t="str">
            <v>魏暉恩</v>
          </cell>
          <cell r="F8078" t="str">
            <v>K180702R1</v>
          </cell>
          <cell r="J8078">
            <v>45643</v>
          </cell>
          <cell r="K8078">
            <v>4</v>
          </cell>
        </row>
        <row r="8079">
          <cell r="C8079" t="str">
            <v>魏暉恩</v>
          </cell>
          <cell r="F8079" t="str">
            <v>M240702R1</v>
          </cell>
          <cell r="J8079">
            <v>45643</v>
          </cell>
          <cell r="K8079">
            <v>2</v>
          </cell>
        </row>
        <row r="8080">
          <cell r="C8080" t="str">
            <v>魏暉恩</v>
          </cell>
          <cell r="F8080" t="str">
            <v>K180702R1</v>
          </cell>
          <cell r="J8080">
            <v>45644</v>
          </cell>
          <cell r="K8080">
            <v>2</v>
          </cell>
        </row>
        <row r="8081">
          <cell r="C8081" t="str">
            <v>魏暉恩</v>
          </cell>
          <cell r="F8081" t="str">
            <v>M240201R1</v>
          </cell>
          <cell r="J8081">
            <v>45644</v>
          </cell>
          <cell r="K8081">
            <v>4</v>
          </cell>
        </row>
        <row r="8082">
          <cell r="C8082" t="str">
            <v>魏暉恩</v>
          </cell>
          <cell r="F8082" t="str">
            <v>M240702R1</v>
          </cell>
          <cell r="J8082">
            <v>45644</v>
          </cell>
          <cell r="K8082">
            <v>2</v>
          </cell>
        </row>
        <row r="8083">
          <cell r="C8083" t="str">
            <v>魏暉恩</v>
          </cell>
          <cell r="F8083" t="str">
            <v>M240201R1</v>
          </cell>
          <cell r="J8083">
            <v>45645</v>
          </cell>
          <cell r="K8083">
            <v>8</v>
          </cell>
        </row>
        <row r="8084">
          <cell r="C8084" t="str">
            <v>魏暉恩</v>
          </cell>
          <cell r="J8084">
            <v>45646</v>
          </cell>
          <cell r="K8084">
            <v>8</v>
          </cell>
        </row>
        <row r="8085">
          <cell r="C8085" t="str">
            <v>魏暉恩</v>
          </cell>
          <cell r="F8085" t="str">
            <v>F200201S1</v>
          </cell>
          <cell r="J8085">
            <v>45649</v>
          </cell>
          <cell r="K8085">
            <v>8</v>
          </cell>
        </row>
        <row r="8086">
          <cell r="C8086" t="str">
            <v>魏暉恩</v>
          </cell>
          <cell r="F8086" t="str">
            <v>M240201R1</v>
          </cell>
          <cell r="J8086">
            <v>45650</v>
          </cell>
          <cell r="K8086">
            <v>8</v>
          </cell>
        </row>
        <row r="8087">
          <cell r="C8087" t="str">
            <v>魏暉恩</v>
          </cell>
          <cell r="F8087" t="str">
            <v>M240201R1</v>
          </cell>
          <cell r="J8087">
            <v>45651</v>
          </cell>
          <cell r="K8087">
            <v>8</v>
          </cell>
        </row>
        <row r="8088">
          <cell r="C8088" t="str">
            <v>魏暉恩</v>
          </cell>
          <cell r="F8088" t="str">
            <v>M240201R1</v>
          </cell>
          <cell r="J8088">
            <v>45652</v>
          </cell>
          <cell r="K8088">
            <v>8</v>
          </cell>
        </row>
        <row r="8089">
          <cell r="C8089" t="str">
            <v>魏暉恩</v>
          </cell>
          <cell r="J8089">
            <v>45653</v>
          </cell>
          <cell r="K8089">
            <v>8</v>
          </cell>
        </row>
        <row r="8090">
          <cell r="C8090" t="str">
            <v>魏暉恩</v>
          </cell>
          <cell r="J8090">
            <v>45656</v>
          </cell>
          <cell r="K8090">
            <v>8</v>
          </cell>
        </row>
        <row r="8091">
          <cell r="C8091" t="str">
            <v>魏暉恩</v>
          </cell>
          <cell r="F8091" t="str">
            <v>K180702R1</v>
          </cell>
          <cell r="J8091">
            <v>45657</v>
          </cell>
          <cell r="K8091">
            <v>8</v>
          </cell>
        </row>
        <row r="8092">
          <cell r="C8092" t="str">
            <v>魏暉恩</v>
          </cell>
          <cell r="F8092" t="str">
            <v>M240702R1</v>
          </cell>
          <cell r="J8092">
            <v>45659</v>
          </cell>
          <cell r="K8092">
            <v>8</v>
          </cell>
        </row>
        <row r="8093">
          <cell r="C8093" t="str">
            <v>魏暉恩</v>
          </cell>
          <cell r="F8093" t="str">
            <v>M240702R1</v>
          </cell>
          <cell r="J8093">
            <v>45660</v>
          </cell>
          <cell r="K8093">
            <v>9</v>
          </cell>
        </row>
        <row r="8094">
          <cell r="C8094" t="str">
            <v>魏暉恩</v>
          </cell>
          <cell r="J8094">
            <v>45663</v>
          </cell>
          <cell r="K8094">
            <v>8</v>
          </cell>
        </row>
        <row r="8095">
          <cell r="C8095" t="str">
            <v>魏暉恩</v>
          </cell>
          <cell r="F8095" t="str">
            <v>F200201S1</v>
          </cell>
          <cell r="J8095">
            <v>45664</v>
          </cell>
          <cell r="K8095">
            <v>8</v>
          </cell>
        </row>
        <row r="8096">
          <cell r="C8096" t="str">
            <v>魏暉恩</v>
          </cell>
          <cell r="F8096" t="str">
            <v>M240702R1</v>
          </cell>
          <cell r="J8096">
            <v>45665</v>
          </cell>
          <cell r="K8096">
            <v>8</v>
          </cell>
        </row>
        <row r="8097">
          <cell r="C8097" t="str">
            <v>魏暉恩</v>
          </cell>
          <cell r="F8097" t="str">
            <v>M240201R1</v>
          </cell>
          <cell r="J8097">
            <v>45666</v>
          </cell>
          <cell r="K8097">
            <v>8</v>
          </cell>
        </row>
        <row r="8098">
          <cell r="C8098" t="str">
            <v>魏暉恩</v>
          </cell>
          <cell r="F8098" t="str">
            <v>M240201R1</v>
          </cell>
          <cell r="J8098">
            <v>45667</v>
          </cell>
          <cell r="K8098">
            <v>8</v>
          </cell>
        </row>
        <row r="8099">
          <cell r="C8099" t="str">
            <v>魏暉恩</v>
          </cell>
          <cell r="J8099">
            <v>45670</v>
          </cell>
          <cell r="K8099">
            <v>8</v>
          </cell>
        </row>
        <row r="8100">
          <cell r="C8100" t="str">
            <v>魏暉恩</v>
          </cell>
          <cell r="F8100" t="str">
            <v>F200201S1</v>
          </cell>
          <cell r="J8100">
            <v>45671</v>
          </cell>
          <cell r="K8100">
            <v>8</v>
          </cell>
        </row>
        <row r="8101">
          <cell r="C8101" t="str">
            <v>魏暉恩</v>
          </cell>
          <cell r="F8101" t="str">
            <v>M240702R1</v>
          </cell>
          <cell r="J8101">
            <v>45672</v>
          </cell>
          <cell r="K8101">
            <v>8</v>
          </cell>
        </row>
        <row r="8102">
          <cell r="C8102" t="str">
            <v>魏暉恩</v>
          </cell>
          <cell r="F8102" t="str">
            <v>M240704R1</v>
          </cell>
          <cell r="J8102">
            <v>45673</v>
          </cell>
          <cell r="K8102">
            <v>8</v>
          </cell>
        </row>
        <row r="8103">
          <cell r="C8103" t="str">
            <v>魏暉恩</v>
          </cell>
          <cell r="F8103" t="str">
            <v>M240702R1</v>
          </cell>
          <cell r="J8103">
            <v>45674</v>
          </cell>
          <cell r="K8103">
            <v>8</v>
          </cell>
        </row>
        <row r="8104">
          <cell r="C8104" t="str">
            <v>魏暉恩</v>
          </cell>
          <cell r="F8104" t="str">
            <v>M240702R1</v>
          </cell>
          <cell r="J8104">
            <v>45677</v>
          </cell>
          <cell r="K8104">
            <v>9</v>
          </cell>
        </row>
        <row r="8105">
          <cell r="C8105" t="str">
            <v>魏暉恩</v>
          </cell>
          <cell r="F8105" t="str">
            <v>M240201R1</v>
          </cell>
          <cell r="J8105">
            <v>45678</v>
          </cell>
          <cell r="K8105">
            <v>9</v>
          </cell>
        </row>
        <row r="8106">
          <cell r="C8106" t="str">
            <v>魏暉恩</v>
          </cell>
          <cell r="F8106" t="str">
            <v>M240702R1</v>
          </cell>
          <cell r="J8106">
            <v>45679</v>
          </cell>
          <cell r="K8106">
            <v>9</v>
          </cell>
        </row>
        <row r="8107">
          <cell r="C8107" t="str">
            <v>魏暉恩</v>
          </cell>
          <cell r="F8107" t="str">
            <v>M240702R1</v>
          </cell>
          <cell r="J8107">
            <v>45680</v>
          </cell>
          <cell r="K8107">
            <v>8</v>
          </cell>
        </row>
        <row r="8108">
          <cell r="C8108" t="str">
            <v>魏暉恩</v>
          </cell>
          <cell r="F8108" t="str">
            <v>M240201R1</v>
          </cell>
          <cell r="J8108">
            <v>45681</v>
          </cell>
          <cell r="K8108">
            <v>8</v>
          </cell>
        </row>
        <row r="8109">
          <cell r="C8109" t="str">
            <v>魏暉恩</v>
          </cell>
          <cell r="J8109">
            <v>45691</v>
          </cell>
          <cell r="K8109">
            <v>8</v>
          </cell>
        </row>
        <row r="8110">
          <cell r="C8110" t="str">
            <v>魏暉恩</v>
          </cell>
          <cell r="J8110">
            <v>45692</v>
          </cell>
          <cell r="K8110">
            <v>4.5</v>
          </cell>
        </row>
        <row r="8111">
          <cell r="C8111" t="str">
            <v>魏暉恩</v>
          </cell>
          <cell r="F8111" t="str">
            <v>M240702R1</v>
          </cell>
          <cell r="J8111">
            <v>45692</v>
          </cell>
          <cell r="K8111">
            <v>3.5</v>
          </cell>
        </row>
        <row r="8112">
          <cell r="C8112" t="str">
            <v>魏暉恩</v>
          </cell>
          <cell r="F8112" t="str">
            <v>M240201R1</v>
          </cell>
          <cell r="J8112">
            <v>45693</v>
          </cell>
          <cell r="K8112">
            <v>8</v>
          </cell>
        </row>
        <row r="8113">
          <cell r="C8113" t="str">
            <v>魏暉恩</v>
          </cell>
          <cell r="F8113" t="str">
            <v>M240702R1</v>
          </cell>
          <cell r="J8113">
            <v>45694</v>
          </cell>
          <cell r="K8113">
            <v>8</v>
          </cell>
        </row>
        <row r="8114">
          <cell r="C8114" t="str">
            <v>魏暉恩</v>
          </cell>
          <cell r="F8114" t="str">
            <v>M240702R1</v>
          </cell>
          <cell r="J8114">
            <v>45695</v>
          </cell>
          <cell r="K8114">
            <v>6</v>
          </cell>
        </row>
        <row r="8115">
          <cell r="C8115" t="str">
            <v>魏暉恩</v>
          </cell>
          <cell r="J8115">
            <v>45695</v>
          </cell>
          <cell r="K8115">
            <v>2</v>
          </cell>
        </row>
        <row r="8116">
          <cell r="C8116" t="str">
            <v>魏暉恩</v>
          </cell>
          <cell r="F8116" t="str">
            <v>M240702R1</v>
          </cell>
          <cell r="J8116">
            <v>45698</v>
          </cell>
          <cell r="K8116">
            <v>8</v>
          </cell>
        </row>
        <row r="8117">
          <cell r="C8117" t="str">
            <v>魏暉恩</v>
          </cell>
          <cell r="F8117" t="str">
            <v>F200201S1</v>
          </cell>
          <cell r="J8117">
            <v>45699</v>
          </cell>
          <cell r="K8117">
            <v>8</v>
          </cell>
        </row>
        <row r="8118">
          <cell r="C8118" t="str">
            <v>魏暉恩</v>
          </cell>
          <cell r="F8118" t="str">
            <v>M240702R1</v>
          </cell>
          <cell r="J8118">
            <v>45700</v>
          </cell>
          <cell r="K8118">
            <v>8</v>
          </cell>
        </row>
        <row r="8119">
          <cell r="C8119" t="str">
            <v>魏暉恩</v>
          </cell>
          <cell r="F8119" t="str">
            <v>M240702R1</v>
          </cell>
          <cell r="J8119">
            <v>45701</v>
          </cell>
          <cell r="K8119">
            <v>8</v>
          </cell>
        </row>
        <row r="8120">
          <cell r="C8120" t="str">
            <v>魏暉恩</v>
          </cell>
          <cell r="F8120" t="str">
            <v>M240201R1</v>
          </cell>
          <cell r="J8120">
            <v>45702</v>
          </cell>
          <cell r="K8120">
            <v>8</v>
          </cell>
        </row>
        <row r="8121">
          <cell r="C8121" t="str">
            <v>魏暉恩</v>
          </cell>
          <cell r="F8121" t="str">
            <v>D250201R1</v>
          </cell>
          <cell r="J8121">
            <v>45705</v>
          </cell>
          <cell r="K8121">
            <v>8</v>
          </cell>
        </row>
        <row r="8122">
          <cell r="C8122" t="str">
            <v>魏暉恩</v>
          </cell>
          <cell r="F8122" t="str">
            <v>F200201S1</v>
          </cell>
          <cell r="J8122">
            <v>45706</v>
          </cell>
          <cell r="K8122">
            <v>8</v>
          </cell>
        </row>
        <row r="8123">
          <cell r="C8123" t="str">
            <v>魏暉恩</v>
          </cell>
          <cell r="F8123" t="str">
            <v>D250201R1</v>
          </cell>
          <cell r="J8123">
            <v>45707</v>
          </cell>
          <cell r="K8123">
            <v>2</v>
          </cell>
        </row>
        <row r="8124">
          <cell r="C8124" t="str">
            <v>魏暉恩</v>
          </cell>
          <cell r="F8124" t="str">
            <v>M240201R1</v>
          </cell>
          <cell r="J8124">
            <v>45707</v>
          </cell>
          <cell r="K8124">
            <v>6</v>
          </cell>
        </row>
        <row r="8125">
          <cell r="C8125" t="str">
            <v>魏暉恩</v>
          </cell>
          <cell r="F8125" t="str">
            <v>M240201R1</v>
          </cell>
          <cell r="J8125">
            <v>45708</v>
          </cell>
          <cell r="K8125">
            <v>4</v>
          </cell>
        </row>
        <row r="8126">
          <cell r="C8126" t="str">
            <v>魏暉恩</v>
          </cell>
          <cell r="F8126" t="str">
            <v>M240702R1</v>
          </cell>
          <cell r="J8126">
            <v>45708</v>
          </cell>
          <cell r="K8126">
            <v>4</v>
          </cell>
        </row>
        <row r="8127">
          <cell r="C8127" t="str">
            <v>魏暉恩</v>
          </cell>
          <cell r="J8127">
            <v>45709</v>
          </cell>
          <cell r="K8127">
            <v>2</v>
          </cell>
        </row>
        <row r="8128">
          <cell r="C8128" t="str">
            <v>魏暉恩</v>
          </cell>
          <cell r="F8128" t="str">
            <v>D250201R1</v>
          </cell>
          <cell r="J8128">
            <v>45709</v>
          </cell>
          <cell r="K8128">
            <v>6</v>
          </cell>
        </row>
        <row r="8129">
          <cell r="C8129" t="str">
            <v>魏暉恩</v>
          </cell>
          <cell r="J8129">
            <v>45712</v>
          </cell>
          <cell r="K8129">
            <v>8</v>
          </cell>
        </row>
        <row r="8130">
          <cell r="C8130" t="str">
            <v>魏暉恩</v>
          </cell>
          <cell r="J8130">
            <v>45713</v>
          </cell>
          <cell r="K8130">
            <v>8</v>
          </cell>
        </row>
        <row r="8131">
          <cell r="C8131" t="str">
            <v>魏暉恩</v>
          </cell>
          <cell r="J8131">
            <v>45714</v>
          </cell>
          <cell r="K8131">
            <v>4</v>
          </cell>
        </row>
        <row r="8132">
          <cell r="C8132" t="str">
            <v>魏暉恩</v>
          </cell>
          <cell r="J8132">
            <v>45714</v>
          </cell>
          <cell r="K8132">
            <v>4</v>
          </cell>
        </row>
        <row r="8133">
          <cell r="C8133" t="str">
            <v>魏暉恩</v>
          </cell>
          <cell r="J8133">
            <v>45715</v>
          </cell>
          <cell r="K8133">
            <v>8</v>
          </cell>
        </row>
        <row r="8134">
          <cell r="C8134" t="str">
            <v>魏暉恩</v>
          </cell>
          <cell r="F8134" t="str">
            <v>M240702R1</v>
          </cell>
          <cell r="J8134">
            <v>45719</v>
          </cell>
          <cell r="K8134">
            <v>5</v>
          </cell>
        </row>
        <row r="8135">
          <cell r="C8135" t="str">
            <v>魏暉恩</v>
          </cell>
          <cell r="J8135">
            <v>45719</v>
          </cell>
          <cell r="K8135">
            <v>3</v>
          </cell>
        </row>
        <row r="8136">
          <cell r="C8136" t="str">
            <v>魏暉恩</v>
          </cell>
          <cell r="F8136" t="str">
            <v>M240704R1</v>
          </cell>
          <cell r="J8136">
            <v>45720</v>
          </cell>
          <cell r="K8136">
            <v>4</v>
          </cell>
        </row>
        <row r="8137">
          <cell r="C8137" t="str">
            <v>魏暉恩</v>
          </cell>
          <cell r="F8137" t="str">
            <v>M240201R1</v>
          </cell>
          <cell r="J8137">
            <v>45720</v>
          </cell>
          <cell r="K8137">
            <v>4</v>
          </cell>
        </row>
        <row r="8138">
          <cell r="C8138" t="str">
            <v>魏暉恩</v>
          </cell>
          <cell r="F8138" t="str">
            <v>M240201R1</v>
          </cell>
          <cell r="J8138">
            <v>45721</v>
          </cell>
          <cell r="K8138">
            <v>3</v>
          </cell>
        </row>
        <row r="8139">
          <cell r="C8139" t="str">
            <v>魏暉恩</v>
          </cell>
          <cell r="F8139" t="str">
            <v>M240704R1</v>
          </cell>
          <cell r="J8139">
            <v>45721</v>
          </cell>
          <cell r="K8139">
            <v>5</v>
          </cell>
        </row>
        <row r="8140">
          <cell r="C8140" t="str">
            <v>魏暉恩</v>
          </cell>
          <cell r="J8140">
            <v>45722</v>
          </cell>
          <cell r="K8140">
            <v>8</v>
          </cell>
        </row>
        <row r="8141">
          <cell r="C8141" t="str">
            <v>魏暉恩</v>
          </cell>
          <cell r="J8141">
            <v>45723</v>
          </cell>
          <cell r="K8141">
            <v>8</v>
          </cell>
        </row>
        <row r="8142">
          <cell r="C8142" t="str">
            <v>魏暉恩</v>
          </cell>
          <cell r="F8142" t="str">
            <v>M240704R1</v>
          </cell>
          <cell r="J8142">
            <v>45726</v>
          </cell>
          <cell r="K8142">
            <v>3</v>
          </cell>
        </row>
        <row r="8143">
          <cell r="C8143" t="str">
            <v>魏暉恩</v>
          </cell>
          <cell r="J8143">
            <v>45726</v>
          </cell>
          <cell r="K8143">
            <v>5</v>
          </cell>
        </row>
        <row r="8144">
          <cell r="C8144" t="str">
            <v>魏暉恩</v>
          </cell>
          <cell r="F8144" t="str">
            <v>M240702R1</v>
          </cell>
          <cell r="J8144">
            <v>45727</v>
          </cell>
          <cell r="K8144">
            <v>3</v>
          </cell>
        </row>
        <row r="8145">
          <cell r="C8145" t="str">
            <v>魏暉恩</v>
          </cell>
          <cell r="J8145">
            <v>45727</v>
          </cell>
          <cell r="K8145">
            <v>5</v>
          </cell>
        </row>
        <row r="8146">
          <cell r="C8146" t="str">
            <v>魏暉恩</v>
          </cell>
          <cell r="F8146" t="str">
            <v>D250201R1</v>
          </cell>
          <cell r="J8146">
            <v>45728</v>
          </cell>
          <cell r="K8146">
            <v>8</v>
          </cell>
        </row>
        <row r="8147">
          <cell r="C8147" t="str">
            <v>魏暉恩</v>
          </cell>
          <cell r="F8147" t="str">
            <v>M240702R1</v>
          </cell>
          <cell r="J8147">
            <v>45729</v>
          </cell>
          <cell r="K8147">
            <v>2</v>
          </cell>
        </row>
        <row r="8148">
          <cell r="C8148" t="str">
            <v>魏暉恩</v>
          </cell>
          <cell r="F8148" t="str">
            <v>D250201R1</v>
          </cell>
          <cell r="J8148">
            <v>45729</v>
          </cell>
          <cell r="K8148">
            <v>3</v>
          </cell>
        </row>
        <row r="8149">
          <cell r="C8149" t="str">
            <v>魏暉恩</v>
          </cell>
          <cell r="J8149">
            <v>45729</v>
          </cell>
          <cell r="K8149">
            <v>3</v>
          </cell>
        </row>
        <row r="8150">
          <cell r="C8150" t="str">
            <v>魏暉恩</v>
          </cell>
          <cell r="F8150" t="str">
            <v>M240702R1</v>
          </cell>
          <cell r="J8150">
            <v>45730</v>
          </cell>
          <cell r="K8150">
            <v>1</v>
          </cell>
        </row>
        <row r="8151">
          <cell r="C8151" t="str">
            <v>魏暉恩</v>
          </cell>
          <cell r="J8151">
            <v>45730</v>
          </cell>
          <cell r="K8151">
            <v>0.5</v>
          </cell>
        </row>
        <row r="8152">
          <cell r="C8152" t="str">
            <v>魏暉恩</v>
          </cell>
          <cell r="F8152" t="str">
            <v>D250201R1</v>
          </cell>
          <cell r="J8152">
            <v>45730</v>
          </cell>
          <cell r="K8152">
            <v>4</v>
          </cell>
        </row>
        <row r="8153">
          <cell r="C8153" t="str">
            <v>魏暉恩</v>
          </cell>
          <cell r="F8153" t="str">
            <v>M240704R1</v>
          </cell>
          <cell r="J8153">
            <v>45730</v>
          </cell>
          <cell r="K8153">
            <v>2.5</v>
          </cell>
        </row>
        <row r="8154">
          <cell r="C8154" t="str">
            <v>魏暉恩</v>
          </cell>
          <cell r="F8154" t="str">
            <v>M240704R1</v>
          </cell>
          <cell r="J8154">
            <v>45733</v>
          </cell>
          <cell r="K8154">
            <v>4</v>
          </cell>
        </row>
        <row r="8155">
          <cell r="C8155" t="str">
            <v>魏暉恩</v>
          </cell>
          <cell r="F8155" t="str">
            <v>M240702R1</v>
          </cell>
          <cell r="J8155">
            <v>45733</v>
          </cell>
          <cell r="K8155">
            <v>4</v>
          </cell>
        </row>
        <row r="8156">
          <cell r="C8156" t="str">
            <v>魏暉恩</v>
          </cell>
          <cell r="F8156" t="str">
            <v>M240702R1</v>
          </cell>
          <cell r="J8156">
            <v>45734</v>
          </cell>
          <cell r="K8156">
            <v>4</v>
          </cell>
        </row>
        <row r="8157">
          <cell r="C8157" t="str">
            <v>魏暉恩</v>
          </cell>
          <cell r="J8157">
            <v>45734</v>
          </cell>
          <cell r="K8157">
            <v>4</v>
          </cell>
        </row>
        <row r="8158">
          <cell r="C8158" t="str">
            <v>魏暉恩</v>
          </cell>
          <cell r="J8158">
            <v>45735</v>
          </cell>
          <cell r="K8158">
            <v>8</v>
          </cell>
        </row>
        <row r="8159">
          <cell r="C8159" t="str">
            <v>魏暉恩</v>
          </cell>
          <cell r="F8159" t="str">
            <v>M240704R1</v>
          </cell>
          <cell r="J8159">
            <v>45736</v>
          </cell>
          <cell r="K8159">
            <v>2</v>
          </cell>
        </row>
        <row r="8160">
          <cell r="C8160" t="str">
            <v>魏暉恩</v>
          </cell>
          <cell r="J8160">
            <v>45736</v>
          </cell>
          <cell r="K8160">
            <v>2</v>
          </cell>
        </row>
        <row r="8161">
          <cell r="C8161" t="str">
            <v>魏暉恩</v>
          </cell>
          <cell r="F8161" t="str">
            <v>M240702R1</v>
          </cell>
          <cell r="J8161">
            <v>45736</v>
          </cell>
          <cell r="K8161">
            <v>4</v>
          </cell>
        </row>
        <row r="8162">
          <cell r="C8162" t="str">
            <v>魏暉恩</v>
          </cell>
          <cell r="F8162" t="str">
            <v>M240302R1</v>
          </cell>
          <cell r="J8162">
            <v>45737</v>
          </cell>
          <cell r="K8162">
            <v>1.5</v>
          </cell>
        </row>
        <row r="8163">
          <cell r="C8163" t="str">
            <v>魏暉恩</v>
          </cell>
          <cell r="J8163">
            <v>45737</v>
          </cell>
          <cell r="K8163">
            <v>1.5</v>
          </cell>
        </row>
        <row r="8164">
          <cell r="C8164" t="str">
            <v>魏暉恩</v>
          </cell>
          <cell r="F8164" t="str">
            <v>M240702R1</v>
          </cell>
          <cell r="J8164">
            <v>45737</v>
          </cell>
          <cell r="K8164">
            <v>5</v>
          </cell>
        </row>
        <row r="8165">
          <cell r="C8165" t="str">
            <v>魏暉恩</v>
          </cell>
          <cell r="F8165" t="str">
            <v>M240704R1</v>
          </cell>
          <cell r="J8165">
            <v>45740</v>
          </cell>
          <cell r="K8165">
            <v>1.5</v>
          </cell>
        </row>
        <row r="8166">
          <cell r="C8166" t="str">
            <v>魏暉恩</v>
          </cell>
          <cell r="J8166">
            <v>45740</v>
          </cell>
          <cell r="K8166">
            <v>6.5</v>
          </cell>
        </row>
        <row r="8167">
          <cell r="C8167" t="str">
            <v>魏暉恩</v>
          </cell>
          <cell r="J8167">
            <v>45741</v>
          </cell>
          <cell r="K8167">
            <v>2</v>
          </cell>
        </row>
        <row r="8168">
          <cell r="C8168" t="str">
            <v>魏暉恩</v>
          </cell>
          <cell r="J8168">
            <v>45741</v>
          </cell>
          <cell r="K8168">
            <v>4</v>
          </cell>
        </row>
        <row r="8169">
          <cell r="C8169" t="str">
            <v>魏暉恩</v>
          </cell>
          <cell r="J8169">
            <v>45741</v>
          </cell>
          <cell r="K8169">
            <v>2</v>
          </cell>
        </row>
        <row r="8170">
          <cell r="C8170" t="str">
            <v>魏暉恩</v>
          </cell>
          <cell r="J8170">
            <v>45742</v>
          </cell>
          <cell r="K8170">
            <v>8</v>
          </cell>
        </row>
        <row r="8171">
          <cell r="C8171" t="str">
            <v>魏暉恩</v>
          </cell>
          <cell r="J8171">
            <v>45743</v>
          </cell>
          <cell r="K8171">
            <v>8</v>
          </cell>
        </row>
        <row r="8172">
          <cell r="C8172" t="str">
            <v>魏暉恩</v>
          </cell>
          <cell r="F8172" t="str">
            <v>M240302R1</v>
          </cell>
          <cell r="J8172">
            <v>45744</v>
          </cell>
          <cell r="K8172">
            <v>2</v>
          </cell>
        </row>
        <row r="8173">
          <cell r="C8173" t="str">
            <v>魏暉恩</v>
          </cell>
          <cell r="F8173" t="str">
            <v>M240704R1</v>
          </cell>
          <cell r="J8173">
            <v>45744</v>
          </cell>
          <cell r="K8173">
            <v>3</v>
          </cell>
        </row>
        <row r="8174">
          <cell r="C8174" t="str">
            <v>魏暉恩</v>
          </cell>
          <cell r="F8174" t="str">
            <v>M240702R1</v>
          </cell>
          <cell r="J8174">
            <v>45744</v>
          </cell>
          <cell r="K8174">
            <v>3</v>
          </cell>
        </row>
        <row r="8175">
          <cell r="C8175" t="str">
            <v>魏暉恩</v>
          </cell>
          <cell r="F8175" t="str">
            <v>D250201R1</v>
          </cell>
          <cell r="J8175">
            <v>45747</v>
          </cell>
          <cell r="K8175">
            <v>6</v>
          </cell>
        </row>
        <row r="8176">
          <cell r="C8176" t="str">
            <v>魏暉恩</v>
          </cell>
          <cell r="J8176">
            <v>45747</v>
          </cell>
          <cell r="K8176">
            <v>2</v>
          </cell>
        </row>
        <row r="8177">
          <cell r="C8177" t="str">
            <v>魏暉恩</v>
          </cell>
          <cell r="J8177">
            <v>45748</v>
          </cell>
          <cell r="K8177">
            <v>8</v>
          </cell>
        </row>
        <row r="8178">
          <cell r="C8178" t="str">
            <v>魏暉恩</v>
          </cell>
          <cell r="F8178" t="str">
            <v>M240302R1</v>
          </cell>
          <cell r="J8178">
            <v>45749</v>
          </cell>
          <cell r="K8178">
            <v>4</v>
          </cell>
        </row>
        <row r="8179">
          <cell r="C8179" t="str">
            <v>魏暉恩</v>
          </cell>
          <cell r="J8179">
            <v>45749</v>
          </cell>
          <cell r="K8179">
            <v>4</v>
          </cell>
        </row>
        <row r="8180">
          <cell r="C8180" t="str">
            <v>魏暉恩</v>
          </cell>
          <cell r="J8180">
            <v>45754</v>
          </cell>
          <cell r="K8180">
            <v>8</v>
          </cell>
        </row>
        <row r="8181">
          <cell r="C8181" t="str">
            <v>魏暉恩</v>
          </cell>
          <cell r="F8181" t="str">
            <v>F200201S1</v>
          </cell>
          <cell r="J8181">
            <v>45755</v>
          </cell>
          <cell r="K8181">
            <v>8</v>
          </cell>
        </row>
        <row r="8182">
          <cell r="C8182" t="str">
            <v>魏暉恩</v>
          </cell>
          <cell r="F8182" t="str">
            <v>M240302R1</v>
          </cell>
          <cell r="J8182">
            <v>45756</v>
          </cell>
          <cell r="K8182">
            <v>2</v>
          </cell>
        </row>
        <row r="8183">
          <cell r="C8183" t="str">
            <v>魏暉恩</v>
          </cell>
          <cell r="J8183">
            <v>45756</v>
          </cell>
          <cell r="K8183">
            <v>6</v>
          </cell>
        </row>
        <row r="8184">
          <cell r="C8184" t="str">
            <v>魏暉恩</v>
          </cell>
          <cell r="F8184" t="str">
            <v>M240302R1</v>
          </cell>
          <cell r="J8184">
            <v>45757</v>
          </cell>
          <cell r="K8184">
            <v>4</v>
          </cell>
        </row>
        <row r="8185">
          <cell r="C8185" t="str">
            <v>魏暉恩</v>
          </cell>
          <cell r="J8185">
            <v>45757</v>
          </cell>
          <cell r="K8185">
            <v>4</v>
          </cell>
        </row>
        <row r="8186">
          <cell r="C8186" t="str">
            <v>魏暉恩</v>
          </cell>
          <cell r="F8186" t="str">
            <v>M240704R1</v>
          </cell>
          <cell r="J8186">
            <v>45758</v>
          </cell>
          <cell r="K8186">
            <v>8</v>
          </cell>
        </row>
        <row r="8187">
          <cell r="C8187" t="str">
            <v>魏暉恩</v>
          </cell>
          <cell r="F8187" t="str">
            <v>M240704R1</v>
          </cell>
          <cell r="J8187">
            <v>45761</v>
          </cell>
          <cell r="K8187">
            <v>8</v>
          </cell>
        </row>
        <row r="8188">
          <cell r="C8188" t="str">
            <v>魏暉恩</v>
          </cell>
          <cell r="J8188">
            <v>45762</v>
          </cell>
          <cell r="K8188">
            <v>4</v>
          </cell>
        </row>
        <row r="8189">
          <cell r="C8189" t="str">
            <v>魏暉恩</v>
          </cell>
          <cell r="F8189" t="str">
            <v>M240704R1</v>
          </cell>
          <cell r="J8189">
            <v>45762</v>
          </cell>
          <cell r="K8189">
            <v>4</v>
          </cell>
        </row>
        <row r="8190">
          <cell r="C8190" t="str">
            <v>魏暉恩</v>
          </cell>
          <cell r="F8190" t="str">
            <v>M240704R1</v>
          </cell>
          <cell r="J8190">
            <v>45763</v>
          </cell>
          <cell r="K8190">
            <v>6</v>
          </cell>
        </row>
        <row r="8191">
          <cell r="C8191" t="str">
            <v>魏暉恩</v>
          </cell>
          <cell r="J8191">
            <v>45763</v>
          </cell>
          <cell r="K8191">
            <v>2</v>
          </cell>
        </row>
        <row r="8192">
          <cell r="C8192" t="str">
            <v>魏暉恩</v>
          </cell>
          <cell r="F8192" t="str">
            <v>M240302R1</v>
          </cell>
          <cell r="J8192">
            <v>45764</v>
          </cell>
          <cell r="K8192">
            <v>2</v>
          </cell>
        </row>
        <row r="8193">
          <cell r="C8193" t="str">
            <v>魏暉恩</v>
          </cell>
          <cell r="F8193" t="str">
            <v>M240704R1</v>
          </cell>
          <cell r="J8193">
            <v>45764</v>
          </cell>
          <cell r="K8193">
            <v>6</v>
          </cell>
        </row>
        <row r="8194">
          <cell r="C8194" t="str">
            <v>魏暉恩</v>
          </cell>
          <cell r="J8194">
            <v>45765</v>
          </cell>
          <cell r="K8194">
            <v>5</v>
          </cell>
        </row>
        <row r="8195">
          <cell r="C8195" t="str">
            <v>魏暉恩</v>
          </cell>
          <cell r="F8195" t="str">
            <v>M240704R1</v>
          </cell>
          <cell r="J8195">
            <v>45765</v>
          </cell>
          <cell r="K8195">
            <v>1.5</v>
          </cell>
        </row>
        <row r="8196">
          <cell r="C8196" t="str">
            <v>魏暉恩</v>
          </cell>
          <cell r="J8196">
            <v>45765</v>
          </cell>
          <cell r="K8196">
            <v>1.5</v>
          </cell>
        </row>
        <row r="8197">
          <cell r="C8197" t="str">
            <v>魏暉恩</v>
          </cell>
          <cell r="J8197">
            <v>45768</v>
          </cell>
          <cell r="K8197">
            <v>2</v>
          </cell>
        </row>
        <row r="8198">
          <cell r="C8198" t="str">
            <v>魏暉恩</v>
          </cell>
          <cell r="F8198" t="str">
            <v>M240704R1</v>
          </cell>
          <cell r="J8198">
            <v>45768</v>
          </cell>
          <cell r="K8198">
            <v>6</v>
          </cell>
        </row>
        <row r="8199">
          <cell r="C8199" t="str">
            <v>魏暉恩</v>
          </cell>
          <cell r="F8199" t="str">
            <v>M240704R1</v>
          </cell>
          <cell r="J8199">
            <v>45769</v>
          </cell>
          <cell r="K8199">
            <v>8</v>
          </cell>
        </row>
        <row r="8200">
          <cell r="C8200" t="str">
            <v>魏暉恩</v>
          </cell>
          <cell r="F8200" t="str">
            <v>M240702R1</v>
          </cell>
          <cell r="J8200">
            <v>45770</v>
          </cell>
          <cell r="K8200">
            <v>3</v>
          </cell>
        </row>
        <row r="8201">
          <cell r="C8201" t="str">
            <v>魏暉恩</v>
          </cell>
          <cell r="J8201">
            <v>45770</v>
          </cell>
          <cell r="K8201">
            <v>2</v>
          </cell>
        </row>
        <row r="8202">
          <cell r="C8202" t="str">
            <v>魏暉恩</v>
          </cell>
          <cell r="F8202" t="str">
            <v>M240302R1</v>
          </cell>
          <cell r="J8202">
            <v>45770</v>
          </cell>
          <cell r="K8202">
            <v>3</v>
          </cell>
        </row>
        <row r="8203">
          <cell r="C8203" t="str">
            <v>魏暉恩</v>
          </cell>
          <cell r="J8203">
            <v>45771</v>
          </cell>
          <cell r="K8203">
            <v>8</v>
          </cell>
        </row>
        <row r="8204">
          <cell r="C8204" t="str">
            <v>魏暉恩</v>
          </cell>
          <cell r="F8204" t="str">
            <v>M240302R1</v>
          </cell>
          <cell r="J8204">
            <v>45772</v>
          </cell>
          <cell r="K8204">
            <v>8</v>
          </cell>
        </row>
        <row r="8205">
          <cell r="C8205" t="str">
            <v>魏暉恩</v>
          </cell>
          <cell r="F8205" t="str">
            <v>D250201R1</v>
          </cell>
          <cell r="J8205">
            <v>45775</v>
          </cell>
          <cell r="K8205">
            <v>1</v>
          </cell>
        </row>
        <row r="8206">
          <cell r="C8206" t="str">
            <v>魏暉恩</v>
          </cell>
          <cell r="F8206" t="str">
            <v>M240302R1</v>
          </cell>
          <cell r="J8206">
            <v>45775</v>
          </cell>
          <cell r="K8206">
            <v>2</v>
          </cell>
        </row>
        <row r="8207">
          <cell r="C8207" t="str">
            <v>魏暉恩</v>
          </cell>
          <cell r="F8207" t="str">
            <v>M240704R1</v>
          </cell>
          <cell r="J8207">
            <v>45775</v>
          </cell>
          <cell r="K8207">
            <v>5</v>
          </cell>
        </row>
        <row r="8208">
          <cell r="C8208" t="str">
            <v>魏暉恩</v>
          </cell>
          <cell r="F8208" t="str">
            <v>M240704R1</v>
          </cell>
          <cell r="J8208">
            <v>45776</v>
          </cell>
          <cell r="K8208">
            <v>8</v>
          </cell>
        </row>
        <row r="8209">
          <cell r="C8209" t="str">
            <v>魏暉恩</v>
          </cell>
          <cell r="F8209" t="str">
            <v>M240702R1</v>
          </cell>
          <cell r="J8209">
            <v>45777</v>
          </cell>
          <cell r="K8209">
            <v>2</v>
          </cell>
        </row>
        <row r="8210">
          <cell r="C8210" t="str">
            <v>魏暉恩</v>
          </cell>
          <cell r="F8210" t="str">
            <v>M240302R1</v>
          </cell>
          <cell r="J8210">
            <v>45777</v>
          </cell>
          <cell r="K8210">
            <v>6</v>
          </cell>
        </row>
        <row r="8211">
          <cell r="C8211" t="str">
            <v>魏暉恩</v>
          </cell>
          <cell r="F8211" t="str">
            <v>M240704R1</v>
          </cell>
          <cell r="J8211">
            <v>45782</v>
          </cell>
          <cell r="K8211">
            <v>8</v>
          </cell>
        </row>
        <row r="8212">
          <cell r="C8212" t="str">
            <v>魏暉恩</v>
          </cell>
          <cell r="F8212" t="str">
            <v>F200201S1</v>
          </cell>
          <cell r="J8212">
            <v>45783</v>
          </cell>
          <cell r="K8212">
            <v>8</v>
          </cell>
        </row>
        <row r="8213">
          <cell r="C8213" t="str">
            <v>魏暉恩</v>
          </cell>
          <cell r="F8213" t="str">
            <v>M240302R1</v>
          </cell>
          <cell r="J8213">
            <v>45784</v>
          </cell>
          <cell r="K8213">
            <v>8</v>
          </cell>
        </row>
        <row r="8214">
          <cell r="C8214" t="str">
            <v>魏暉恩</v>
          </cell>
          <cell r="F8214" t="str">
            <v>M240201R1</v>
          </cell>
          <cell r="J8214">
            <v>45785</v>
          </cell>
          <cell r="K8214">
            <v>2</v>
          </cell>
        </row>
        <row r="8215">
          <cell r="C8215" t="str">
            <v>魏暉恩</v>
          </cell>
          <cell r="F8215" t="str">
            <v>M240702R1</v>
          </cell>
          <cell r="J8215">
            <v>45785</v>
          </cell>
          <cell r="K8215">
            <v>6</v>
          </cell>
        </row>
        <row r="8216">
          <cell r="C8216" t="str">
            <v>魏暉恩</v>
          </cell>
          <cell r="F8216" t="str">
            <v>M240201R1</v>
          </cell>
          <cell r="J8216">
            <v>45786</v>
          </cell>
          <cell r="K8216">
            <v>8</v>
          </cell>
        </row>
        <row r="8217">
          <cell r="C8217" t="str">
            <v>魏暉恩</v>
          </cell>
          <cell r="F8217" t="str">
            <v>M240704R1</v>
          </cell>
          <cell r="J8217">
            <v>45789</v>
          </cell>
          <cell r="K8217">
            <v>8</v>
          </cell>
        </row>
        <row r="8218">
          <cell r="C8218" t="str">
            <v>魏暉恩</v>
          </cell>
          <cell r="F8218" t="str">
            <v>F200201S1</v>
          </cell>
          <cell r="J8218">
            <v>45790</v>
          </cell>
          <cell r="K8218">
            <v>8</v>
          </cell>
        </row>
        <row r="8219">
          <cell r="C8219" t="str">
            <v>魏暉恩</v>
          </cell>
          <cell r="J8219">
            <v>45791</v>
          </cell>
          <cell r="K8219">
            <v>5</v>
          </cell>
        </row>
        <row r="8220">
          <cell r="C8220" t="str">
            <v>魏暉恩</v>
          </cell>
          <cell r="F8220" t="str">
            <v>M240704R1</v>
          </cell>
          <cell r="J8220">
            <v>45791</v>
          </cell>
          <cell r="K8220">
            <v>3</v>
          </cell>
        </row>
        <row r="8221">
          <cell r="C8221" t="str">
            <v>魏暉恩</v>
          </cell>
          <cell r="F8221" t="str">
            <v>M240201R1</v>
          </cell>
          <cell r="J8221">
            <v>45792</v>
          </cell>
          <cell r="K8221">
            <v>4</v>
          </cell>
        </row>
        <row r="8222">
          <cell r="C8222" t="str">
            <v>魏暉恩</v>
          </cell>
          <cell r="J8222">
            <v>45792</v>
          </cell>
          <cell r="K8222">
            <v>4</v>
          </cell>
        </row>
        <row r="8223">
          <cell r="C8223" t="str">
            <v>魏暉恩</v>
          </cell>
          <cell r="J8223">
            <v>45793</v>
          </cell>
          <cell r="K8223">
            <v>4</v>
          </cell>
        </row>
        <row r="8224">
          <cell r="C8224" t="str">
            <v>魏暉恩</v>
          </cell>
          <cell r="F8224" t="str">
            <v>M240201R1</v>
          </cell>
          <cell r="J8224">
            <v>45793</v>
          </cell>
          <cell r="K8224">
            <v>4</v>
          </cell>
        </row>
        <row r="8225">
          <cell r="C8225" t="str">
            <v>魏暉恩</v>
          </cell>
          <cell r="J8225">
            <v>45796</v>
          </cell>
          <cell r="K8225">
            <v>8</v>
          </cell>
        </row>
        <row r="8226">
          <cell r="C8226" t="str">
            <v>魏暉恩</v>
          </cell>
          <cell r="F8226" t="str">
            <v>F200201S1</v>
          </cell>
          <cell r="J8226">
            <v>45797</v>
          </cell>
          <cell r="K8226">
            <v>8</v>
          </cell>
        </row>
        <row r="8227">
          <cell r="C8227" t="str">
            <v>魏暉恩</v>
          </cell>
          <cell r="J8227">
            <v>45798</v>
          </cell>
          <cell r="K8227">
            <v>5</v>
          </cell>
        </row>
        <row r="8228">
          <cell r="C8228" t="str">
            <v>魏暉恩</v>
          </cell>
          <cell r="F8228" t="str">
            <v>M240201R1</v>
          </cell>
          <cell r="J8228">
            <v>45798</v>
          </cell>
          <cell r="K8228">
            <v>3</v>
          </cell>
        </row>
        <row r="8229">
          <cell r="C8229" t="str">
            <v>魏暉恩</v>
          </cell>
          <cell r="F8229" t="str">
            <v>M240201R1</v>
          </cell>
          <cell r="J8229">
            <v>45799</v>
          </cell>
          <cell r="K8229">
            <v>8</v>
          </cell>
        </row>
        <row r="8230">
          <cell r="C8230" t="str">
            <v>魏暉恩</v>
          </cell>
          <cell r="F8230" t="str">
            <v>D250201R1</v>
          </cell>
          <cell r="J8230">
            <v>45800</v>
          </cell>
          <cell r="K8230">
            <v>4</v>
          </cell>
        </row>
        <row r="8231">
          <cell r="C8231" t="str">
            <v>魏暉恩</v>
          </cell>
          <cell r="J8231">
            <v>45800</v>
          </cell>
          <cell r="K8231">
            <v>4</v>
          </cell>
        </row>
        <row r="8232">
          <cell r="C8232" t="str">
            <v>魏暉恩</v>
          </cell>
          <cell r="F8232" t="str">
            <v>M240704R1</v>
          </cell>
          <cell r="J8232">
            <v>45803</v>
          </cell>
          <cell r="K8232">
            <v>8</v>
          </cell>
        </row>
        <row r="8233">
          <cell r="C8233" t="str">
            <v>魏暉恩</v>
          </cell>
          <cell r="F8233" t="str">
            <v>F200201S1</v>
          </cell>
          <cell r="J8233">
            <v>45804</v>
          </cell>
          <cell r="K8233">
            <v>8</v>
          </cell>
        </row>
        <row r="8234">
          <cell r="C8234" t="str">
            <v>魏暉恩</v>
          </cell>
          <cell r="F8234" t="str">
            <v>M240704R1</v>
          </cell>
          <cell r="J8234">
            <v>45805</v>
          </cell>
          <cell r="K8234">
            <v>8</v>
          </cell>
        </row>
        <row r="8235">
          <cell r="C8235" t="str">
            <v>魏暉恩</v>
          </cell>
          <cell r="F8235" t="str">
            <v>M240201R1</v>
          </cell>
          <cell r="J8235">
            <v>45806</v>
          </cell>
          <cell r="K8235">
            <v>4</v>
          </cell>
        </row>
        <row r="8236">
          <cell r="C8236" t="str">
            <v>魏暉恩</v>
          </cell>
          <cell r="F8236" t="str">
            <v>M240704R1</v>
          </cell>
          <cell r="J8236">
            <v>45806</v>
          </cell>
          <cell r="K8236">
            <v>5.5</v>
          </cell>
        </row>
        <row r="8237">
          <cell r="C8237" t="str">
            <v>魏暉恩</v>
          </cell>
          <cell r="F8237" t="str">
            <v>M240201R1</v>
          </cell>
          <cell r="J8237">
            <v>45810</v>
          </cell>
          <cell r="K8237">
            <v>8</v>
          </cell>
        </row>
        <row r="8238">
          <cell r="C8238" t="str">
            <v>魏暉恩</v>
          </cell>
          <cell r="F8238" t="str">
            <v>M240704R1</v>
          </cell>
          <cell r="J8238">
            <v>45811</v>
          </cell>
          <cell r="K8238">
            <v>8</v>
          </cell>
        </row>
        <row r="8239">
          <cell r="C8239" t="str">
            <v>魏暉恩</v>
          </cell>
          <cell r="F8239" t="str">
            <v>M240704R1</v>
          </cell>
          <cell r="J8239">
            <v>45812</v>
          </cell>
          <cell r="K8239">
            <v>8</v>
          </cell>
        </row>
        <row r="8240">
          <cell r="C8240" t="str">
            <v>魏暉恩</v>
          </cell>
          <cell r="F8240" t="str">
            <v>M240201R1</v>
          </cell>
          <cell r="J8240">
            <v>45813</v>
          </cell>
          <cell r="K8240">
            <v>3</v>
          </cell>
        </row>
        <row r="8241">
          <cell r="C8241" t="str">
            <v>魏暉恩</v>
          </cell>
          <cell r="F8241" t="str">
            <v>M240704R1</v>
          </cell>
          <cell r="J8241">
            <v>45813</v>
          </cell>
          <cell r="K8241">
            <v>6</v>
          </cell>
        </row>
        <row r="8242">
          <cell r="C8242" t="str">
            <v>魏暉恩</v>
          </cell>
          <cell r="F8242" t="str">
            <v>M240302R1</v>
          </cell>
          <cell r="J8242">
            <v>45814</v>
          </cell>
          <cell r="K8242">
            <v>3</v>
          </cell>
        </row>
        <row r="8243">
          <cell r="C8243" t="str">
            <v>魏暉恩</v>
          </cell>
          <cell r="J8243">
            <v>45814</v>
          </cell>
          <cell r="K8243">
            <v>1</v>
          </cell>
        </row>
        <row r="8244">
          <cell r="C8244" t="str">
            <v>魏暉恩</v>
          </cell>
          <cell r="F8244" t="str">
            <v>M240201R1</v>
          </cell>
          <cell r="J8244">
            <v>45814</v>
          </cell>
          <cell r="K8244">
            <v>4</v>
          </cell>
        </row>
        <row r="8245">
          <cell r="C8245" t="str">
            <v>魏暉恩</v>
          </cell>
          <cell r="F8245" t="str">
            <v>M220703P1</v>
          </cell>
          <cell r="J8245">
            <v>45817</v>
          </cell>
          <cell r="K8245">
            <v>5</v>
          </cell>
        </row>
        <row r="8246">
          <cell r="C8246" t="str">
            <v>魏暉恩</v>
          </cell>
          <cell r="F8246" t="str">
            <v>M240704R1</v>
          </cell>
          <cell r="J8246">
            <v>45817</v>
          </cell>
          <cell r="K8246">
            <v>3</v>
          </cell>
        </row>
        <row r="8247">
          <cell r="C8247" t="str">
            <v>魏暉恩</v>
          </cell>
          <cell r="F8247" t="str">
            <v>M240201R1</v>
          </cell>
          <cell r="J8247">
            <v>45818</v>
          </cell>
          <cell r="K8247">
            <v>4</v>
          </cell>
        </row>
        <row r="8248">
          <cell r="C8248" t="str">
            <v>魏暉恩</v>
          </cell>
          <cell r="F8248" t="str">
            <v>M240704R1</v>
          </cell>
          <cell r="J8248">
            <v>45818</v>
          </cell>
          <cell r="K8248">
            <v>4</v>
          </cell>
        </row>
        <row r="8249">
          <cell r="C8249" t="str">
            <v>魏暉恩</v>
          </cell>
          <cell r="F8249" t="str">
            <v>M240702R1</v>
          </cell>
          <cell r="J8249">
            <v>45819</v>
          </cell>
          <cell r="K8249">
            <v>2</v>
          </cell>
        </row>
        <row r="8250">
          <cell r="C8250" t="str">
            <v>魏暉恩</v>
          </cell>
          <cell r="J8250">
            <v>45819</v>
          </cell>
          <cell r="K8250">
            <v>2</v>
          </cell>
        </row>
        <row r="8251">
          <cell r="C8251" t="str">
            <v>魏暉恩</v>
          </cell>
          <cell r="F8251" t="str">
            <v>M240704R1</v>
          </cell>
          <cell r="J8251">
            <v>45819</v>
          </cell>
          <cell r="K8251">
            <v>4</v>
          </cell>
        </row>
        <row r="8252">
          <cell r="C8252" t="str">
            <v>魏暉恩</v>
          </cell>
          <cell r="J8252">
            <v>45820</v>
          </cell>
          <cell r="K8252">
            <v>2</v>
          </cell>
        </row>
        <row r="8253">
          <cell r="C8253" t="str">
            <v>魏暉恩</v>
          </cell>
          <cell r="F8253" t="str">
            <v>M240702R1</v>
          </cell>
          <cell r="J8253">
            <v>45820</v>
          </cell>
          <cell r="K8253">
            <v>2</v>
          </cell>
        </row>
        <row r="8254">
          <cell r="C8254" t="str">
            <v>魏暉恩</v>
          </cell>
          <cell r="F8254" t="str">
            <v>M240702R1</v>
          </cell>
          <cell r="J8254">
            <v>45820</v>
          </cell>
          <cell r="K8254">
            <v>4</v>
          </cell>
        </row>
        <row r="8255">
          <cell r="C8255" t="str">
            <v>魏暉恩</v>
          </cell>
          <cell r="F8255" t="str">
            <v>M240702R1</v>
          </cell>
          <cell r="J8255">
            <v>45821</v>
          </cell>
          <cell r="K8255">
            <v>4</v>
          </cell>
        </row>
        <row r="8256">
          <cell r="C8256" t="str">
            <v>魏暉恩</v>
          </cell>
          <cell r="F8256" t="str">
            <v>M240704R1</v>
          </cell>
          <cell r="J8256">
            <v>45821</v>
          </cell>
          <cell r="K8256">
            <v>4</v>
          </cell>
        </row>
        <row r="8257">
          <cell r="C8257" t="str">
            <v>魏暉恩</v>
          </cell>
          <cell r="F8257" t="str">
            <v>M240704R1</v>
          </cell>
          <cell r="J8257">
            <v>45824</v>
          </cell>
          <cell r="K8257">
            <v>8</v>
          </cell>
        </row>
        <row r="8258">
          <cell r="C8258" t="str">
            <v>魏暉恩</v>
          </cell>
          <cell r="J8258">
            <v>45825</v>
          </cell>
          <cell r="K8258">
            <v>3</v>
          </cell>
        </row>
        <row r="8259">
          <cell r="C8259" t="str">
            <v>魏暉恩</v>
          </cell>
          <cell r="F8259" t="str">
            <v>M240704R1</v>
          </cell>
          <cell r="J8259">
            <v>45825</v>
          </cell>
          <cell r="K8259">
            <v>5</v>
          </cell>
        </row>
        <row r="8260">
          <cell r="C8260" t="str">
            <v>魏暉恩</v>
          </cell>
          <cell r="F8260" t="str">
            <v>M240704R1</v>
          </cell>
          <cell r="J8260">
            <v>45826</v>
          </cell>
          <cell r="K8260">
            <v>8</v>
          </cell>
        </row>
        <row r="8261">
          <cell r="C8261" t="str">
            <v>魏暉恩</v>
          </cell>
          <cell r="F8261" t="str">
            <v>M240704R1</v>
          </cell>
          <cell r="J8261">
            <v>45827</v>
          </cell>
          <cell r="K8261">
            <v>10</v>
          </cell>
        </row>
        <row r="8262">
          <cell r="C8262" t="str">
            <v>魏暉恩</v>
          </cell>
          <cell r="F8262" t="str">
            <v>M240704R1</v>
          </cell>
          <cell r="J8262">
            <v>45828</v>
          </cell>
          <cell r="K8262">
            <v>8</v>
          </cell>
        </row>
        <row r="8263">
          <cell r="C8263" t="str">
            <v>魏暉恩</v>
          </cell>
          <cell r="F8263" t="str">
            <v>M240704R1</v>
          </cell>
          <cell r="J8263">
            <v>45831</v>
          </cell>
          <cell r="K8263">
            <v>8</v>
          </cell>
        </row>
        <row r="8264">
          <cell r="C8264" t="str">
            <v>魏暉恩</v>
          </cell>
          <cell r="F8264" t="str">
            <v>M240704R1</v>
          </cell>
          <cell r="J8264">
            <v>45832</v>
          </cell>
          <cell r="K8264">
            <v>8</v>
          </cell>
        </row>
        <row r="8265">
          <cell r="C8265" t="str">
            <v>魏暉恩</v>
          </cell>
          <cell r="F8265" t="str">
            <v>M240704R1</v>
          </cell>
          <cell r="J8265">
            <v>45833</v>
          </cell>
          <cell r="K8265">
            <v>8</v>
          </cell>
        </row>
        <row r="8266">
          <cell r="C8266" t="str">
            <v>魏暉恩</v>
          </cell>
          <cell r="J8266">
            <v>45834</v>
          </cell>
          <cell r="K8266">
            <v>6</v>
          </cell>
        </row>
        <row r="8267">
          <cell r="C8267" t="str">
            <v>魏暉恩</v>
          </cell>
          <cell r="F8267" t="str">
            <v>M240704R1</v>
          </cell>
          <cell r="J8267">
            <v>45834</v>
          </cell>
          <cell r="K8267">
            <v>2</v>
          </cell>
        </row>
        <row r="8268">
          <cell r="C8268" t="str">
            <v>魏暉恩</v>
          </cell>
          <cell r="F8268" t="str">
            <v>M240704R1</v>
          </cell>
          <cell r="J8268">
            <v>45835</v>
          </cell>
          <cell r="K8268">
            <v>8</v>
          </cell>
        </row>
        <row r="8269">
          <cell r="C8269" t="str">
            <v>魏暉恩</v>
          </cell>
          <cell r="F8269" t="str">
            <v>M240704R1</v>
          </cell>
          <cell r="J8269">
            <v>45838</v>
          </cell>
          <cell r="K8269">
            <v>8</v>
          </cell>
        </row>
        <row r="8270">
          <cell r="C8270" t="str">
            <v>魏暉恩</v>
          </cell>
          <cell r="J8270">
            <v>45839</v>
          </cell>
          <cell r="K8270">
            <v>4</v>
          </cell>
        </row>
        <row r="8271">
          <cell r="C8271" t="str">
            <v>魏暉恩</v>
          </cell>
          <cell r="F8271" t="str">
            <v>M240702R1</v>
          </cell>
          <cell r="J8271">
            <v>45839</v>
          </cell>
          <cell r="K8271">
            <v>4</v>
          </cell>
        </row>
        <row r="8272">
          <cell r="C8272" t="str">
            <v>魏暉恩</v>
          </cell>
          <cell r="J8272">
            <v>45840</v>
          </cell>
          <cell r="K8272">
            <v>4</v>
          </cell>
        </row>
        <row r="8273">
          <cell r="C8273" t="str">
            <v>魏暉恩</v>
          </cell>
          <cell r="F8273" t="str">
            <v>D250201R1</v>
          </cell>
          <cell r="J8273">
            <v>45840</v>
          </cell>
          <cell r="K8273">
            <v>4</v>
          </cell>
        </row>
        <row r="8274">
          <cell r="C8274" t="str">
            <v>魏暉恩</v>
          </cell>
          <cell r="J8274">
            <v>45841</v>
          </cell>
          <cell r="K8274">
            <v>5</v>
          </cell>
        </row>
        <row r="8275">
          <cell r="C8275" t="str">
            <v>魏暉恩</v>
          </cell>
          <cell r="J8275">
            <v>45841</v>
          </cell>
          <cell r="K8275">
            <v>3</v>
          </cell>
        </row>
        <row r="8276">
          <cell r="C8276" t="str">
            <v>魏暉恩</v>
          </cell>
          <cell r="F8276" t="str">
            <v>M240704R1</v>
          </cell>
          <cell r="J8276">
            <v>45842</v>
          </cell>
          <cell r="K8276">
            <v>10.5</v>
          </cell>
        </row>
        <row r="8277">
          <cell r="C8277" t="str">
            <v>魏暉恩</v>
          </cell>
          <cell r="F8277" t="str">
            <v>M240704R1</v>
          </cell>
          <cell r="J8277">
            <v>45845</v>
          </cell>
          <cell r="K8277">
            <v>10</v>
          </cell>
        </row>
        <row r="8278">
          <cell r="C8278" t="str">
            <v>魏暉恩</v>
          </cell>
          <cell r="F8278" t="str">
            <v>M240704R1</v>
          </cell>
          <cell r="J8278">
            <v>45846</v>
          </cell>
          <cell r="K8278">
            <v>9</v>
          </cell>
        </row>
        <row r="8279">
          <cell r="C8279" t="str">
            <v>魏暉恩</v>
          </cell>
          <cell r="F8279" t="str">
            <v>M240201R1</v>
          </cell>
          <cell r="J8279">
            <v>45847</v>
          </cell>
          <cell r="K8279">
            <v>4</v>
          </cell>
        </row>
        <row r="8280">
          <cell r="C8280" t="str">
            <v>魏暉恩</v>
          </cell>
          <cell r="F8280" t="str">
            <v>M240704R1</v>
          </cell>
          <cell r="J8280">
            <v>45847</v>
          </cell>
          <cell r="K8280">
            <v>4</v>
          </cell>
        </row>
        <row r="8281">
          <cell r="C8281" t="str">
            <v>魏暉恩</v>
          </cell>
          <cell r="F8281" t="str">
            <v>M240201R1</v>
          </cell>
          <cell r="J8281">
            <v>45848</v>
          </cell>
          <cell r="K8281">
            <v>5</v>
          </cell>
        </row>
        <row r="8282">
          <cell r="C8282" t="str">
            <v>魏暉恩</v>
          </cell>
          <cell r="F8282" t="str">
            <v>M240704R1</v>
          </cell>
          <cell r="J8282">
            <v>45848</v>
          </cell>
          <cell r="K8282">
            <v>3</v>
          </cell>
        </row>
        <row r="8283">
          <cell r="C8283" t="str">
            <v>魏暉恩</v>
          </cell>
          <cell r="F8283" t="str">
            <v>M240702R1</v>
          </cell>
          <cell r="J8283">
            <v>45849</v>
          </cell>
          <cell r="K8283">
            <v>4</v>
          </cell>
        </row>
        <row r="8284">
          <cell r="C8284" t="str">
            <v>魏暉恩</v>
          </cell>
          <cell r="F8284" t="str">
            <v>M240704R1</v>
          </cell>
          <cell r="J8284">
            <v>45849</v>
          </cell>
          <cell r="K8284">
            <v>4</v>
          </cell>
        </row>
        <row r="8285">
          <cell r="C8285" t="str">
            <v>魏暉恩</v>
          </cell>
          <cell r="F8285" t="str">
            <v>M240704R1</v>
          </cell>
          <cell r="J8285">
            <v>45852</v>
          </cell>
          <cell r="K8285">
            <v>8</v>
          </cell>
        </row>
        <row r="8286">
          <cell r="C8286" t="str">
            <v>魏暉恩</v>
          </cell>
          <cell r="F8286" t="str">
            <v>M240704R1</v>
          </cell>
          <cell r="J8286">
            <v>45853</v>
          </cell>
          <cell r="K8286">
            <v>8</v>
          </cell>
        </row>
        <row r="8287">
          <cell r="C8287" t="str">
            <v>魏暉恩</v>
          </cell>
          <cell r="F8287" t="str">
            <v>M240702R1</v>
          </cell>
          <cell r="J8287">
            <v>45854</v>
          </cell>
          <cell r="K8287">
            <v>3</v>
          </cell>
        </row>
        <row r="8288">
          <cell r="C8288" t="str">
            <v>魏暉恩</v>
          </cell>
          <cell r="F8288" t="str">
            <v>M240704R1</v>
          </cell>
          <cell r="J8288">
            <v>45854</v>
          </cell>
          <cell r="K8288">
            <v>5</v>
          </cell>
        </row>
        <row r="8289">
          <cell r="C8289" t="str">
            <v>魏暉恩</v>
          </cell>
          <cell r="F8289" t="str">
            <v>M240702R1</v>
          </cell>
          <cell r="J8289">
            <v>45855</v>
          </cell>
          <cell r="K8289">
            <v>4</v>
          </cell>
        </row>
        <row r="8290">
          <cell r="C8290" t="str">
            <v>魏暉恩</v>
          </cell>
          <cell r="F8290" t="str">
            <v>M240704R1</v>
          </cell>
          <cell r="J8290">
            <v>45855</v>
          </cell>
          <cell r="K8290">
            <v>4</v>
          </cell>
        </row>
        <row r="8291">
          <cell r="C8291" t="str">
            <v>魏暉恩</v>
          </cell>
          <cell r="F8291" t="str">
            <v>M240704R1</v>
          </cell>
          <cell r="J8291">
            <v>45856</v>
          </cell>
          <cell r="K8291">
            <v>8</v>
          </cell>
        </row>
        <row r="8292">
          <cell r="C8292" t="str">
            <v>魏暉恩</v>
          </cell>
          <cell r="F8292" t="str">
            <v>M240702R1</v>
          </cell>
          <cell r="J8292">
            <v>45859</v>
          </cell>
          <cell r="K8292">
            <v>4</v>
          </cell>
        </row>
        <row r="8293">
          <cell r="C8293" t="str">
            <v>魏暉恩</v>
          </cell>
          <cell r="F8293" t="str">
            <v>M240704R1</v>
          </cell>
          <cell r="J8293">
            <v>45859</v>
          </cell>
          <cell r="K8293">
            <v>4</v>
          </cell>
        </row>
        <row r="8294">
          <cell r="C8294" t="str">
            <v>魏暉恩</v>
          </cell>
          <cell r="F8294" t="str">
            <v>M240201R1</v>
          </cell>
          <cell r="J8294">
            <v>45860</v>
          </cell>
          <cell r="K8294">
            <v>7</v>
          </cell>
        </row>
        <row r="8295">
          <cell r="C8295" t="str">
            <v>魏暉恩</v>
          </cell>
          <cell r="F8295" t="str">
            <v>M240704R1</v>
          </cell>
          <cell r="J8295">
            <v>45860</v>
          </cell>
          <cell r="K8295">
            <v>2</v>
          </cell>
        </row>
        <row r="8296">
          <cell r="C8296" t="str">
            <v>魏暉恩</v>
          </cell>
          <cell r="F8296" t="str">
            <v>M240702R1</v>
          </cell>
          <cell r="J8296">
            <v>45861</v>
          </cell>
          <cell r="K8296">
            <v>4</v>
          </cell>
        </row>
        <row r="8297">
          <cell r="C8297" t="str">
            <v>魏暉恩</v>
          </cell>
          <cell r="F8297" t="str">
            <v>M240704R1</v>
          </cell>
          <cell r="J8297">
            <v>45861</v>
          </cell>
          <cell r="K8297">
            <v>4</v>
          </cell>
        </row>
        <row r="8298">
          <cell r="C8298" t="str">
            <v>魏暉恩</v>
          </cell>
          <cell r="F8298" t="str">
            <v>M240702R1</v>
          </cell>
          <cell r="J8298">
            <v>45862</v>
          </cell>
          <cell r="K8298">
            <v>4</v>
          </cell>
        </row>
        <row r="8299">
          <cell r="C8299" t="str">
            <v>魏暉恩</v>
          </cell>
          <cell r="F8299" t="str">
            <v>M240704R1</v>
          </cell>
          <cell r="J8299">
            <v>45862</v>
          </cell>
          <cell r="K8299">
            <v>4</v>
          </cell>
        </row>
        <row r="8300">
          <cell r="C8300" t="str">
            <v>魏暉恩</v>
          </cell>
          <cell r="F8300" t="str">
            <v>M240704R1</v>
          </cell>
          <cell r="J8300">
            <v>45863</v>
          </cell>
          <cell r="K8300">
            <v>5</v>
          </cell>
        </row>
        <row r="8301">
          <cell r="C8301" t="str">
            <v>魏暉恩</v>
          </cell>
          <cell r="F8301" t="str">
            <v>M240704R1</v>
          </cell>
          <cell r="J8301">
            <v>45866</v>
          </cell>
          <cell r="K8301">
            <v>8</v>
          </cell>
        </row>
        <row r="8302">
          <cell r="C8302" t="str">
            <v>魏暉恩</v>
          </cell>
          <cell r="J8302">
            <v>45867</v>
          </cell>
          <cell r="K8302">
            <v>6</v>
          </cell>
        </row>
        <row r="8303">
          <cell r="C8303" t="str">
            <v>魏暉恩</v>
          </cell>
          <cell r="F8303" t="str">
            <v>M240704R1</v>
          </cell>
          <cell r="J8303">
            <v>45867</v>
          </cell>
          <cell r="K8303">
            <v>3</v>
          </cell>
        </row>
        <row r="8304">
          <cell r="C8304" t="str">
            <v>魏暉恩</v>
          </cell>
          <cell r="J8304">
            <v>45868</v>
          </cell>
          <cell r="K8304">
            <v>1.5</v>
          </cell>
        </row>
        <row r="8305">
          <cell r="C8305" t="str">
            <v>魏暉恩</v>
          </cell>
          <cell r="F8305" t="str">
            <v>M240704R1</v>
          </cell>
          <cell r="J8305">
            <v>45868</v>
          </cell>
          <cell r="K8305">
            <v>6.5</v>
          </cell>
        </row>
        <row r="8306">
          <cell r="C8306" t="str">
            <v>魏暉恩</v>
          </cell>
          <cell r="J8306">
            <v>45869</v>
          </cell>
          <cell r="K8306">
            <v>3.5</v>
          </cell>
        </row>
        <row r="8307">
          <cell r="C8307" t="str">
            <v>魏暉恩</v>
          </cell>
          <cell r="F8307" t="str">
            <v>M240704R1</v>
          </cell>
          <cell r="J8307">
            <v>45869</v>
          </cell>
          <cell r="K8307">
            <v>4.5</v>
          </cell>
        </row>
        <row r="8308">
          <cell r="C8308" t="str">
            <v>魏暉恩</v>
          </cell>
          <cell r="F8308" t="str">
            <v>M240704R1</v>
          </cell>
          <cell r="J8308">
            <v>45870</v>
          </cell>
          <cell r="K8308">
            <v>8</v>
          </cell>
        </row>
        <row r="8309">
          <cell r="C8309" t="str">
            <v>魏暉恩</v>
          </cell>
          <cell r="J8309">
            <v>45873</v>
          </cell>
          <cell r="K8309">
            <v>4</v>
          </cell>
        </row>
        <row r="8310">
          <cell r="C8310" t="str">
            <v>魏暉恩</v>
          </cell>
          <cell r="F8310" t="str">
            <v>M240704R1</v>
          </cell>
          <cell r="J8310">
            <v>45873</v>
          </cell>
          <cell r="K8310">
            <v>4</v>
          </cell>
        </row>
        <row r="8311">
          <cell r="C8311" t="str">
            <v>魏暉恩</v>
          </cell>
          <cell r="J8311">
            <v>45874</v>
          </cell>
          <cell r="K8311">
            <v>6</v>
          </cell>
        </row>
        <row r="8312">
          <cell r="C8312" t="str">
            <v>魏暉恩</v>
          </cell>
          <cell r="F8312" t="str">
            <v>M240704R1</v>
          </cell>
          <cell r="J8312">
            <v>45874</v>
          </cell>
          <cell r="K8312">
            <v>2</v>
          </cell>
        </row>
        <row r="8313">
          <cell r="C8313" t="str">
            <v>魏暉恩</v>
          </cell>
          <cell r="J8313">
            <v>45875</v>
          </cell>
          <cell r="K8313">
            <v>7</v>
          </cell>
        </row>
        <row r="8314">
          <cell r="C8314" t="str">
            <v>魏暉恩</v>
          </cell>
          <cell r="F8314" t="str">
            <v>M240704R1</v>
          </cell>
          <cell r="J8314">
            <v>45875</v>
          </cell>
          <cell r="K8314">
            <v>1</v>
          </cell>
        </row>
        <row r="8315">
          <cell r="C8315" t="str">
            <v>魏暉恩</v>
          </cell>
          <cell r="J8315">
            <v>45876</v>
          </cell>
          <cell r="K8315">
            <v>3</v>
          </cell>
        </row>
        <row r="8316">
          <cell r="C8316" t="str">
            <v>魏暉恩</v>
          </cell>
          <cell r="J8316">
            <v>45876</v>
          </cell>
          <cell r="K8316">
            <v>3.5</v>
          </cell>
        </row>
        <row r="8317">
          <cell r="C8317" t="str">
            <v>魏暉恩</v>
          </cell>
          <cell r="F8317" t="str">
            <v>M240704R1</v>
          </cell>
          <cell r="J8317">
            <v>45876</v>
          </cell>
          <cell r="K8317">
            <v>1.5</v>
          </cell>
        </row>
        <row r="8318">
          <cell r="C8318" t="str">
            <v>魏暉恩</v>
          </cell>
          <cell r="J8318">
            <v>45877</v>
          </cell>
          <cell r="K8318">
            <v>2</v>
          </cell>
        </row>
        <row r="8319">
          <cell r="C8319" t="str">
            <v>魏暉恩</v>
          </cell>
          <cell r="F8319" t="str">
            <v>M240704R1</v>
          </cell>
          <cell r="J8319">
            <v>45877</v>
          </cell>
          <cell r="K8319">
            <v>6</v>
          </cell>
        </row>
        <row r="8320">
          <cell r="C8320" t="str">
            <v>魏暉恩</v>
          </cell>
          <cell r="J8320">
            <v>45880</v>
          </cell>
          <cell r="K8320">
            <v>6</v>
          </cell>
        </row>
        <row r="8321">
          <cell r="C8321" t="str">
            <v>魏暉恩</v>
          </cell>
          <cell r="J8321">
            <v>45880</v>
          </cell>
          <cell r="K8321">
            <v>2</v>
          </cell>
        </row>
        <row r="8322">
          <cell r="C8322" t="str">
            <v>魏暉恩</v>
          </cell>
          <cell r="J8322">
            <v>45881</v>
          </cell>
          <cell r="K8322">
            <v>2.5</v>
          </cell>
        </row>
        <row r="8323">
          <cell r="C8323" t="str">
            <v>魏暉恩</v>
          </cell>
          <cell r="F8323" t="str">
            <v>M240704R1</v>
          </cell>
          <cell r="J8323">
            <v>45881</v>
          </cell>
          <cell r="K8323">
            <v>5.5</v>
          </cell>
        </row>
        <row r="8324">
          <cell r="C8324" t="str">
            <v>魏暉恩</v>
          </cell>
          <cell r="J8324">
            <v>45882</v>
          </cell>
          <cell r="K8324">
            <v>3</v>
          </cell>
        </row>
        <row r="8325">
          <cell r="C8325" t="str">
            <v>魏暉恩</v>
          </cell>
          <cell r="F8325" t="str">
            <v>M240704R1</v>
          </cell>
          <cell r="J8325">
            <v>45882</v>
          </cell>
          <cell r="K8325">
            <v>5</v>
          </cell>
        </row>
        <row r="8326">
          <cell r="C8326" t="str">
            <v>魏暉恩</v>
          </cell>
          <cell r="J8326">
            <v>45883</v>
          </cell>
          <cell r="K8326">
            <v>6</v>
          </cell>
        </row>
        <row r="8327">
          <cell r="C8327" t="str">
            <v>魏暉恩</v>
          </cell>
          <cell r="F8327" t="str">
            <v>M240704R1</v>
          </cell>
          <cell r="J8327">
            <v>45883</v>
          </cell>
          <cell r="K8327">
            <v>2</v>
          </cell>
        </row>
        <row r="8328">
          <cell r="C8328" t="str">
            <v>魏暉恩</v>
          </cell>
          <cell r="J8328">
            <v>45884</v>
          </cell>
          <cell r="K8328">
            <v>1</v>
          </cell>
        </row>
        <row r="8329">
          <cell r="C8329" t="str">
            <v>魏暉恩</v>
          </cell>
          <cell r="J8329">
            <v>45884</v>
          </cell>
          <cell r="K8329">
            <v>6.5</v>
          </cell>
        </row>
        <row r="8330">
          <cell r="C8330" t="str">
            <v>魏暉恩</v>
          </cell>
          <cell r="F8330" t="str">
            <v>M240704R1</v>
          </cell>
          <cell r="J8330">
            <v>45884</v>
          </cell>
          <cell r="K8330">
            <v>2.5</v>
          </cell>
        </row>
        <row r="8331">
          <cell r="C8331" t="str">
            <v>魏暉恩</v>
          </cell>
          <cell r="J8331">
            <v>45887</v>
          </cell>
          <cell r="K8331">
            <v>6</v>
          </cell>
        </row>
        <row r="8332">
          <cell r="C8332" t="str">
            <v>魏暉恩</v>
          </cell>
          <cell r="F8332" t="str">
            <v>M240704R1</v>
          </cell>
          <cell r="J8332">
            <v>45887</v>
          </cell>
          <cell r="K8332">
            <v>2</v>
          </cell>
        </row>
        <row r="8333">
          <cell r="C8333" t="str">
            <v>魏暉恩</v>
          </cell>
          <cell r="J8333">
            <v>45888</v>
          </cell>
          <cell r="K8333">
            <v>4</v>
          </cell>
        </row>
        <row r="8334">
          <cell r="C8334" t="str">
            <v>魏暉恩</v>
          </cell>
          <cell r="F8334" t="str">
            <v>M240704R1</v>
          </cell>
          <cell r="J8334">
            <v>45888</v>
          </cell>
          <cell r="K8334">
            <v>4</v>
          </cell>
        </row>
        <row r="8335">
          <cell r="C8335" t="str">
            <v>魏暉恩</v>
          </cell>
          <cell r="J8335">
            <v>45889</v>
          </cell>
          <cell r="K8335">
            <v>8</v>
          </cell>
        </row>
        <row r="8336">
          <cell r="C8336" t="str">
            <v>魏暉恩</v>
          </cell>
          <cell r="F8336" t="str">
            <v>M240704R1</v>
          </cell>
          <cell r="J8336">
            <v>45890</v>
          </cell>
          <cell r="K8336">
            <v>8</v>
          </cell>
        </row>
        <row r="8337">
          <cell r="C8337" t="str">
            <v>魏暉恩</v>
          </cell>
          <cell r="J8337">
            <v>45891</v>
          </cell>
          <cell r="K8337">
            <v>8</v>
          </cell>
        </row>
        <row r="8338">
          <cell r="C8338" t="str">
            <v>魏暉恩</v>
          </cell>
          <cell r="J8338">
            <v>45894</v>
          </cell>
          <cell r="K8338">
            <v>1</v>
          </cell>
        </row>
        <row r="8339">
          <cell r="C8339" t="str">
            <v>魏暉恩</v>
          </cell>
          <cell r="J8339">
            <v>45894</v>
          </cell>
          <cell r="K8339">
            <v>1.5</v>
          </cell>
        </row>
        <row r="8340">
          <cell r="C8340" t="str">
            <v>魏暉恩</v>
          </cell>
          <cell r="F8340" t="str">
            <v>M240704R1</v>
          </cell>
          <cell r="J8340">
            <v>45894</v>
          </cell>
          <cell r="K8340">
            <v>3</v>
          </cell>
        </row>
        <row r="8341">
          <cell r="C8341" t="str">
            <v>魏暉恩</v>
          </cell>
          <cell r="F8341" t="str">
            <v>M240704R1</v>
          </cell>
          <cell r="J8341">
            <v>45894</v>
          </cell>
          <cell r="K8341">
            <v>1</v>
          </cell>
        </row>
        <row r="8342">
          <cell r="C8342" t="str">
            <v>魏暉恩</v>
          </cell>
          <cell r="F8342" t="str">
            <v>M240704R1</v>
          </cell>
          <cell r="J8342">
            <v>45894</v>
          </cell>
          <cell r="K8342">
            <v>2.5</v>
          </cell>
        </row>
        <row r="8343">
          <cell r="C8343" t="str">
            <v>魏暉恩</v>
          </cell>
          <cell r="F8343" t="str">
            <v>M240704R1</v>
          </cell>
          <cell r="J8343">
            <v>45895</v>
          </cell>
          <cell r="K8343">
            <v>6</v>
          </cell>
        </row>
        <row r="8344">
          <cell r="C8344" t="str">
            <v>魏暉恩</v>
          </cell>
          <cell r="F8344" t="str">
            <v>M240704R1</v>
          </cell>
          <cell r="J8344">
            <v>45895</v>
          </cell>
          <cell r="K8344">
            <v>2</v>
          </cell>
        </row>
        <row r="8345">
          <cell r="C8345" t="str">
            <v>魏暉恩</v>
          </cell>
          <cell r="F8345" t="str">
            <v>M240704R1</v>
          </cell>
          <cell r="J8345">
            <v>45896</v>
          </cell>
          <cell r="K8345">
            <v>5</v>
          </cell>
        </row>
        <row r="8346">
          <cell r="C8346" t="str">
            <v>魏暉恩</v>
          </cell>
          <cell r="F8346" t="str">
            <v>M240704R1</v>
          </cell>
          <cell r="J8346">
            <v>45896</v>
          </cell>
          <cell r="K8346">
            <v>3</v>
          </cell>
        </row>
        <row r="8347">
          <cell r="C8347" t="str">
            <v>魏暉恩</v>
          </cell>
          <cell r="F8347" t="str">
            <v>M240704R1</v>
          </cell>
          <cell r="J8347">
            <v>45897</v>
          </cell>
          <cell r="K8347">
            <v>8</v>
          </cell>
        </row>
        <row r="8348">
          <cell r="C8348" t="str">
            <v>魏暉恩</v>
          </cell>
          <cell r="J8348">
            <v>45898</v>
          </cell>
          <cell r="K8348">
            <v>4</v>
          </cell>
        </row>
        <row r="8349">
          <cell r="C8349" t="str">
            <v>魏暉恩</v>
          </cell>
          <cell r="F8349" t="str">
            <v>M240704R1</v>
          </cell>
          <cell r="J8349">
            <v>45898</v>
          </cell>
          <cell r="K8349">
            <v>4</v>
          </cell>
        </row>
        <row r="8350">
          <cell r="C8350" t="str">
            <v>魏暉恩</v>
          </cell>
          <cell r="J8350">
            <v>45901</v>
          </cell>
          <cell r="K8350">
            <v>2.5</v>
          </cell>
        </row>
        <row r="8351">
          <cell r="C8351" t="str">
            <v>魏暉恩</v>
          </cell>
          <cell r="F8351" t="str">
            <v>M240704R1</v>
          </cell>
          <cell r="J8351">
            <v>45901</v>
          </cell>
          <cell r="K8351">
            <v>5.5</v>
          </cell>
        </row>
        <row r="8352">
          <cell r="C8352" t="str">
            <v>魏暉恩</v>
          </cell>
          <cell r="F8352" t="str">
            <v>M250301C1</v>
          </cell>
          <cell r="J8352">
            <v>45902</v>
          </cell>
          <cell r="K8352">
            <v>2</v>
          </cell>
        </row>
        <row r="8353">
          <cell r="C8353" t="str">
            <v>魏暉恩</v>
          </cell>
          <cell r="F8353" t="str">
            <v>M240704R1</v>
          </cell>
          <cell r="J8353">
            <v>45902</v>
          </cell>
          <cell r="K8353">
            <v>6</v>
          </cell>
        </row>
        <row r="8354">
          <cell r="C8354" t="str">
            <v>魏暉恩</v>
          </cell>
          <cell r="F8354" t="str">
            <v>M240704R1</v>
          </cell>
          <cell r="J8354">
            <v>45903</v>
          </cell>
          <cell r="K8354">
            <v>3.5</v>
          </cell>
        </row>
        <row r="8355">
          <cell r="C8355" t="str">
            <v>魏暉恩</v>
          </cell>
          <cell r="F8355" t="str">
            <v>M250301C1</v>
          </cell>
          <cell r="J8355">
            <v>45903</v>
          </cell>
          <cell r="K8355">
            <v>1</v>
          </cell>
        </row>
        <row r="8356">
          <cell r="C8356" t="str">
            <v>魏暉恩</v>
          </cell>
          <cell r="F8356" t="str">
            <v>M240704R1</v>
          </cell>
          <cell r="J8356">
            <v>45903</v>
          </cell>
          <cell r="K8356">
            <v>3.5</v>
          </cell>
        </row>
        <row r="8357">
          <cell r="C8357" t="str">
            <v>魏暉恩</v>
          </cell>
          <cell r="F8357" t="str">
            <v>D250702R1</v>
          </cell>
          <cell r="J8357">
            <v>45904</v>
          </cell>
          <cell r="K8357">
            <v>4</v>
          </cell>
        </row>
        <row r="8358">
          <cell r="C8358" t="str">
            <v>魏暉恩</v>
          </cell>
          <cell r="F8358" t="str">
            <v>M240704R1</v>
          </cell>
          <cell r="J8358">
            <v>45904</v>
          </cell>
          <cell r="K8358">
            <v>4</v>
          </cell>
        </row>
        <row r="8359">
          <cell r="C8359" t="str">
            <v>魏暉恩</v>
          </cell>
          <cell r="F8359" t="str">
            <v>D250702R1</v>
          </cell>
          <cell r="J8359">
            <v>45905</v>
          </cell>
          <cell r="K8359">
            <v>4</v>
          </cell>
        </row>
        <row r="8360">
          <cell r="C8360" t="str">
            <v>魏暉恩</v>
          </cell>
          <cell r="F8360" t="str">
            <v>M240704R1</v>
          </cell>
          <cell r="J8360">
            <v>45905</v>
          </cell>
          <cell r="K8360">
            <v>4</v>
          </cell>
        </row>
        <row r="8361">
          <cell r="C8361" t="str">
            <v>魏暉恩</v>
          </cell>
          <cell r="J8361">
            <v>45908</v>
          </cell>
          <cell r="K8361">
            <v>4</v>
          </cell>
        </row>
        <row r="8362">
          <cell r="C8362" t="str">
            <v>魏暉恩</v>
          </cell>
          <cell r="J8362">
            <v>45908</v>
          </cell>
          <cell r="K8362">
            <v>4</v>
          </cell>
        </row>
        <row r="8363">
          <cell r="C8363" t="str">
            <v>魏暉恩</v>
          </cell>
          <cell r="J8363">
            <v>45909</v>
          </cell>
          <cell r="K8363">
            <v>6</v>
          </cell>
        </row>
        <row r="8364">
          <cell r="C8364" t="str">
            <v>魏暉恩</v>
          </cell>
          <cell r="J8364">
            <v>45909</v>
          </cell>
          <cell r="K8364">
            <v>2</v>
          </cell>
        </row>
        <row r="8365">
          <cell r="C8365" t="str">
            <v>魏暉恩</v>
          </cell>
          <cell r="F8365" t="str">
            <v>M240704R1</v>
          </cell>
          <cell r="J8365">
            <v>45910</v>
          </cell>
          <cell r="K8365">
            <v>4</v>
          </cell>
        </row>
        <row r="8366">
          <cell r="C8366" t="str">
            <v>魏暉恩</v>
          </cell>
          <cell r="F8366" t="str">
            <v>M240704R1</v>
          </cell>
          <cell r="J8366">
            <v>45910</v>
          </cell>
          <cell r="K8366">
            <v>4</v>
          </cell>
        </row>
        <row r="8367">
          <cell r="C8367" t="str">
            <v>魏暉恩</v>
          </cell>
          <cell r="F8367" t="str">
            <v>M240704R1</v>
          </cell>
          <cell r="J8367">
            <v>45911</v>
          </cell>
          <cell r="K8367">
            <v>4</v>
          </cell>
        </row>
        <row r="8368">
          <cell r="C8368" t="str">
            <v>魏暉恩</v>
          </cell>
          <cell r="F8368" t="str">
            <v>M240704R1</v>
          </cell>
          <cell r="J8368">
            <v>45911</v>
          </cell>
          <cell r="K8368">
            <v>4</v>
          </cell>
        </row>
        <row r="8369">
          <cell r="C8369" t="str">
            <v>魏暉恩</v>
          </cell>
          <cell r="F8369" t="str">
            <v>M240704R1</v>
          </cell>
          <cell r="J8369">
            <v>45912</v>
          </cell>
          <cell r="K8369">
            <v>4</v>
          </cell>
        </row>
        <row r="8370">
          <cell r="C8370" t="str">
            <v>魏暉恩</v>
          </cell>
          <cell r="F8370" t="str">
            <v>M240704R1</v>
          </cell>
          <cell r="J8370">
            <v>45912</v>
          </cell>
          <cell r="K8370">
            <v>4</v>
          </cell>
        </row>
        <row r="8371">
          <cell r="C8371" t="str">
            <v>魏暉恩</v>
          </cell>
          <cell r="F8371" t="str">
            <v>M240704R1</v>
          </cell>
          <cell r="J8371">
            <v>45915</v>
          </cell>
          <cell r="K8371">
            <v>4</v>
          </cell>
        </row>
        <row r="8372">
          <cell r="C8372" t="str">
            <v>魏暉恩</v>
          </cell>
          <cell r="F8372" t="str">
            <v>M240704R1</v>
          </cell>
          <cell r="J8372">
            <v>45915</v>
          </cell>
          <cell r="K8372">
            <v>2</v>
          </cell>
        </row>
        <row r="8373">
          <cell r="C8373" t="str">
            <v>魏暉恩</v>
          </cell>
          <cell r="F8373" t="str">
            <v>M240704R1</v>
          </cell>
          <cell r="J8373">
            <v>45915</v>
          </cell>
          <cell r="K8373">
            <v>2</v>
          </cell>
        </row>
        <row r="8374">
          <cell r="C8374" t="str">
            <v>魏暉恩</v>
          </cell>
          <cell r="F8374" t="str">
            <v>D250702R1</v>
          </cell>
          <cell r="J8374">
            <v>45916</v>
          </cell>
          <cell r="K8374">
            <v>6</v>
          </cell>
        </row>
        <row r="8375">
          <cell r="C8375" t="str">
            <v>魏暉恩</v>
          </cell>
          <cell r="J8375">
            <v>45916</v>
          </cell>
          <cell r="K8375">
            <v>2</v>
          </cell>
        </row>
        <row r="8376">
          <cell r="C8376" t="str">
            <v>魏暉恩</v>
          </cell>
          <cell r="F8376" t="str">
            <v>D250702R1</v>
          </cell>
          <cell r="J8376">
            <v>45917</v>
          </cell>
          <cell r="K8376">
            <v>8</v>
          </cell>
        </row>
        <row r="8377">
          <cell r="C8377" t="str">
            <v>魏暉恩</v>
          </cell>
          <cell r="F8377" t="str">
            <v>D250702R1</v>
          </cell>
          <cell r="J8377">
            <v>45918</v>
          </cell>
          <cell r="K8377">
            <v>1</v>
          </cell>
        </row>
        <row r="8378">
          <cell r="C8378" t="str">
            <v>魏暉恩</v>
          </cell>
          <cell r="J8378">
            <v>45918</v>
          </cell>
          <cell r="K8378">
            <v>3.5</v>
          </cell>
        </row>
        <row r="8379">
          <cell r="C8379" t="str">
            <v>魏暉恩</v>
          </cell>
          <cell r="J8379">
            <v>45918</v>
          </cell>
          <cell r="K8379">
            <v>3.5</v>
          </cell>
        </row>
        <row r="8380">
          <cell r="C8380" t="str">
            <v>魏暉恩</v>
          </cell>
          <cell r="J8380">
            <v>45919</v>
          </cell>
          <cell r="K8380">
            <v>1.5</v>
          </cell>
        </row>
        <row r="8381">
          <cell r="C8381" t="str">
            <v>魏暉恩</v>
          </cell>
          <cell r="F8381" t="str">
            <v>D250702R1</v>
          </cell>
          <cell r="J8381">
            <v>45919</v>
          </cell>
          <cell r="K8381">
            <v>2</v>
          </cell>
        </row>
        <row r="8382">
          <cell r="C8382" t="str">
            <v>魏暉恩</v>
          </cell>
          <cell r="F8382" t="str">
            <v>M250301C1</v>
          </cell>
          <cell r="J8382">
            <v>45919</v>
          </cell>
          <cell r="K8382">
            <v>4.5</v>
          </cell>
        </row>
        <row r="8383">
          <cell r="C8383" t="str">
            <v>魏暉恩</v>
          </cell>
          <cell r="F8383" t="str">
            <v>M240704R1</v>
          </cell>
          <cell r="J8383">
            <v>45922</v>
          </cell>
          <cell r="K8383">
            <v>1</v>
          </cell>
        </row>
        <row r="8384">
          <cell r="C8384" t="str">
            <v>魏暉恩</v>
          </cell>
          <cell r="J8384">
            <v>45922</v>
          </cell>
          <cell r="K8384">
            <v>4.5</v>
          </cell>
        </row>
        <row r="8385">
          <cell r="C8385" t="str">
            <v>魏暉恩</v>
          </cell>
          <cell r="J8385">
            <v>45922</v>
          </cell>
          <cell r="K8385">
            <v>2.5</v>
          </cell>
        </row>
        <row r="8386">
          <cell r="C8386" t="str">
            <v>魏暉恩</v>
          </cell>
          <cell r="F8386" t="str">
            <v>M240704R1</v>
          </cell>
          <cell r="J8386">
            <v>45923</v>
          </cell>
          <cell r="K8386">
            <v>5.5</v>
          </cell>
        </row>
        <row r="8387">
          <cell r="C8387" t="str">
            <v>魏暉恩</v>
          </cell>
          <cell r="J8387">
            <v>45923</v>
          </cell>
          <cell r="K8387">
            <v>2.5</v>
          </cell>
        </row>
        <row r="8388">
          <cell r="C8388" t="str">
            <v>魏暉恩</v>
          </cell>
          <cell r="J8388">
            <v>45924</v>
          </cell>
          <cell r="K8388">
            <v>4</v>
          </cell>
        </row>
        <row r="8389">
          <cell r="C8389" t="str">
            <v>魏暉恩</v>
          </cell>
          <cell r="F8389" t="str">
            <v>M240704R1</v>
          </cell>
          <cell r="J8389">
            <v>45924</v>
          </cell>
          <cell r="K8389">
            <v>4</v>
          </cell>
        </row>
        <row r="8390">
          <cell r="C8390" t="str">
            <v>魏暉恩</v>
          </cell>
          <cell r="F8390" t="str">
            <v>M240704R1</v>
          </cell>
          <cell r="J8390">
            <v>45925</v>
          </cell>
          <cell r="K8390">
            <v>8</v>
          </cell>
        </row>
        <row r="8391">
          <cell r="C8391" t="str">
            <v>魏暉恩</v>
          </cell>
          <cell r="F8391" t="str">
            <v>D250702R1</v>
          </cell>
          <cell r="J8391">
            <v>45926</v>
          </cell>
          <cell r="K8391">
            <v>4</v>
          </cell>
        </row>
        <row r="8392">
          <cell r="C8392" t="str">
            <v>魏暉恩</v>
          </cell>
          <cell r="F8392" t="str">
            <v>M240704R1</v>
          </cell>
          <cell r="J8392">
            <v>45926</v>
          </cell>
          <cell r="K8392">
            <v>4</v>
          </cell>
        </row>
        <row r="8393">
          <cell r="C8393" t="str">
            <v>魏暉恩</v>
          </cell>
          <cell r="J8393">
            <v>45930</v>
          </cell>
          <cell r="K8393">
            <v>4</v>
          </cell>
        </row>
        <row r="8394">
          <cell r="C8394" t="str">
            <v>魏暉恩</v>
          </cell>
          <cell r="F8394" t="str">
            <v>D250702R1</v>
          </cell>
          <cell r="J8394">
            <v>45930</v>
          </cell>
          <cell r="K8394">
            <v>4</v>
          </cell>
        </row>
        <row r="8395">
          <cell r="C8395" t="str">
            <v>魏暉恩</v>
          </cell>
          <cell r="J8395">
            <v>45931</v>
          </cell>
          <cell r="K8395">
            <v>6</v>
          </cell>
        </row>
        <row r="8396">
          <cell r="C8396" t="str">
            <v>魏暉恩</v>
          </cell>
          <cell r="F8396" t="str">
            <v>D250702R1</v>
          </cell>
          <cell r="J8396">
            <v>45931</v>
          </cell>
          <cell r="K8396">
            <v>2</v>
          </cell>
        </row>
        <row r="8397">
          <cell r="C8397" t="str">
            <v>魏暉恩</v>
          </cell>
          <cell r="J8397">
            <v>45932</v>
          </cell>
          <cell r="K8397">
            <v>4</v>
          </cell>
        </row>
        <row r="8398">
          <cell r="C8398" t="str">
            <v>魏暉恩</v>
          </cell>
          <cell r="F8398" t="str">
            <v>M240702R1</v>
          </cell>
          <cell r="J8398">
            <v>45932</v>
          </cell>
          <cell r="K8398">
            <v>2</v>
          </cell>
        </row>
        <row r="8399">
          <cell r="C8399" t="str">
            <v>魏暉恩</v>
          </cell>
          <cell r="J8399">
            <v>45932</v>
          </cell>
          <cell r="K8399">
            <v>2</v>
          </cell>
        </row>
        <row r="8400">
          <cell r="C8400" t="str">
            <v>魏暉恩</v>
          </cell>
          <cell r="J8400">
            <v>45933</v>
          </cell>
          <cell r="K8400">
            <v>8</v>
          </cell>
        </row>
        <row r="8401">
          <cell r="C8401" t="str">
            <v>魏暉恩</v>
          </cell>
          <cell r="F8401" t="str">
            <v>M250901R1</v>
          </cell>
          <cell r="J8401">
            <v>45937</v>
          </cell>
          <cell r="K8401">
            <v>6</v>
          </cell>
        </row>
        <row r="8402">
          <cell r="C8402" t="str">
            <v>魏暉恩</v>
          </cell>
          <cell r="J8402">
            <v>45937</v>
          </cell>
          <cell r="K8402">
            <v>2</v>
          </cell>
        </row>
        <row r="8403">
          <cell r="C8403" t="str">
            <v>魏暉恩</v>
          </cell>
          <cell r="F8403" t="str">
            <v>D250702R1</v>
          </cell>
          <cell r="J8403">
            <v>45938</v>
          </cell>
          <cell r="K8403">
            <v>4</v>
          </cell>
        </row>
        <row r="8404">
          <cell r="C8404" t="str">
            <v>魏暉恩</v>
          </cell>
          <cell r="F8404" t="str">
            <v>M240704R1</v>
          </cell>
          <cell r="J8404">
            <v>45938</v>
          </cell>
          <cell r="K8404">
            <v>4</v>
          </cell>
        </row>
        <row r="8405">
          <cell r="C8405" t="str">
            <v>魏暉恩</v>
          </cell>
          <cell r="J8405">
            <v>45939</v>
          </cell>
          <cell r="K8405">
            <v>1</v>
          </cell>
        </row>
        <row r="8406">
          <cell r="C8406" t="str">
            <v>魏暉恩</v>
          </cell>
          <cell r="F8406" t="str">
            <v>M240704R1</v>
          </cell>
          <cell r="J8406">
            <v>45939</v>
          </cell>
          <cell r="K8406">
            <v>1</v>
          </cell>
        </row>
        <row r="8407">
          <cell r="C8407" t="str">
            <v>魏暉恩</v>
          </cell>
          <cell r="F8407" t="str">
            <v>M240704R1</v>
          </cell>
          <cell r="J8407">
            <v>45939</v>
          </cell>
          <cell r="K8407">
            <v>6</v>
          </cell>
        </row>
        <row r="8408">
          <cell r="C8408" t="str">
            <v>魏暉恩</v>
          </cell>
          <cell r="F8408" t="str">
            <v>M240704R1</v>
          </cell>
          <cell r="J8408">
            <v>45939</v>
          </cell>
          <cell r="K8408">
            <v>1</v>
          </cell>
        </row>
        <row r="8409">
          <cell r="C8409" t="str">
            <v>魏暉恩</v>
          </cell>
          <cell r="F8409" t="str">
            <v>M250901R1</v>
          </cell>
          <cell r="J8409">
            <v>45943</v>
          </cell>
          <cell r="K8409">
            <v>2</v>
          </cell>
        </row>
        <row r="8410">
          <cell r="C8410" t="str">
            <v>魏暉恩</v>
          </cell>
          <cell r="F8410" t="str">
            <v>M240704R1</v>
          </cell>
          <cell r="J8410">
            <v>45943</v>
          </cell>
          <cell r="K8410">
            <v>2</v>
          </cell>
        </row>
        <row r="8411">
          <cell r="C8411" t="str">
            <v>魏暉恩</v>
          </cell>
          <cell r="F8411" t="str">
            <v>M240704R1</v>
          </cell>
          <cell r="J8411">
            <v>45943</v>
          </cell>
          <cell r="K8411">
            <v>2</v>
          </cell>
        </row>
        <row r="8412">
          <cell r="C8412" t="str">
            <v>魏暉恩</v>
          </cell>
          <cell r="F8412" t="str">
            <v>M240704R1</v>
          </cell>
          <cell r="J8412">
            <v>45943</v>
          </cell>
          <cell r="K8412">
            <v>2</v>
          </cell>
        </row>
        <row r="8413">
          <cell r="C8413" t="str">
            <v>魏暉恩</v>
          </cell>
          <cell r="F8413" t="str">
            <v>M240704R1</v>
          </cell>
          <cell r="J8413">
            <v>45944</v>
          </cell>
          <cell r="K8413">
            <v>2</v>
          </cell>
        </row>
        <row r="8414">
          <cell r="C8414" t="str">
            <v>魏暉恩</v>
          </cell>
          <cell r="J8414">
            <v>45944</v>
          </cell>
          <cell r="K8414">
            <v>3</v>
          </cell>
        </row>
        <row r="8415">
          <cell r="C8415" t="str">
            <v>魏暉恩</v>
          </cell>
          <cell r="J8415">
            <v>45944</v>
          </cell>
          <cell r="K8415">
            <v>3</v>
          </cell>
        </row>
        <row r="8416">
          <cell r="C8416" t="str">
            <v>魏暉恩</v>
          </cell>
          <cell r="J8416">
            <v>45945</v>
          </cell>
          <cell r="K8416">
            <v>3</v>
          </cell>
        </row>
        <row r="8417">
          <cell r="C8417" t="str">
            <v>魏暉恩</v>
          </cell>
          <cell r="F8417" t="str">
            <v>M240704R1</v>
          </cell>
          <cell r="J8417">
            <v>45945</v>
          </cell>
          <cell r="K8417">
            <v>5</v>
          </cell>
        </row>
        <row r="8418">
          <cell r="C8418" t="str">
            <v>魏暉恩</v>
          </cell>
          <cell r="F8418" t="str">
            <v>M240704R1</v>
          </cell>
          <cell r="J8418">
            <v>45946</v>
          </cell>
          <cell r="K8418">
            <v>8</v>
          </cell>
        </row>
        <row r="8419">
          <cell r="C8419" t="str">
            <v>魏暉恩</v>
          </cell>
          <cell r="F8419" t="str">
            <v>M240704R1</v>
          </cell>
          <cell r="J8419">
            <v>45947</v>
          </cell>
          <cell r="K8419">
            <v>8</v>
          </cell>
        </row>
        <row r="8420">
          <cell r="C8420" t="str">
            <v>魏暉恩</v>
          </cell>
          <cell r="F8420" t="str">
            <v>M240704R1</v>
          </cell>
          <cell r="J8420">
            <v>45950</v>
          </cell>
          <cell r="K8420">
            <v>8</v>
          </cell>
        </row>
        <row r="8421">
          <cell r="C8421" t="str">
            <v>魏暉恩</v>
          </cell>
          <cell r="F8421" t="str">
            <v>M240704R1</v>
          </cell>
          <cell r="J8421">
            <v>45951</v>
          </cell>
          <cell r="K8421">
            <v>8</v>
          </cell>
        </row>
        <row r="8422">
          <cell r="C8422" t="str">
            <v>魏暉恩</v>
          </cell>
          <cell r="F8422" t="str">
            <v>M240704R1</v>
          </cell>
          <cell r="J8422">
            <v>45952</v>
          </cell>
          <cell r="K8422">
            <v>8</v>
          </cell>
        </row>
        <row r="8423">
          <cell r="C8423" t="str">
            <v>魏暉恩</v>
          </cell>
          <cell r="F8423" t="str">
            <v>M240704R1</v>
          </cell>
          <cell r="J8423">
            <v>45953</v>
          </cell>
          <cell r="K8423">
            <v>8</v>
          </cell>
        </row>
        <row r="8424">
          <cell r="C8424" t="str">
            <v>魏暉恩</v>
          </cell>
          <cell r="F8424" t="str">
            <v>M240704R1</v>
          </cell>
          <cell r="J8424">
            <v>45957</v>
          </cell>
          <cell r="K8424">
            <v>8</v>
          </cell>
        </row>
        <row r="8425">
          <cell r="C8425" t="str">
            <v>魏暉恩</v>
          </cell>
          <cell r="F8425" t="str">
            <v>M240704R1</v>
          </cell>
          <cell r="J8425">
            <v>45958</v>
          </cell>
          <cell r="K8425">
            <v>4</v>
          </cell>
        </row>
        <row r="8426">
          <cell r="C8426" t="str">
            <v>魏暉恩</v>
          </cell>
          <cell r="J8426">
            <v>45958</v>
          </cell>
          <cell r="K8426">
            <v>4</v>
          </cell>
        </row>
        <row r="8427">
          <cell r="C8427" t="str">
            <v>魏暉恩</v>
          </cell>
          <cell r="F8427" t="str">
            <v>M240704R1</v>
          </cell>
          <cell r="J8427">
            <v>45959</v>
          </cell>
          <cell r="K8427">
            <v>8</v>
          </cell>
        </row>
        <row r="8428">
          <cell r="C8428" t="str">
            <v>魏暉恩</v>
          </cell>
          <cell r="F8428" t="str">
            <v>D250702R1</v>
          </cell>
          <cell r="J8428">
            <v>45960</v>
          </cell>
          <cell r="K8428">
            <v>4</v>
          </cell>
        </row>
        <row r="8429">
          <cell r="C8429" t="str">
            <v>魏暉恩</v>
          </cell>
          <cell r="F8429" t="str">
            <v>M240704R1</v>
          </cell>
          <cell r="J8429">
            <v>45960</v>
          </cell>
          <cell r="K8429">
            <v>4</v>
          </cell>
        </row>
        <row r="8430">
          <cell r="C8430" t="str">
            <v>魏暉恩</v>
          </cell>
          <cell r="J8430">
            <v>45961</v>
          </cell>
          <cell r="K8430">
            <v>4</v>
          </cell>
        </row>
        <row r="8431">
          <cell r="C8431" t="str">
            <v>魏暉恩</v>
          </cell>
          <cell r="F8431" t="str">
            <v>M240704R1</v>
          </cell>
          <cell r="J8431">
            <v>45961</v>
          </cell>
          <cell r="K8431">
            <v>4</v>
          </cell>
        </row>
        <row r="8432">
          <cell r="C8432" t="str">
            <v>魏暉恩</v>
          </cell>
          <cell r="F8432" t="str">
            <v>M240702R1</v>
          </cell>
          <cell r="J8432">
            <v>45964</v>
          </cell>
          <cell r="K8432">
            <v>5.5</v>
          </cell>
        </row>
        <row r="8433">
          <cell r="C8433" t="str">
            <v>魏暉恩</v>
          </cell>
          <cell r="F8433" t="str">
            <v>M240704R1</v>
          </cell>
          <cell r="J8433">
            <v>45964</v>
          </cell>
          <cell r="K8433">
            <v>2.5</v>
          </cell>
        </row>
        <row r="8434">
          <cell r="C8434" t="str">
            <v>魏暉恩</v>
          </cell>
          <cell r="F8434" t="str">
            <v>M240704R1</v>
          </cell>
          <cell r="J8434">
            <v>45965</v>
          </cell>
          <cell r="K8434">
            <v>4</v>
          </cell>
        </row>
        <row r="8435">
          <cell r="C8435" t="str">
            <v>魏暉恩</v>
          </cell>
          <cell r="J8435">
            <v>45965</v>
          </cell>
          <cell r="K8435">
            <v>4</v>
          </cell>
        </row>
        <row r="8436">
          <cell r="C8436" t="str">
            <v>魏暉恩</v>
          </cell>
          <cell r="F8436" t="str">
            <v>D250702R1</v>
          </cell>
          <cell r="J8436">
            <v>45966</v>
          </cell>
          <cell r="K8436">
            <v>8</v>
          </cell>
        </row>
        <row r="8437">
          <cell r="C8437" t="str">
            <v>魏暉恩</v>
          </cell>
          <cell r="F8437" t="str">
            <v>M240704R1</v>
          </cell>
          <cell r="J8437">
            <v>45967</v>
          </cell>
          <cell r="K8437">
            <v>5.5</v>
          </cell>
        </row>
        <row r="8438">
          <cell r="C8438" t="str">
            <v>魏暉恩</v>
          </cell>
          <cell r="F8438" t="str">
            <v>D250702R1</v>
          </cell>
          <cell r="J8438">
            <v>45967</v>
          </cell>
          <cell r="K8438">
            <v>2.5</v>
          </cell>
        </row>
        <row r="8439">
          <cell r="C8439" t="str">
            <v>魏暉恩</v>
          </cell>
          <cell r="J8439">
            <v>45968</v>
          </cell>
          <cell r="K8439">
            <v>8</v>
          </cell>
        </row>
        <row r="8440">
          <cell r="C8440" t="str">
            <v>魏暉恩</v>
          </cell>
          <cell r="J8440">
            <v>45971</v>
          </cell>
          <cell r="K8440">
            <v>4</v>
          </cell>
        </row>
        <row r="8441">
          <cell r="C8441" t="str">
            <v>魏暉恩</v>
          </cell>
          <cell r="F8441" t="str">
            <v>M240704R1</v>
          </cell>
          <cell r="J8441">
            <v>45971</v>
          </cell>
          <cell r="K8441">
            <v>4</v>
          </cell>
        </row>
        <row r="8442">
          <cell r="C8442" t="str">
            <v>魏暉恩</v>
          </cell>
          <cell r="F8442" t="str">
            <v>D250702R1</v>
          </cell>
          <cell r="J8442">
            <v>45972</v>
          </cell>
          <cell r="K8442">
            <v>2</v>
          </cell>
        </row>
        <row r="8443">
          <cell r="C8443" t="str">
            <v>魏暉恩</v>
          </cell>
          <cell r="F8443" t="str">
            <v>M240704R1</v>
          </cell>
          <cell r="J8443">
            <v>45972</v>
          </cell>
          <cell r="K8443">
            <v>6</v>
          </cell>
        </row>
        <row r="8444">
          <cell r="C8444" t="str">
            <v>魏暉恩</v>
          </cell>
          <cell r="J8444">
            <v>45973</v>
          </cell>
          <cell r="K8444">
            <v>4</v>
          </cell>
        </row>
        <row r="8445">
          <cell r="C8445" t="str">
            <v>魏暉恩</v>
          </cell>
          <cell r="F8445" t="str">
            <v>M240704R1</v>
          </cell>
          <cell r="J8445">
            <v>45973</v>
          </cell>
          <cell r="K8445">
            <v>4</v>
          </cell>
        </row>
        <row r="8446">
          <cell r="C8446" t="str">
            <v>魏暉恩</v>
          </cell>
          <cell r="J8446">
            <v>45974</v>
          </cell>
          <cell r="K8446">
            <v>8</v>
          </cell>
        </row>
        <row r="8447">
          <cell r="C8447" t="str">
            <v>魏暉恩</v>
          </cell>
          <cell r="J8447">
            <v>45975</v>
          </cell>
          <cell r="K8447">
            <v>8</v>
          </cell>
        </row>
        <row r="8448">
          <cell r="C8448" t="str">
            <v>魏暉恩</v>
          </cell>
          <cell r="F8448" t="str">
            <v>M240704R1</v>
          </cell>
          <cell r="J8448">
            <v>45978</v>
          </cell>
          <cell r="K8448">
            <v>8</v>
          </cell>
        </row>
        <row r="8449">
          <cell r="C8449" t="str">
            <v>魏暉恩</v>
          </cell>
          <cell r="J8449">
            <v>45979</v>
          </cell>
          <cell r="K8449">
            <v>8</v>
          </cell>
        </row>
        <row r="8450">
          <cell r="C8450" t="str">
            <v>魏暉恩</v>
          </cell>
          <cell r="J8450">
            <v>45980</v>
          </cell>
          <cell r="K8450">
            <v>4</v>
          </cell>
        </row>
        <row r="8451">
          <cell r="C8451" t="str">
            <v>魏暉恩</v>
          </cell>
          <cell r="F8451" t="str">
            <v>M240704R1</v>
          </cell>
          <cell r="J8451">
            <v>45980</v>
          </cell>
          <cell r="K8451">
            <v>4</v>
          </cell>
        </row>
        <row r="8452">
          <cell r="C8452" t="str">
            <v>魏暉恩</v>
          </cell>
          <cell r="J8452">
            <v>45981</v>
          </cell>
          <cell r="K8452">
            <v>1</v>
          </cell>
        </row>
        <row r="8453">
          <cell r="C8453" t="str">
            <v>魏暉恩</v>
          </cell>
          <cell r="J8453">
            <v>45981</v>
          </cell>
          <cell r="K8453">
            <v>3</v>
          </cell>
        </row>
        <row r="8454">
          <cell r="C8454" t="str">
            <v>魏暉恩</v>
          </cell>
          <cell r="J8454">
            <v>45982</v>
          </cell>
          <cell r="K8454">
            <v>8</v>
          </cell>
        </row>
        <row r="8455">
          <cell r="C8455" t="str">
            <v>魏暉恩</v>
          </cell>
          <cell r="F8455" t="str">
            <v>M240704R1</v>
          </cell>
          <cell r="J8455">
            <v>45985</v>
          </cell>
          <cell r="K8455">
            <v>8</v>
          </cell>
        </row>
        <row r="8456">
          <cell r="C8456" t="str">
            <v>魏暉恩</v>
          </cell>
          <cell r="F8456" t="str">
            <v>M240704R1</v>
          </cell>
          <cell r="J8456">
            <v>45986</v>
          </cell>
          <cell r="K8456">
            <v>8</v>
          </cell>
        </row>
        <row r="8457">
          <cell r="C8457" t="str">
            <v>魏暉恩</v>
          </cell>
          <cell r="J8457">
            <v>45987</v>
          </cell>
          <cell r="K8457">
            <v>4</v>
          </cell>
        </row>
        <row r="8458">
          <cell r="C8458" t="str">
            <v>魏暉恩</v>
          </cell>
          <cell r="J8458">
            <v>45987</v>
          </cell>
          <cell r="K8458">
            <v>2</v>
          </cell>
        </row>
        <row r="8459">
          <cell r="C8459" t="str">
            <v>魏暉恩</v>
          </cell>
          <cell r="J8459">
            <v>45987</v>
          </cell>
          <cell r="K8459">
            <v>2</v>
          </cell>
        </row>
        <row r="8460">
          <cell r="C8460" t="str">
            <v>魏暉恩</v>
          </cell>
          <cell r="F8460" t="str">
            <v>D250702R1</v>
          </cell>
          <cell r="J8460">
            <v>45988</v>
          </cell>
          <cell r="K8460">
            <v>2</v>
          </cell>
        </row>
        <row r="8461">
          <cell r="C8461" t="str">
            <v>魏暉恩</v>
          </cell>
          <cell r="J8461">
            <v>45988</v>
          </cell>
          <cell r="K8461">
            <v>3.5</v>
          </cell>
        </row>
        <row r="8462">
          <cell r="C8462" t="str">
            <v>魏暉恩</v>
          </cell>
          <cell r="J8462">
            <v>45988</v>
          </cell>
          <cell r="K8462">
            <v>3</v>
          </cell>
        </row>
        <row r="8463">
          <cell r="C8463" t="str">
            <v>魏暉恩</v>
          </cell>
          <cell r="J8463">
            <v>45988</v>
          </cell>
          <cell r="K8463">
            <v>0.5</v>
          </cell>
        </row>
        <row r="8464">
          <cell r="C8464" t="str">
            <v>魏暉恩</v>
          </cell>
          <cell r="J8464">
            <v>45989</v>
          </cell>
          <cell r="K8464">
            <v>8</v>
          </cell>
        </row>
        <row r="8465">
          <cell r="C8465" t="str">
            <v>魏暉恩</v>
          </cell>
          <cell r="J8465">
            <v>45992</v>
          </cell>
          <cell r="K8465">
            <v>8</v>
          </cell>
        </row>
        <row r="8466">
          <cell r="C8466" t="str">
            <v>魏暉恩</v>
          </cell>
          <cell r="J8466">
            <v>45993</v>
          </cell>
          <cell r="K8466">
            <v>8</v>
          </cell>
        </row>
        <row r="8467">
          <cell r="C8467" t="str">
            <v>魏暉恩</v>
          </cell>
          <cell r="J8467">
            <v>45994</v>
          </cell>
          <cell r="K8467">
            <v>5</v>
          </cell>
        </row>
        <row r="8468">
          <cell r="C8468" t="str">
            <v>魏暉恩</v>
          </cell>
          <cell r="F8468" t="str">
            <v>M250301R1</v>
          </cell>
          <cell r="J8468">
            <v>45994</v>
          </cell>
          <cell r="K8468">
            <v>3</v>
          </cell>
        </row>
        <row r="8469">
          <cell r="C8469" t="str">
            <v>魏暉恩</v>
          </cell>
          <cell r="J8469">
            <v>45995</v>
          </cell>
          <cell r="K8469">
            <v>3.5</v>
          </cell>
        </row>
        <row r="8470">
          <cell r="C8470" t="str">
            <v>魏暉恩</v>
          </cell>
          <cell r="J8470">
            <v>45995</v>
          </cell>
          <cell r="K8470">
            <v>4</v>
          </cell>
        </row>
        <row r="8471">
          <cell r="C8471" t="str">
            <v>魏暉恩</v>
          </cell>
          <cell r="J8471">
            <v>45995</v>
          </cell>
          <cell r="K8471">
            <v>0.5</v>
          </cell>
        </row>
        <row r="8472">
          <cell r="C8472" t="str">
            <v>魏暉恩</v>
          </cell>
          <cell r="J8472">
            <v>45996</v>
          </cell>
          <cell r="K8472">
            <v>4.5</v>
          </cell>
        </row>
        <row r="8473">
          <cell r="C8473" t="str">
            <v>魏暉恩</v>
          </cell>
          <cell r="F8473" t="str">
            <v>M250301R1</v>
          </cell>
          <cell r="J8473">
            <v>45996</v>
          </cell>
          <cell r="K8473">
            <v>2</v>
          </cell>
        </row>
        <row r="8474">
          <cell r="C8474" t="str">
            <v>魏暉恩</v>
          </cell>
          <cell r="J8474">
            <v>45996</v>
          </cell>
          <cell r="K8474">
            <v>1.5</v>
          </cell>
        </row>
        <row r="8475">
          <cell r="C8475" t="str">
            <v>魏暉恩</v>
          </cell>
          <cell r="J8475">
            <v>45999</v>
          </cell>
          <cell r="K8475">
            <v>5</v>
          </cell>
        </row>
        <row r="8476">
          <cell r="C8476" t="str">
            <v>魏暉恩</v>
          </cell>
          <cell r="F8476" t="str">
            <v>K251101R1</v>
          </cell>
          <cell r="J8476">
            <v>45999</v>
          </cell>
          <cell r="K8476">
            <v>1</v>
          </cell>
        </row>
        <row r="8477">
          <cell r="C8477" t="str">
            <v>魏暉恩</v>
          </cell>
          <cell r="F8477" t="str">
            <v>M240702R1</v>
          </cell>
          <cell r="J8477">
            <v>45999</v>
          </cell>
          <cell r="K8477">
            <v>2</v>
          </cell>
        </row>
        <row r="8478">
          <cell r="C8478" t="str">
            <v>魏暉恩</v>
          </cell>
          <cell r="J8478">
            <v>46000</v>
          </cell>
          <cell r="K8478">
            <v>2</v>
          </cell>
        </row>
        <row r="8479">
          <cell r="C8479" t="str">
            <v>魏暉恩</v>
          </cell>
          <cell r="F8479" t="str">
            <v>K251101R1</v>
          </cell>
          <cell r="J8479">
            <v>46000</v>
          </cell>
          <cell r="K8479">
            <v>6</v>
          </cell>
        </row>
        <row r="8480">
          <cell r="C8480" t="str">
            <v>魏暉恩</v>
          </cell>
          <cell r="F8480" t="str">
            <v>K251101R1</v>
          </cell>
          <cell r="J8480">
            <v>46001</v>
          </cell>
          <cell r="K8480">
            <v>8</v>
          </cell>
        </row>
        <row r="8481">
          <cell r="C8481" t="str">
            <v>魏暉恩</v>
          </cell>
          <cell r="F8481" t="str">
            <v>K251101R1</v>
          </cell>
          <cell r="J8481">
            <v>46002</v>
          </cell>
          <cell r="K8481">
            <v>8</v>
          </cell>
        </row>
        <row r="8482">
          <cell r="C8482" t="str">
            <v>魏暉恩</v>
          </cell>
          <cell r="J8482">
            <v>46003</v>
          </cell>
          <cell r="K8482">
            <v>8</v>
          </cell>
        </row>
        <row r="8483">
          <cell r="C8483" t="str">
            <v>魏暉恩</v>
          </cell>
          <cell r="J8483">
            <v>46006</v>
          </cell>
          <cell r="K8483">
            <v>4</v>
          </cell>
        </row>
        <row r="8484">
          <cell r="C8484" t="str">
            <v>魏暉恩</v>
          </cell>
          <cell r="F8484" t="str">
            <v>K251101R1</v>
          </cell>
          <cell r="J8484">
            <v>46006</v>
          </cell>
          <cell r="K8484">
            <v>4</v>
          </cell>
        </row>
        <row r="8485">
          <cell r="C8485" t="str">
            <v>魏暉恩</v>
          </cell>
          <cell r="F8485" t="str">
            <v>K251101R1</v>
          </cell>
          <cell r="J8485">
            <v>46007</v>
          </cell>
          <cell r="K8485">
            <v>8</v>
          </cell>
        </row>
        <row r="8486">
          <cell r="C8486" t="str">
            <v>魏暉恩</v>
          </cell>
          <cell r="J8486">
            <v>46008</v>
          </cell>
          <cell r="K8486">
            <v>9</v>
          </cell>
        </row>
        <row r="8487">
          <cell r="C8487" t="str">
            <v>魏暉恩</v>
          </cell>
          <cell r="F8487" t="str">
            <v>K251101R1</v>
          </cell>
          <cell r="J8487">
            <v>46009</v>
          </cell>
          <cell r="K8487">
            <v>4</v>
          </cell>
        </row>
        <row r="8488">
          <cell r="C8488" t="str">
            <v>魏暉恩</v>
          </cell>
          <cell r="J8488">
            <v>46009</v>
          </cell>
          <cell r="K8488">
            <v>4</v>
          </cell>
        </row>
        <row r="8489">
          <cell r="C8489" t="str">
            <v>魏暉恩</v>
          </cell>
          <cell r="F8489" t="str">
            <v>K251101R1</v>
          </cell>
          <cell r="J8489">
            <v>46010</v>
          </cell>
          <cell r="K8489">
            <v>8</v>
          </cell>
        </row>
        <row r="8490">
          <cell r="C8490" t="str">
            <v>魏暉恩</v>
          </cell>
          <cell r="J8490">
            <v>46013</v>
          </cell>
          <cell r="K8490">
            <v>2.5</v>
          </cell>
        </row>
        <row r="8491">
          <cell r="C8491" t="str">
            <v>魏暉恩</v>
          </cell>
          <cell r="F8491" t="str">
            <v>K251101R1</v>
          </cell>
          <cell r="J8491">
            <v>46013</v>
          </cell>
          <cell r="K8491">
            <v>6.5</v>
          </cell>
        </row>
        <row r="8492">
          <cell r="C8492" t="str">
            <v>魏暉恩</v>
          </cell>
          <cell r="J8492">
            <v>46014</v>
          </cell>
          <cell r="K8492">
            <v>10</v>
          </cell>
        </row>
        <row r="8493">
          <cell r="C8493" t="str">
            <v>魏暉恩</v>
          </cell>
          <cell r="J8493">
            <v>46015</v>
          </cell>
          <cell r="K8493">
            <v>3</v>
          </cell>
        </row>
        <row r="8494">
          <cell r="C8494" t="str">
            <v>魏暉恩</v>
          </cell>
          <cell r="J8494">
            <v>46015</v>
          </cell>
          <cell r="K8494">
            <v>4</v>
          </cell>
        </row>
        <row r="8495">
          <cell r="C8495" t="str">
            <v>魏暉恩</v>
          </cell>
          <cell r="F8495" t="str">
            <v>K251101R1</v>
          </cell>
          <cell r="J8495">
            <v>46015</v>
          </cell>
          <cell r="K8495">
            <v>1</v>
          </cell>
        </row>
        <row r="8496">
          <cell r="C8496" t="str">
            <v>魏暉恩</v>
          </cell>
          <cell r="J8496">
            <v>46017</v>
          </cell>
          <cell r="K8496">
            <v>8</v>
          </cell>
        </row>
        <row r="8497">
          <cell r="C8497" t="str">
            <v>魏暉恩</v>
          </cell>
          <cell r="F8497" t="str">
            <v>K251101R1</v>
          </cell>
          <cell r="J8497">
            <v>46020</v>
          </cell>
          <cell r="K8497">
            <v>9</v>
          </cell>
        </row>
        <row r="8498">
          <cell r="C8498" t="str">
            <v>魏暉恩</v>
          </cell>
          <cell r="F8498" t="str">
            <v>K251101R1</v>
          </cell>
          <cell r="J8498">
            <v>46021</v>
          </cell>
          <cell r="K8498">
            <v>8</v>
          </cell>
        </row>
        <row r="8499">
          <cell r="C8499" t="str">
            <v>魏暉恩</v>
          </cell>
          <cell r="J8499">
            <v>46022</v>
          </cell>
          <cell r="K8499">
            <v>3</v>
          </cell>
        </row>
        <row r="8500">
          <cell r="C8500" t="str">
            <v>魏暉恩</v>
          </cell>
          <cell r="J8500">
            <v>46022</v>
          </cell>
          <cell r="K8500">
            <v>2</v>
          </cell>
        </row>
        <row r="8501">
          <cell r="C8501" t="str">
            <v>魏暉恩</v>
          </cell>
          <cell r="F8501" t="str">
            <v>K251101R1</v>
          </cell>
          <cell r="J8501">
            <v>46022</v>
          </cell>
          <cell r="K8501">
            <v>4</v>
          </cell>
        </row>
        <row r="8502">
          <cell r="C8502" t="str">
            <v>魏暉恩</v>
          </cell>
          <cell r="J8502">
            <v>46024</v>
          </cell>
          <cell r="K8502">
            <v>2</v>
          </cell>
        </row>
        <row r="8503">
          <cell r="C8503" t="str">
            <v>魏暉恩</v>
          </cell>
          <cell r="J8503">
            <v>46024</v>
          </cell>
          <cell r="K8503">
            <v>0.5</v>
          </cell>
        </row>
        <row r="8504">
          <cell r="C8504" t="str">
            <v>魏暉恩</v>
          </cell>
          <cell r="F8504" t="str">
            <v>K251101R1</v>
          </cell>
          <cell r="J8504">
            <v>46024</v>
          </cell>
          <cell r="K8504">
            <v>6.5</v>
          </cell>
        </row>
        <row r="8505">
          <cell r="C8505" t="str">
            <v>魏暉恩</v>
          </cell>
          <cell r="J8505">
            <v>46027</v>
          </cell>
          <cell r="K8505">
            <v>3</v>
          </cell>
        </row>
        <row r="8506">
          <cell r="C8506" t="str">
            <v>魏暉恩</v>
          </cell>
          <cell r="F8506" t="str">
            <v>K251101R1</v>
          </cell>
          <cell r="J8506">
            <v>46027</v>
          </cell>
          <cell r="K8506">
            <v>6</v>
          </cell>
        </row>
        <row r="8507">
          <cell r="C8507" t="str">
            <v>魏暉恩</v>
          </cell>
          <cell r="J8507">
            <v>46028</v>
          </cell>
          <cell r="K8507">
            <v>3</v>
          </cell>
        </row>
        <row r="8508">
          <cell r="C8508" t="str">
            <v>魏暉恩</v>
          </cell>
          <cell r="F8508" t="str">
            <v>K251101R1</v>
          </cell>
          <cell r="J8508">
            <v>46028</v>
          </cell>
          <cell r="K8508">
            <v>5</v>
          </cell>
        </row>
        <row r="8509">
          <cell r="C8509" t="str">
            <v>魏暉恩</v>
          </cell>
          <cell r="F8509" t="str">
            <v>K251101R1</v>
          </cell>
          <cell r="J8509">
            <v>46029</v>
          </cell>
          <cell r="K8509">
            <v>5</v>
          </cell>
        </row>
        <row r="8510">
          <cell r="C8510" t="str">
            <v>魏暉恩</v>
          </cell>
          <cell r="J8510">
            <v>46029</v>
          </cell>
          <cell r="K8510">
            <v>2</v>
          </cell>
        </row>
        <row r="8511">
          <cell r="C8511" t="str">
            <v>魏暉恩</v>
          </cell>
          <cell r="J8511">
            <v>46029</v>
          </cell>
          <cell r="K8511">
            <v>2</v>
          </cell>
        </row>
        <row r="8512">
          <cell r="C8512" t="str">
            <v>魏暉恩</v>
          </cell>
          <cell r="J8512">
            <v>46030</v>
          </cell>
          <cell r="K8512">
            <v>3</v>
          </cell>
        </row>
        <row r="8513">
          <cell r="C8513" t="str">
            <v>魏暉恩</v>
          </cell>
          <cell r="J8513">
            <v>46030</v>
          </cell>
          <cell r="K8513">
            <v>1</v>
          </cell>
        </row>
        <row r="8514">
          <cell r="C8514" t="str">
            <v>魏暉恩</v>
          </cell>
          <cell r="J8514">
            <v>46030</v>
          </cell>
          <cell r="K8514">
            <v>4</v>
          </cell>
        </row>
        <row r="8515">
          <cell r="C8515" t="str">
            <v>魏暉恩</v>
          </cell>
          <cell r="F8515" t="str">
            <v>K251101R1</v>
          </cell>
          <cell r="J8515">
            <v>46030</v>
          </cell>
          <cell r="K8515">
            <v>1</v>
          </cell>
        </row>
        <row r="8516">
          <cell r="C8516" t="str">
            <v>魏暉恩</v>
          </cell>
          <cell r="J8516">
            <v>46031</v>
          </cell>
          <cell r="K8516">
            <v>1</v>
          </cell>
        </row>
        <row r="8517">
          <cell r="C8517" t="str">
            <v>魏暉恩</v>
          </cell>
          <cell r="J8517">
            <v>46031</v>
          </cell>
          <cell r="K8517">
            <v>1</v>
          </cell>
        </row>
        <row r="8518">
          <cell r="C8518" t="str">
            <v>魏暉恩</v>
          </cell>
          <cell r="F8518" t="str">
            <v>K251101R1</v>
          </cell>
          <cell r="J8518">
            <v>46031</v>
          </cell>
          <cell r="K8518">
            <v>6</v>
          </cell>
        </row>
        <row r="8519">
          <cell r="C8519" t="str">
            <v>魏暉恩</v>
          </cell>
          <cell r="F8519" t="str">
            <v>K251101R1</v>
          </cell>
          <cell r="J8519">
            <v>46034</v>
          </cell>
          <cell r="K8519">
            <v>10</v>
          </cell>
        </row>
        <row r="8520">
          <cell r="C8520" t="str">
            <v>魏暉恩</v>
          </cell>
          <cell r="J8520">
            <v>46035</v>
          </cell>
          <cell r="K8520">
            <v>3</v>
          </cell>
        </row>
        <row r="8521">
          <cell r="C8521" t="str">
            <v>魏暉恩</v>
          </cell>
          <cell r="J8521">
            <v>46035</v>
          </cell>
          <cell r="K8521">
            <v>2</v>
          </cell>
        </row>
        <row r="8522">
          <cell r="C8522" t="str">
            <v>魏暉恩</v>
          </cell>
          <cell r="F8522" t="str">
            <v>K251101R1</v>
          </cell>
          <cell r="J8522">
            <v>46035</v>
          </cell>
          <cell r="K8522">
            <v>3</v>
          </cell>
        </row>
        <row r="8523">
          <cell r="C8523" t="str">
            <v>魏暉恩</v>
          </cell>
          <cell r="J8523">
            <v>46036</v>
          </cell>
          <cell r="K8523">
            <v>2</v>
          </cell>
        </row>
        <row r="8524">
          <cell r="C8524" t="str">
            <v>魏暉恩</v>
          </cell>
          <cell r="F8524" t="str">
            <v>K251101R1</v>
          </cell>
          <cell r="J8524">
            <v>46036</v>
          </cell>
          <cell r="K8524">
            <v>6</v>
          </cell>
        </row>
        <row r="8525">
          <cell r="C8525" t="str">
            <v>魏暉恩</v>
          </cell>
          <cell r="F8525" t="str">
            <v>K251101R1</v>
          </cell>
          <cell r="J8525">
            <v>46037</v>
          </cell>
          <cell r="K8525">
            <v>9</v>
          </cell>
        </row>
        <row r="8526">
          <cell r="C8526" t="str">
            <v>魏暉恩</v>
          </cell>
          <cell r="F8526" t="str">
            <v>K251101R1</v>
          </cell>
          <cell r="J8526">
            <v>46038</v>
          </cell>
          <cell r="K8526">
            <v>8</v>
          </cell>
        </row>
        <row r="8527">
          <cell r="C8527" t="str">
            <v>魏暉恩</v>
          </cell>
          <cell r="F8527" t="str">
            <v>K251101R1</v>
          </cell>
          <cell r="J8527">
            <v>46041</v>
          </cell>
          <cell r="K8527">
            <v>8</v>
          </cell>
        </row>
        <row r="8528">
          <cell r="C8528" t="str">
            <v>魏暉恩</v>
          </cell>
          <cell r="J8528">
            <v>46042</v>
          </cell>
          <cell r="K8528">
            <v>6</v>
          </cell>
        </row>
        <row r="8529">
          <cell r="C8529" t="str">
            <v>魏暉恩</v>
          </cell>
          <cell r="F8529" t="str">
            <v>K251101R1</v>
          </cell>
          <cell r="J8529">
            <v>46042</v>
          </cell>
          <cell r="K8529">
            <v>3</v>
          </cell>
        </row>
        <row r="8530">
          <cell r="C8530" t="str">
            <v>魏暉恩</v>
          </cell>
          <cell r="J8530">
            <v>46043</v>
          </cell>
          <cell r="K8530">
            <v>9</v>
          </cell>
        </row>
        <row r="8531">
          <cell r="C8531" t="str">
            <v>魏暉恩</v>
          </cell>
          <cell r="J8531">
            <v>46044</v>
          </cell>
          <cell r="K8531">
            <v>8</v>
          </cell>
        </row>
        <row r="8532">
          <cell r="C8532" t="str">
            <v>魏暉恩</v>
          </cell>
          <cell r="J8532">
            <v>46045</v>
          </cell>
          <cell r="K8532">
            <v>8</v>
          </cell>
        </row>
        <row r="8533">
          <cell r="C8533" t="str">
            <v>魏暉恩</v>
          </cell>
          <cell r="J8533">
            <v>46048</v>
          </cell>
          <cell r="K8533">
            <v>8</v>
          </cell>
        </row>
        <row r="8534">
          <cell r="C8534" t="str">
            <v>魏暉恩</v>
          </cell>
          <cell r="J8534">
            <v>46049</v>
          </cell>
          <cell r="K8534">
            <v>9</v>
          </cell>
        </row>
        <row r="8535">
          <cell r="C8535" t="str">
            <v>魏暉恩</v>
          </cell>
          <cell r="J8535">
            <v>46050</v>
          </cell>
          <cell r="K8535">
            <v>9</v>
          </cell>
        </row>
        <row r="8536">
          <cell r="C8536" t="str">
            <v>魏暉恩</v>
          </cell>
          <cell r="J8536">
            <v>46051</v>
          </cell>
          <cell r="K8536">
            <v>8</v>
          </cell>
        </row>
        <row r="8537">
          <cell r="C8537" t="str">
            <v>魏暉恩</v>
          </cell>
          <cell r="J8537">
            <v>46052</v>
          </cell>
          <cell r="K8537">
            <v>4</v>
          </cell>
        </row>
        <row r="8538">
          <cell r="C8538" t="str">
            <v>魏暉恩</v>
          </cell>
          <cell r="J8538">
            <v>46052</v>
          </cell>
          <cell r="K8538">
            <v>5</v>
          </cell>
        </row>
        <row r="8539">
          <cell r="C8539" t="str">
            <v>魏暉恩</v>
          </cell>
          <cell r="J8539">
            <v>46055</v>
          </cell>
          <cell r="K8539">
            <v>8</v>
          </cell>
        </row>
        <row r="8540">
          <cell r="C8540" t="str">
            <v>魏暉恩</v>
          </cell>
          <cell r="J8540">
            <v>46056</v>
          </cell>
          <cell r="K8540">
            <v>8</v>
          </cell>
        </row>
        <row r="8541">
          <cell r="C8541" t="str">
            <v>魏暉恩</v>
          </cell>
          <cell r="J8541">
            <v>46057</v>
          </cell>
          <cell r="K8541">
            <v>5</v>
          </cell>
        </row>
        <row r="8542">
          <cell r="C8542" t="str">
            <v>魏暉恩</v>
          </cell>
          <cell r="J8542">
            <v>46057</v>
          </cell>
          <cell r="K8542">
            <v>3</v>
          </cell>
        </row>
        <row r="8543">
          <cell r="C8543" t="str">
            <v>魏暉恩</v>
          </cell>
          <cell r="J8543">
            <v>46058</v>
          </cell>
          <cell r="K8543">
            <v>3</v>
          </cell>
        </row>
        <row r="8544">
          <cell r="C8544" t="str">
            <v>魏暉恩</v>
          </cell>
          <cell r="F8544" t="str">
            <v>K251101R1</v>
          </cell>
          <cell r="J8544">
            <v>46058</v>
          </cell>
          <cell r="K8544">
            <v>5</v>
          </cell>
        </row>
        <row r="8545">
          <cell r="C8545" t="str">
            <v>魏暉恩</v>
          </cell>
          <cell r="F8545" t="str">
            <v>K251101R1</v>
          </cell>
          <cell r="J8545">
            <v>46059</v>
          </cell>
          <cell r="K8545">
            <v>8</v>
          </cell>
        </row>
        <row r="8546">
          <cell r="C8546" t="str">
            <v>魏暉恩</v>
          </cell>
          <cell r="F8546" t="str">
            <v>K251101R1</v>
          </cell>
          <cell r="J8546">
            <v>46062</v>
          </cell>
          <cell r="K8546">
            <v>8</v>
          </cell>
        </row>
        <row r="8547">
          <cell r="C8547" t="str">
            <v>魏暉恩</v>
          </cell>
          <cell r="J8547">
            <v>46063</v>
          </cell>
          <cell r="K8547">
            <v>9</v>
          </cell>
        </row>
        <row r="8548">
          <cell r="C8548" t="str">
            <v>魏暉恩</v>
          </cell>
          <cell r="J8548">
            <v>46064</v>
          </cell>
          <cell r="K8548">
            <v>3</v>
          </cell>
        </row>
        <row r="8549">
          <cell r="C8549" t="str">
            <v>魏暉恩</v>
          </cell>
          <cell r="F8549" t="str">
            <v>K251101R1</v>
          </cell>
          <cell r="J8549">
            <v>46064</v>
          </cell>
          <cell r="K8549">
            <v>5</v>
          </cell>
        </row>
        <row r="8550">
          <cell r="C8550" t="str">
            <v>魏暉恩</v>
          </cell>
          <cell r="J8550">
            <v>46065</v>
          </cell>
          <cell r="K8550">
            <v>1.5</v>
          </cell>
        </row>
        <row r="8551">
          <cell r="C8551" t="str">
            <v>魏暉恩</v>
          </cell>
          <cell r="F8551" t="str">
            <v>K251101R1</v>
          </cell>
          <cell r="J8551">
            <v>46065</v>
          </cell>
          <cell r="K8551">
            <v>6.5</v>
          </cell>
        </row>
        <row r="8552">
          <cell r="C8552" t="str">
            <v>魏暉恩</v>
          </cell>
          <cell r="J8552">
            <v>46066</v>
          </cell>
          <cell r="K8552">
            <v>2.5</v>
          </cell>
        </row>
        <row r="8553">
          <cell r="C8553" t="str">
            <v>魏暉恩</v>
          </cell>
          <cell r="J8553">
            <v>46066</v>
          </cell>
          <cell r="K8553">
            <v>4</v>
          </cell>
        </row>
        <row r="8554">
          <cell r="C8554" t="str">
            <v>魏暉恩</v>
          </cell>
          <cell r="F8554" t="str">
            <v>K251101R1</v>
          </cell>
          <cell r="J8554">
            <v>46066</v>
          </cell>
          <cell r="K8554">
            <v>1.5</v>
          </cell>
        </row>
        <row r="8555">
          <cell r="C8555" t="str">
            <v>魏暉恩</v>
          </cell>
          <cell r="F8555" t="str">
            <v>K251101R1</v>
          </cell>
          <cell r="J8555">
            <v>46076</v>
          </cell>
          <cell r="K8555">
            <v>8</v>
          </cell>
        </row>
        <row r="8556">
          <cell r="C8556" t="str">
            <v>魏暉恩</v>
          </cell>
          <cell r="J8556">
            <v>46077</v>
          </cell>
          <cell r="K8556">
            <v>3.5</v>
          </cell>
        </row>
        <row r="8557">
          <cell r="C8557" t="str">
            <v>魏暉恩</v>
          </cell>
          <cell r="F8557" t="str">
            <v>K251101R1</v>
          </cell>
          <cell r="J8557">
            <v>46077</v>
          </cell>
          <cell r="K8557">
            <v>4.5</v>
          </cell>
        </row>
        <row r="8558">
          <cell r="C8558" t="str">
            <v>魏暉恩</v>
          </cell>
          <cell r="J8558">
            <v>46078</v>
          </cell>
          <cell r="K8558">
            <v>1.5</v>
          </cell>
        </row>
        <row r="8559">
          <cell r="C8559" t="str">
            <v>魏暉恩</v>
          </cell>
          <cell r="F8559" t="str">
            <v>K251101R1</v>
          </cell>
          <cell r="J8559">
            <v>46078</v>
          </cell>
          <cell r="K8559">
            <v>6.5</v>
          </cell>
        </row>
        <row r="8560">
          <cell r="C8560" t="str">
            <v>魏暉恩</v>
          </cell>
          <cell r="F8560" t="str">
            <v>K251101R1</v>
          </cell>
          <cell r="J8560">
            <v>46079</v>
          </cell>
          <cell r="K8560">
            <v>8</v>
          </cell>
        </row>
        <row r="8561">
          <cell r="C8561" t="str">
            <v>魏暉恩</v>
          </cell>
          <cell r="F8561" t="str">
            <v>K251101R1</v>
          </cell>
          <cell r="J8561">
            <v>46083</v>
          </cell>
          <cell r="K8561">
            <v>8</v>
          </cell>
        </row>
        <row r="8562">
          <cell r="C8562" t="str">
            <v>魏暉恩</v>
          </cell>
          <cell r="F8562" t="str">
            <v>K251101R1</v>
          </cell>
          <cell r="J8562">
            <v>46084</v>
          </cell>
          <cell r="K8562">
            <v>8</v>
          </cell>
        </row>
        <row r="8563">
          <cell r="C8563" t="str">
            <v>魏暉恩</v>
          </cell>
          <cell r="F8563" t="str">
            <v>K251101R1</v>
          </cell>
          <cell r="J8563">
            <v>46085</v>
          </cell>
          <cell r="K8563">
            <v>8</v>
          </cell>
        </row>
        <row r="8564">
          <cell r="C8564" t="str">
            <v>魏暉恩</v>
          </cell>
          <cell r="F8564" t="str">
            <v>K251101R1</v>
          </cell>
          <cell r="J8564">
            <v>46086</v>
          </cell>
          <cell r="K8564">
            <v>8</v>
          </cell>
        </row>
        <row r="8565">
          <cell r="C8565" t="str">
            <v>魏暉恩</v>
          </cell>
          <cell r="F8565" t="str">
            <v>K251101R1</v>
          </cell>
          <cell r="J8565">
            <v>46087</v>
          </cell>
          <cell r="K8565">
            <v>8</v>
          </cell>
        </row>
        <row r="8566">
          <cell r="C8566" t="str">
            <v>魏暉恩</v>
          </cell>
          <cell r="F8566" t="str">
            <v>K251101R1</v>
          </cell>
          <cell r="J8566">
            <v>46090</v>
          </cell>
          <cell r="K8566">
            <v>6</v>
          </cell>
        </row>
        <row r="8567">
          <cell r="C8567" t="str">
            <v>魏暉恩</v>
          </cell>
          <cell r="F8567" t="str">
            <v>K251101R1</v>
          </cell>
          <cell r="J8567">
            <v>46090</v>
          </cell>
          <cell r="K8567">
            <v>2</v>
          </cell>
        </row>
        <row r="8568">
          <cell r="C8568" t="str">
            <v>魏暉恩</v>
          </cell>
          <cell r="F8568" t="str">
            <v>K251101R1</v>
          </cell>
          <cell r="J8568">
            <v>46091</v>
          </cell>
          <cell r="K8568">
            <v>8</v>
          </cell>
        </row>
        <row r="8569">
          <cell r="C8569" t="str">
            <v>魏暉恩</v>
          </cell>
          <cell r="F8569" t="str">
            <v>K251101R1</v>
          </cell>
          <cell r="J8569">
            <v>46092</v>
          </cell>
          <cell r="K8569">
            <v>4</v>
          </cell>
        </row>
        <row r="8570">
          <cell r="C8570" t="str">
            <v>魏暉恩</v>
          </cell>
          <cell r="F8570" t="str">
            <v>K251101R1</v>
          </cell>
          <cell r="J8570">
            <v>46092</v>
          </cell>
          <cell r="K8570">
            <v>4</v>
          </cell>
        </row>
        <row r="8571">
          <cell r="C8571" t="str">
            <v>魏暉恩</v>
          </cell>
          <cell r="F8571" t="str">
            <v>K251101R1</v>
          </cell>
          <cell r="J8571">
            <v>46093</v>
          </cell>
          <cell r="K8571">
            <v>8</v>
          </cell>
        </row>
        <row r="8572">
          <cell r="C8572" t="str">
            <v>魏暉恩</v>
          </cell>
          <cell r="F8572" t="str">
            <v>K251101R1</v>
          </cell>
          <cell r="J8572">
            <v>46094</v>
          </cell>
          <cell r="K8572">
            <v>8</v>
          </cell>
        </row>
        <row r="8573">
          <cell r="C8573" t="str">
            <v>魏暉恩</v>
          </cell>
          <cell r="F8573" t="str">
            <v>K251101R1</v>
          </cell>
          <cell r="J8573">
            <v>46097</v>
          </cell>
          <cell r="K8573">
            <v>8</v>
          </cell>
        </row>
        <row r="8574">
          <cell r="C8574" t="str">
            <v>魏暉恩</v>
          </cell>
          <cell r="J8574">
            <v>46098</v>
          </cell>
          <cell r="K8574">
            <v>3</v>
          </cell>
        </row>
        <row r="8575">
          <cell r="C8575" t="str">
            <v>魏暉恩</v>
          </cell>
          <cell r="F8575" t="str">
            <v>K251101R1</v>
          </cell>
          <cell r="J8575">
            <v>46098</v>
          </cell>
          <cell r="K8575">
            <v>5</v>
          </cell>
        </row>
        <row r="8576">
          <cell r="C8576" t="str">
            <v>魏暉恩</v>
          </cell>
          <cell r="J8576">
            <v>46099</v>
          </cell>
          <cell r="K8576">
            <v>2</v>
          </cell>
        </row>
        <row r="8577">
          <cell r="C8577" t="str">
            <v>魏暉恩</v>
          </cell>
          <cell r="F8577" t="str">
            <v>K251101R1</v>
          </cell>
          <cell r="J8577">
            <v>46099</v>
          </cell>
          <cell r="K8577">
            <v>6</v>
          </cell>
        </row>
        <row r="8578">
          <cell r="C8578" t="str">
            <v>魏暉恩</v>
          </cell>
          <cell r="F8578" t="str">
            <v>K251101R1</v>
          </cell>
          <cell r="J8578">
            <v>46100</v>
          </cell>
          <cell r="K8578">
            <v>8</v>
          </cell>
        </row>
        <row r="8579">
          <cell r="C8579" t="str">
            <v>魏暉恩</v>
          </cell>
          <cell r="F8579" t="str">
            <v>K251101R1</v>
          </cell>
          <cell r="J8579">
            <v>46101</v>
          </cell>
          <cell r="K8579">
            <v>8</v>
          </cell>
        </row>
        <row r="8580">
          <cell r="C8580" t="str">
            <v>魏暉恩</v>
          </cell>
          <cell r="F8580" t="str">
            <v>K251101R1</v>
          </cell>
          <cell r="J8580">
            <v>46104</v>
          </cell>
          <cell r="K8580">
            <v>8</v>
          </cell>
        </row>
        <row r="8581">
          <cell r="C8581" t="str">
            <v>魏暉恩</v>
          </cell>
          <cell r="F8581" t="str">
            <v>K251101R1</v>
          </cell>
          <cell r="J8581">
            <v>46105</v>
          </cell>
          <cell r="K8581">
            <v>8</v>
          </cell>
        </row>
        <row r="8582">
          <cell r="C8582" t="str">
            <v>魏暉恩</v>
          </cell>
          <cell r="J8582">
            <v>46106</v>
          </cell>
          <cell r="K8582">
            <v>4</v>
          </cell>
        </row>
        <row r="8583">
          <cell r="C8583" t="str">
            <v>魏暉恩</v>
          </cell>
          <cell r="F8583" t="str">
            <v>K251101R1</v>
          </cell>
          <cell r="J8583">
            <v>46106</v>
          </cell>
          <cell r="K8583">
            <v>4</v>
          </cell>
        </row>
        <row r="8584">
          <cell r="C8584" t="str">
            <v>魏暉恩</v>
          </cell>
          <cell r="J8584">
            <v>46107</v>
          </cell>
          <cell r="K8584">
            <v>8</v>
          </cell>
        </row>
        <row r="8585">
          <cell r="C8585" t="str">
            <v>魏暉恩</v>
          </cell>
          <cell r="J8585">
            <v>46108</v>
          </cell>
          <cell r="K8585">
            <v>8</v>
          </cell>
        </row>
        <row r="8586">
          <cell r="C8586" t="str">
            <v>魏暉恩</v>
          </cell>
          <cell r="J8586">
            <v>46111</v>
          </cell>
          <cell r="K8586">
            <v>5</v>
          </cell>
        </row>
        <row r="8587">
          <cell r="C8587" t="str">
            <v>魏暉恩</v>
          </cell>
          <cell r="F8587" t="str">
            <v>K251101R1</v>
          </cell>
          <cell r="J8587">
            <v>46111</v>
          </cell>
          <cell r="K8587">
            <v>3</v>
          </cell>
        </row>
        <row r="8588">
          <cell r="C8588" t="str">
            <v>魏暉恩</v>
          </cell>
          <cell r="J8588">
            <v>46112</v>
          </cell>
          <cell r="K8588">
            <v>5</v>
          </cell>
        </row>
        <row r="8589">
          <cell r="C8589" t="str">
            <v>魏暉恩</v>
          </cell>
          <cell r="F8589" t="str">
            <v>K251101R1</v>
          </cell>
          <cell r="J8589">
            <v>46112</v>
          </cell>
          <cell r="K8589">
            <v>3</v>
          </cell>
        </row>
        <row r="8590">
          <cell r="C8590" t="str">
            <v>魏暉恩</v>
          </cell>
          <cell r="J8590">
            <v>46113</v>
          </cell>
          <cell r="K8590">
            <v>6</v>
          </cell>
        </row>
        <row r="8591">
          <cell r="C8591" t="str">
            <v>魏暉恩</v>
          </cell>
          <cell r="J8591">
            <v>46113</v>
          </cell>
          <cell r="K8591">
            <v>2</v>
          </cell>
        </row>
        <row r="8592">
          <cell r="C8592" t="str">
            <v>魏暉恩</v>
          </cell>
          <cell r="F8592" t="str">
            <v>K251101R1</v>
          </cell>
          <cell r="J8592">
            <v>46114</v>
          </cell>
          <cell r="K8592">
            <v>8</v>
          </cell>
        </row>
        <row r="8593">
          <cell r="C8593" t="str">
            <v>魏暉恩</v>
          </cell>
          <cell r="J8593">
            <v>46119</v>
          </cell>
          <cell r="K8593">
            <v>8</v>
          </cell>
        </row>
        <row r="8594">
          <cell r="C8594" t="str">
            <v>魏暉恩</v>
          </cell>
          <cell r="F8594" t="str">
            <v>K251101R1</v>
          </cell>
          <cell r="J8594">
            <v>46120</v>
          </cell>
          <cell r="K8594">
            <v>8</v>
          </cell>
        </row>
        <row r="8595">
          <cell r="C8595" t="str">
            <v>魏暉恩</v>
          </cell>
          <cell r="J8595">
            <v>46121</v>
          </cell>
          <cell r="K8595">
            <v>8</v>
          </cell>
        </row>
        <row r="8596">
          <cell r="C8596" t="str">
            <v>魏暉恩</v>
          </cell>
          <cell r="F8596" t="str">
            <v>K251101R1</v>
          </cell>
          <cell r="J8596">
            <v>46122</v>
          </cell>
          <cell r="K8596">
            <v>8</v>
          </cell>
        </row>
        <row r="8597">
          <cell r="C8597" t="str">
            <v>魏暉恩</v>
          </cell>
          <cell r="F8597" t="str">
            <v>K251101R1</v>
          </cell>
          <cell r="J8597">
            <v>46125</v>
          </cell>
          <cell r="K8597">
            <v>8</v>
          </cell>
        </row>
        <row r="8598">
          <cell r="C8598" t="str">
            <v>魏暉恩</v>
          </cell>
          <cell r="F8598" t="str">
            <v>K251101R1</v>
          </cell>
          <cell r="J8598">
            <v>46126</v>
          </cell>
          <cell r="K8598">
            <v>8</v>
          </cell>
        </row>
        <row r="8599">
          <cell r="C8599" t="str">
            <v>魏暉恩</v>
          </cell>
          <cell r="F8599" t="str">
            <v>K251101R1</v>
          </cell>
          <cell r="J8599">
            <v>46127</v>
          </cell>
          <cell r="K8599">
            <v>8</v>
          </cell>
        </row>
        <row r="8600">
          <cell r="C8600" t="str">
            <v>魏暉恩</v>
          </cell>
          <cell r="F8600" t="str">
            <v>K251101R1</v>
          </cell>
          <cell r="J8600">
            <v>46128</v>
          </cell>
          <cell r="K8600">
            <v>8</v>
          </cell>
        </row>
        <row r="8601">
          <cell r="C8601" t="str">
            <v>魏暉恩</v>
          </cell>
          <cell r="F8601" t="str">
            <v>K251101R1</v>
          </cell>
          <cell r="J8601">
            <v>46129</v>
          </cell>
          <cell r="K8601">
            <v>8</v>
          </cell>
        </row>
        <row r="8602">
          <cell r="C8602" t="str">
            <v>魏暉恩</v>
          </cell>
          <cell r="J8602">
            <v>46132</v>
          </cell>
          <cell r="K8602">
            <v>4</v>
          </cell>
        </row>
        <row r="8603">
          <cell r="C8603" t="str">
            <v>魏暉恩</v>
          </cell>
          <cell r="F8603" t="str">
            <v>K251101R1</v>
          </cell>
          <cell r="J8603">
            <v>46132</v>
          </cell>
          <cell r="K8603">
            <v>4</v>
          </cell>
        </row>
        <row r="8604">
          <cell r="C8604" t="str">
            <v>魏暉恩</v>
          </cell>
          <cell r="F8604" t="str">
            <v>K251101R1</v>
          </cell>
          <cell r="J8604">
            <v>46133</v>
          </cell>
          <cell r="K8604">
            <v>8</v>
          </cell>
        </row>
        <row r="8605">
          <cell r="C8605" t="str">
            <v>魏暉恩</v>
          </cell>
          <cell r="F8605" t="str">
            <v>K251101R1</v>
          </cell>
          <cell r="J8605">
            <v>46134</v>
          </cell>
          <cell r="K8605">
            <v>8</v>
          </cell>
        </row>
        <row r="8606">
          <cell r="C8606" t="str">
            <v>魏暉恩</v>
          </cell>
          <cell r="F8606" t="str">
            <v>K251101R1</v>
          </cell>
          <cell r="J8606">
            <v>46135</v>
          </cell>
          <cell r="K8606">
            <v>8</v>
          </cell>
        </row>
        <row r="8607">
          <cell r="C8607" t="str">
            <v>魏暉恩</v>
          </cell>
          <cell r="F8607" t="str">
            <v>K251101R1</v>
          </cell>
          <cell r="J8607">
            <v>46136</v>
          </cell>
          <cell r="K8607">
            <v>8</v>
          </cell>
        </row>
        <row r="8608">
          <cell r="C8608" t="str">
            <v>魏暉恩</v>
          </cell>
          <cell r="F8608" t="str">
            <v>K251101R1</v>
          </cell>
          <cell r="J8608">
            <v>46139</v>
          </cell>
          <cell r="K8608">
            <v>8</v>
          </cell>
        </row>
        <row r="8609">
          <cell r="C8609" t="str">
            <v>魏暉恩</v>
          </cell>
          <cell r="F8609" t="str">
            <v>K251101R1</v>
          </cell>
          <cell r="J8609">
            <v>46140</v>
          </cell>
          <cell r="K8609">
            <v>8</v>
          </cell>
        </row>
        <row r="8610">
          <cell r="C8610" t="str">
            <v>魏暉恩</v>
          </cell>
          <cell r="J8610">
            <v>46141</v>
          </cell>
          <cell r="K8610">
            <v>2</v>
          </cell>
        </row>
        <row r="8611">
          <cell r="C8611" t="str">
            <v>魏暉恩</v>
          </cell>
          <cell r="F8611" t="str">
            <v>K251101R1</v>
          </cell>
          <cell r="J8611">
            <v>46141</v>
          </cell>
          <cell r="K8611">
            <v>6</v>
          </cell>
        </row>
        <row r="8612">
          <cell r="C8612" t="str">
            <v>魏暉恩</v>
          </cell>
          <cell r="J8612">
            <v>46142</v>
          </cell>
          <cell r="K8612">
            <v>8</v>
          </cell>
        </row>
        <row r="8613">
          <cell r="C8613" t="str">
            <v>魏暉恩</v>
          </cell>
          <cell r="F8613" t="str">
            <v>K251101R1</v>
          </cell>
          <cell r="J8613">
            <v>46146</v>
          </cell>
          <cell r="K8613">
            <v>8</v>
          </cell>
        </row>
        <row r="8614">
          <cell r="C8614" t="str">
            <v>魏暉恩</v>
          </cell>
          <cell r="F8614" t="str">
            <v>K251101R1</v>
          </cell>
          <cell r="J8614">
            <v>46147</v>
          </cell>
          <cell r="K8614">
            <v>8</v>
          </cell>
        </row>
        <row r="8615">
          <cell r="C8615" t="str">
            <v>魏暉恩</v>
          </cell>
          <cell r="F8615" t="str">
            <v>K251101R1</v>
          </cell>
          <cell r="J8615">
            <v>46148</v>
          </cell>
          <cell r="K8615">
            <v>8</v>
          </cell>
        </row>
        <row r="8616">
          <cell r="C8616" t="str">
            <v>魏暉恩</v>
          </cell>
          <cell r="J8616">
            <v>46149</v>
          </cell>
          <cell r="K8616">
            <v>1</v>
          </cell>
        </row>
        <row r="8617">
          <cell r="C8617" t="str">
            <v>魏暉恩</v>
          </cell>
          <cell r="J8617">
            <v>46149</v>
          </cell>
          <cell r="K8617">
            <v>1.5</v>
          </cell>
        </row>
        <row r="8618">
          <cell r="C8618" t="str">
            <v>魏暉恩</v>
          </cell>
          <cell r="F8618" t="str">
            <v>K251101R1</v>
          </cell>
          <cell r="J8618">
            <v>46149</v>
          </cell>
          <cell r="K8618">
            <v>5.5</v>
          </cell>
        </row>
        <row r="8619">
          <cell r="C8619" t="str">
            <v>魏暉恩</v>
          </cell>
          <cell r="F8619" t="str">
            <v>K251101R1</v>
          </cell>
          <cell r="J8619">
            <v>46150</v>
          </cell>
          <cell r="K8619">
            <v>8</v>
          </cell>
        </row>
        <row r="8620">
          <cell r="C8620" t="str">
            <v>魏暉恩</v>
          </cell>
          <cell r="J8620">
            <v>46153</v>
          </cell>
          <cell r="K8620">
            <v>1</v>
          </cell>
        </row>
        <row r="8621">
          <cell r="C8621" t="str">
            <v>魏暉恩</v>
          </cell>
          <cell r="F8621" t="str">
            <v>K251101R1</v>
          </cell>
          <cell r="J8621">
            <v>46153</v>
          </cell>
          <cell r="K8621">
            <v>7</v>
          </cell>
        </row>
        <row r="8622">
          <cell r="C8622" t="str">
            <v>魏暉恩</v>
          </cell>
          <cell r="J8622">
            <v>46154</v>
          </cell>
          <cell r="K8622">
            <v>1</v>
          </cell>
        </row>
        <row r="8623">
          <cell r="C8623" t="str">
            <v>魏暉恩</v>
          </cell>
          <cell r="F8623" t="str">
            <v>K251101R1</v>
          </cell>
          <cell r="J8623">
            <v>46154</v>
          </cell>
          <cell r="K8623">
            <v>7</v>
          </cell>
        </row>
        <row r="8624">
          <cell r="C8624" t="str">
            <v>魏暉恩</v>
          </cell>
          <cell r="J8624">
            <v>46155</v>
          </cell>
          <cell r="K8624">
            <v>1</v>
          </cell>
        </row>
        <row r="8625">
          <cell r="C8625" t="str">
            <v>魏暉恩</v>
          </cell>
          <cell r="J8625">
            <v>46155</v>
          </cell>
          <cell r="K8625">
            <v>1</v>
          </cell>
        </row>
        <row r="8626">
          <cell r="C8626" t="str">
            <v>魏暉恩</v>
          </cell>
          <cell r="F8626" t="str">
            <v>K251101R1</v>
          </cell>
          <cell r="J8626">
            <v>46155</v>
          </cell>
          <cell r="K8626">
            <v>7</v>
          </cell>
        </row>
        <row r="8627">
          <cell r="C8627" t="str">
            <v>魏暉恩</v>
          </cell>
          <cell r="J8627">
            <v>46156</v>
          </cell>
          <cell r="K8627">
            <v>0.5</v>
          </cell>
        </row>
        <row r="8628">
          <cell r="C8628" t="str">
            <v>魏暉恩</v>
          </cell>
          <cell r="F8628" t="str">
            <v>K251101R1</v>
          </cell>
          <cell r="J8628">
            <v>46156</v>
          </cell>
          <cell r="K8628">
            <v>7.5</v>
          </cell>
        </row>
        <row r="8629">
          <cell r="C8629" t="str">
            <v>魏暉恩</v>
          </cell>
          <cell r="F8629" t="str">
            <v>K251101R1</v>
          </cell>
          <cell r="J8629">
            <v>46157</v>
          </cell>
          <cell r="K8629">
            <v>8</v>
          </cell>
        </row>
        <row r="8630">
          <cell r="C8630" t="str">
            <v>魏暉恩</v>
          </cell>
          <cell r="J8630">
            <v>46160</v>
          </cell>
          <cell r="K8630">
            <v>1</v>
          </cell>
        </row>
        <row r="8631">
          <cell r="C8631" t="str">
            <v>魏暉恩</v>
          </cell>
          <cell r="F8631" t="str">
            <v>K251101R1</v>
          </cell>
          <cell r="J8631">
            <v>46160</v>
          </cell>
          <cell r="K8631">
            <v>7</v>
          </cell>
        </row>
        <row r="8632">
          <cell r="C8632" t="str">
            <v>魏暉恩</v>
          </cell>
          <cell r="J8632">
            <v>46161</v>
          </cell>
          <cell r="K8632">
            <v>4</v>
          </cell>
        </row>
        <row r="8633">
          <cell r="C8633" t="str">
            <v>魏暉恩</v>
          </cell>
          <cell r="J8633">
            <v>46161</v>
          </cell>
          <cell r="K8633">
            <v>4</v>
          </cell>
        </row>
        <row r="8634">
          <cell r="C8634" t="str">
            <v>魏暉恩</v>
          </cell>
          <cell r="J8634">
            <v>46162</v>
          </cell>
          <cell r="K8634">
            <v>1</v>
          </cell>
        </row>
        <row r="8635">
          <cell r="C8635" t="str">
            <v>魏暉恩</v>
          </cell>
          <cell r="J8635">
            <v>46162</v>
          </cell>
          <cell r="K8635">
            <v>1.5</v>
          </cell>
        </row>
        <row r="8636">
          <cell r="C8636" t="str">
            <v>魏暉恩</v>
          </cell>
          <cell r="J8636">
            <v>46162</v>
          </cell>
          <cell r="K8636">
            <v>0.5</v>
          </cell>
        </row>
        <row r="8637">
          <cell r="C8637" t="str">
            <v>魏暉恩</v>
          </cell>
          <cell r="F8637" t="str">
            <v>K251101R1</v>
          </cell>
          <cell r="J8637">
            <v>46162</v>
          </cell>
          <cell r="K8637">
            <v>5</v>
          </cell>
        </row>
        <row r="8638">
          <cell r="C8638" t="str">
            <v>蘇哲弘</v>
          </cell>
          <cell r="F8638" t="str">
            <v>M240201R1</v>
          </cell>
          <cell r="J8638">
            <v>45470</v>
          </cell>
          <cell r="K8638">
            <v>8</v>
          </cell>
        </row>
        <row r="8639">
          <cell r="C8639" t="str">
            <v>蘇哲弘</v>
          </cell>
          <cell r="F8639" t="str">
            <v>M240201R1</v>
          </cell>
          <cell r="J8639">
            <v>45471</v>
          </cell>
          <cell r="K8639">
            <v>8</v>
          </cell>
        </row>
        <row r="8640">
          <cell r="C8640" t="str">
            <v>蘇哲弘</v>
          </cell>
          <cell r="F8640" t="str">
            <v>M240201R1</v>
          </cell>
          <cell r="J8640">
            <v>45474</v>
          </cell>
          <cell r="K8640">
            <v>8</v>
          </cell>
        </row>
        <row r="8641">
          <cell r="C8641" t="str">
            <v>蘇哲弘</v>
          </cell>
          <cell r="F8641" t="str">
            <v>M240201R1</v>
          </cell>
          <cell r="J8641">
            <v>45475</v>
          </cell>
          <cell r="K8641">
            <v>8</v>
          </cell>
        </row>
        <row r="8642">
          <cell r="C8642" t="str">
            <v>蘇哲弘</v>
          </cell>
          <cell r="F8642" t="str">
            <v>M240201R1</v>
          </cell>
          <cell r="J8642">
            <v>45476</v>
          </cell>
          <cell r="K8642">
            <v>8</v>
          </cell>
        </row>
        <row r="8643">
          <cell r="C8643" t="str">
            <v>蘇哲弘</v>
          </cell>
          <cell r="J8643">
            <v>45477</v>
          </cell>
          <cell r="K8643">
            <v>8</v>
          </cell>
        </row>
        <row r="8644">
          <cell r="C8644" t="str">
            <v>蘇哲弘</v>
          </cell>
          <cell r="F8644" t="str">
            <v>M240201R1</v>
          </cell>
          <cell r="J8644">
            <v>45478</v>
          </cell>
          <cell r="K8644">
            <v>8</v>
          </cell>
        </row>
        <row r="8645">
          <cell r="C8645" t="str">
            <v>蘇哲弘</v>
          </cell>
          <cell r="F8645" t="str">
            <v>M240201R1</v>
          </cell>
          <cell r="J8645">
            <v>45481</v>
          </cell>
          <cell r="K8645">
            <v>8</v>
          </cell>
        </row>
        <row r="8646">
          <cell r="C8646" t="str">
            <v>蘇哲弘</v>
          </cell>
          <cell r="F8646" t="str">
            <v>M240201R1</v>
          </cell>
          <cell r="J8646">
            <v>45482</v>
          </cell>
          <cell r="K8646">
            <v>8</v>
          </cell>
        </row>
        <row r="8647">
          <cell r="C8647" t="str">
            <v>蘇哲弘</v>
          </cell>
          <cell r="F8647" t="str">
            <v>M240201R1</v>
          </cell>
          <cell r="J8647">
            <v>45483</v>
          </cell>
          <cell r="K8647">
            <v>8</v>
          </cell>
        </row>
        <row r="8648">
          <cell r="C8648" t="str">
            <v>蘇哲弘</v>
          </cell>
          <cell r="F8648" t="str">
            <v>M240201R1</v>
          </cell>
          <cell r="J8648">
            <v>45484</v>
          </cell>
          <cell r="K8648">
            <v>8</v>
          </cell>
        </row>
        <row r="8649">
          <cell r="C8649" t="str">
            <v>蘇哲弘</v>
          </cell>
          <cell r="F8649" t="str">
            <v>M240201R1</v>
          </cell>
          <cell r="J8649">
            <v>45485</v>
          </cell>
          <cell r="K8649">
            <v>8</v>
          </cell>
        </row>
        <row r="8650">
          <cell r="C8650" t="str">
            <v>蘇哲弘</v>
          </cell>
          <cell r="F8650" t="str">
            <v>M240201R1</v>
          </cell>
          <cell r="J8650">
            <v>45488</v>
          </cell>
          <cell r="K8650">
            <v>8</v>
          </cell>
        </row>
        <row r="8651">
          <cell r="C8651" t="str">
            <v>蘇哲弘</v>
          </cell>
          <cell r="F8651" t="str">
            <v>M240201R1</v>
          </cell>
          <cell r="J8651">
            <v>45489</v>
          </cell>
          <cell r="K8651">
            <v>8</v>
          </cell>
        </row>
        <row r="8652">
          <cell r="C8652" t="str">
            <v>蘇哲弘</v>
          </cell>
          <cell r="F8652" t="str">
            <v>M240201R1</v>
          </cell>
          <cell r="J8652">
            <v>45490</v>
          </cell>
          <cell r="K8652">
            <v>8</v>
          </cell>
        </row>
        <row r="8653">
          <cell r="C8653" t="str">
            <v>蘇哲弘</v>
          </cell>
          <cell r="F8653" t="str">
            <v>M240201R1</v>
          </cell>
          <cell r="J8653">
            <v>45491</v>
          </cell>
          <cell r="K8653">
            <v>8</v>
          </cell>
        </row>
        <row r="8654">
          <cell r="C8654" t="str">
            <v>蘇哲弘</v>
          </cell>
          <cell r="F8654" t="str">
            <v>M240201R1</v>
          </cell>
          <cell r="J8654">
            <v>45492</v>
          </cell>
          <cell r="K8654">
            <v>8</v>
          </cell>
        </row>
        <row r="8655">
          <cell r="C8655" t="str">
            <v>蘇哲弘</v>
          </cell>
          <cell r="F8655" t="str">
            <v>M240201R1</v>
          </cell>
          <cell r="J8655">
            <v>45495</v>
          </cell>
          <cell r="K8655">
            <v>8</v>
          </cell>
        </row>
        <row r="8656">
          <cell r="C8656" t="str">
            <v>蘇哲弘</v>
          </cell>
          <cell r="F8656" t="str">
            <v>M240201R1</v>
          </cell>
          <cell r="J8656">
            <v>45496</v>
          </cell>
          <cell r="K8656">
            <v>8</v>
          </cell>
        </row>
        <row r="8657">
          <cell r="C8657" t="str">
            <v>蘇哲弘</v>
          </cell>
          <cell r="F8657" t="str">
            <v>M240705R1</v>
          </cell>
          <cell r="J8657">
            <v>45499</v>
          </cell>
          <cell r="K8657">
            <v>8</v>
          </cell>
        </row>
        <row r="8658">
          <cell r="C8658" t="str">
            <v>蘇哲弘</v>
          </cell>
          <cell r="F8658" t="str">
            <v>M240705R1</v>
          </cell>
          <cell r="J8658">
            <v>45502</v>
          </cell>
          <cell r="K8658">
            <v>8</v>
          </cell>
        </row>
        <row r="8659">
          <cell r="C8659" t="str">
            <v>蘇哲弘</v>
          </cell>
          <cell r="F8659" t="str">
            <v>M240705R1</v>
          </cell>
          <cell r="J8659">
            <v>45503</v>
          </cell>
          <cell r="K8659">
            <v>8</v>
          </cell>
        </row>
        <row r="8660">
          <cell r="C8660" t="str">
            <v>蘇哲弘</v>
          </cell>
          <cell r="F8660" t="str">
            <v>M240705R1</v>
          </cell>
          <cell r="J8660">
            <v>45504</v>
          </cell>
          <cell r="K8660">
            <v>8</v>
          </cell>
        </row>
        <row r="8661">
          <cell r="C8661" t="str">
            <v>蘇哲弘</v>
          </cell>
          <cell r="F8661" t="str">
            <v>M240705R1</v>
          </cell>
          <cell r="J8661">
            <v>45505</v>
          </cell>
          <cell r="K8661">
            <v>8</v>
          </cell>
        </row>
        <row r="8662">
          <cell r="C8662" t="str">
            <v>蘇哲弘</v>
          </cell>
          <cell r="F8662" t="str">
            <v>M240705R1</v>
          </cell>
          <cell r="J8662">
            <v>45506</v>
          </cell>
          <cell r="K8662">
            <v>8</v>
          </cell>
        </row>
        <row r="8663">
          <cell r="C8663" t="str">
            <v>蘇哲弘</v>
          </cell>
          <cell r="F8663" t="str">
            <v>M240705R1</v>
          </cell>
          <cell r="J8663">
            <v>45509</v>
          </cell>
          <cell r="K8663">
            <v>8</v>
          </cell>
        </row>
        <row r="8664">
          <cell r="C8664" t="str">
            <v>蘇哲弘</v>
          </cell>
          <cell r="F8664" t="str">
            <v>M240705R1</v>
          </cell>
          <cell r="J8664">
            <v>45510</v>
          </cell>
          <cell r="K8664">
            <v>8</v>
          </cell>
        </row>
        <row r="8665">
          <cell r="C8665" t="str">
            <v>蘇哲弘</v>
          </cell>
          <cell r="F8665" t="str">
            <v>M240705R1</v>
          </cell>
          <cell r="J8665">
            <v>45511</v>
          </cell>
          <cell r="K8665">
            <v>8</v>
          </cell>
        </row>
        <row r="8666">
          <cell r="C8666" t="str">
            <v>蘇哲弘</v>
          </cell>
          <cell r="F8666" t="str">
            <v>M240705R1</v>
          </cell>
          <cell r="J8666">
            <v>45512</v>
          </cell>
          <cell r="K8666">
            <v>8</v>
          </cell>
        </row>
        <row r="8667">
          <cell r="C8667" t="str">
            <v>蘇哲弘</v>
          </cell>
          <cell r="F8667" t="str">
            <v>M240705R1</v>
          </cell>
          <cell r="J8667">
            <v>45513</v>
          </cell>
          <cell r="K8667">
            <v>8</v>
          </cell>
        </row>
        <row r="8668">
          <cell r="C8668" t="str">
            <v>蘇哲弘</v>
          </cell>
          <cell r="F8668" t="str">
            <v>M240705R1</v>
          </cell>
          <cell r="J8668">
            <v>45516</v>
          </cell>
          <cell r="K8668">
            <v>8</v>
          </cell>
        </row>
        <row r="8669">
          <cell r="C8669" t="str">
            <v>蘇哲弘</v>
          </cell>
          <cell r="F8669" t="str">
            <v>M240705R1</v>
          </cell>
          <cell r="J8669">
            <v>45517</v>
          </cell>
          <cell r="K8669">
            <v>8</v>
          </cell>
        </row>
        <row r="8670">
          <cell r="C8670" t="str">
            <v>蘇哲弘</v>
          </cell>
          <cell r="F8670" t="str">
            <v>M240705R1</v>
          </cell>
          <cell r="J8670">
            <v>45518</v>
          </cell>
          <cell r="K8670">
            <v>8</v>
          </cell>
        </row>
        <row r="8671">
          <cell r="C8671" t="str">
            <v>蘇哲弘</v>
          </cell>
          <cell r="F8671" t="str">
            <v>M240705R1</v>
          </cell>
          <cell r="J8671">
            <v>45519</v>
          </cell>
          <cell r="K8671">
            <v>8</v>
          </cell>
        </row>
        <row r="8672">
          <cell r="C8672" t="str">
            <v>蘇哲弘</v>
          </cell>
          <cell r="F8672" t="str">
            <v>M240705R1</v>
          </cell>
          <cell r="J8672">
            <v>45520</v>
          </cell>
          <cell r="K8672">
            <v>8</v>
          </cell>
        </row>
        <row r="8673">
          <cell r="C8673" t="str">
            <v>蘇哲弘</v>
          </cell>
          <cell r="F8673" t="str">
            <v>M240705R1</v>
          </cell>
          <cell r="J8673">
            <v>45523</v>
          </cell>
          <cell r="K8673">
            <v>8</v>
          </cell>
        </row>
        <row r="8674">
          <cell r="C8674" t="str">
            <v>蘇哲弘</v>
          </cell>
          <cell r="F8674" t="str">
            <v>M240705R1</v>
          </cell>
          <cell r="J8674">
            <v>45524</v>
          </cell>
          <cell r="K8674">
            <v>8</v>
          </cell>
        </row>
        <row r="8675">
          <cell r="C8675" t="str">
            <v>蘇哲弘</v>
          </cell>
          <cell r="F8675" t="str">
            <v>M240705R1</v>
          </cell>
          <cell r="J8675">
            <v>45525</v>
          </cell>
          <cell r="K8675">
            <v>8</v>
          </cell>
        </row>
        <row r="8676">
          <cell r="C8676" t="str">
            <v>蘇哲弘</v>
          </cell>
          <cell r="F8676" t="str">
            <v>M240705R1</v>
          </cell>
          <cell r="J8676">
            <v>45526</v>
          </cell>
          <cell r="K8676">
            <v>8</v>
          </cell>
        </row>
        <row r="8677">
          <cell r="C8677" t="str">
            <v>蘇哲弘</v>
          </cell>
          <cell r="F8677" t="str">
            <v>M240705R1</v>
          </cell>
          <cell r="J8677">
            <v>45527</v>
          </cell>
          <cell r="K8677">
            <v>8</v>
          </cell>
        </row>
        <row r="8678">
          <cell r="C8678" t="str">
            <v>蘇哲弘</v>
          </cell>
          <cell r="F8678" t="str">
            <v>M240705R1</v>
          </cell>
          <cell r="J8678">
            <v>45530</v>
          </cell>
          <cell r="K8678">
            <v>8</v>
          </cell>
        </row>
        <row r="8679">
          <cell r="C8679" t="str">
            <v>蘇哲弘</v>
          </cell>
          <cell r="F8679" t="str">
            <v>M240705R1</v>
          </cell>
          <cell r="J8679">
            <v>45531</v>
          </cell>
          <cell r="K8679">
            <v>8</v>
          </cell>
        </row>
        <row r="8680">
          <cell r="C8680" t="str">
            <v>蘇哲弘</v>
          </cell>
          <cell r="F8680" t="str">
            <v>M240705R1</v>
          </cell>
          <cell r="J8680">
            <v>45532</v>
          </cell>
          <cell r="K8680">
            <v>8</v>
          </cell>
        </row>
        <row r="8681">
          <cell r="C8681" t="str">
            <v>蘇哲弘</v>
          </cell>
          <cell r="F8681" t="str">
            <v>M240705R1</v>
          </cell>
          <cell r="J8681">
            <v>45533</v>
          </cell>
          <cell r="K8681">
            <v>8</v>
          </cell>
        </row>
        <row r="8682">
          <cell r="C8682" t="str">
            <v>蘇哲弘</v>
          </cell>
          <cell r="F8682" t="str">
            <v>M240705R1</v>
          </cell>
          <cell r="J8682">
            <v>45534</v>
          </cell>
          <cell r="K8682">
            <v>8</v>
          </cell>
        </row>
        <row r="8683">
          <cell r="C8683" t="str">
            <v>蘇哲弘</v>
          </cell>
          <cell r="F8683" t="str">
            <v>M240705R1</v>
          </cell>
          <cell r="J8683">
            <v>45537</v>
          </cell>
          <cell r="K8683">
            <v>8</v>
          </cell>
        </row>
        <row r="8684">
          <cell r="C8684" t="str">
            <v>蘇哲弘</v>
          </cell>
          <cell r="F8684" t="str">
            <v>M240705R1</v>
          </cell>
          <cell r="J8684">
            <v>45538</v>
          </cell>
          <cell r="K8684">
            <v>8</v>
          </cell>
        </row>
        <row r="8685">
          <cell r="C8685" t="str">
            <v>蘇哲弘</v>
          </cell>
          <cell r="F8685" t="str">
            <v>M240705R1</v>
          </cell>
          <cell r="J8685">
            <v>45539</v>
          </cell>
          <cell r="K8685">
            <v>8</v>
          </cell>
        </row>
        <row r="8686">
          <cell r="C8686" t="str">
            <v>蘇哲弘</v>
          </cell>
          <cell r="F8686" t="str">
            <v>M240705R1</v>
          </cell>
          <cell r="J8686">
            <v>45540</v>
          </cell>
          <cell r="K8686">
            <v>8</v>
          </cell>
        </row>
        <row r="8687">
          <cell r="C8687" t="str">
            <v>蘇哲弘</v>
          </cell>
          <cell r="F8687" t="str">
            <v>M240705R1</v>
          </cell>
          <cell r="J8687">
            <v>45541</v>
          </cell>
          <cell r="K8687">
            <v>8</v>
          </cell>
        </row>
        <row r="8688">
          <cell r="C8688" t="str">
            <v>蘇哲弘</v>
          </cell>
          <cell r="F8688" t="str">
            <v>M240201R1</v>
          </cell>
          <cell r="J8688">
            <v>45544</v>
          </cell>
          <cell r="K8688">
            <v>8</v>
          </cell>
        </row>
        <row r="8689">
          <cell r="C8689" t="str">
            <v>蘇哲弘</v>
          </cell>
          <cell r="F8689" t="str">
            <v>M240705R1</v>
          </cell>
          <cell r="J8689">
            <v>45545</v>
          </cell>
          <cell r="K8689">
            <v>8</v>
          </cell>
        </row>
        <row r="8690">
          <cell r="C8690" t="str">
            <v>蘇哲弘</v>
          </cell>
          <cell r="F8690" t="str">
            <v>M240201R1</v>
          </cell>
          <cell r="J8690">
            <v>45546</v>
          </cell>
          <cell r="K8690">
            <v>8</v>
          </cell>
        </row>
        <row r="8691">
          <cell r="C8691" t="str">
            <v>蘇哲弘</v>
          </cell>
          <cell r="F8691" t="str">
            <v>M240201R1</v>
          </cell>
          <cell r="J8691">
            <v>45547</v>
          </cell>
          <cell r="K8691">
            <v>8</v>
          </cell>
        </row>
        <row r="8692">
          <cell r="C8692" t="str">
            <v>蘇哲弘</v>
          </cell>
          <cell r="F8692" t="str">
            <v>M240201R1</v>
          </cell>
          <cell r="J8692">
            <v>45548</v>
          </cell>
          <cell r="K8692">
            <v>8</v>
          </cell>
        </row>
        <row r="8693">
          <cell r="C8693" t="str">
            <v>蘇哲弘</v>
          </cell>
          <cell r="F8693" t="str">
            <v>M240705R1</v>
          </cell>
          <cell r="J8693">
            <v>45551</v>
          </cell>
          <cell r="K8693">
            <v>8</v>
          </cell>
        </row>
        <row r="8694">
          <cell r="C8694" t="str">
            <v>蘇哲弘</v>
          </cell>
          <cell r="F8694" t="str">
            <v>M240705R1</v>
          </cell>
          <cell r="J8694">
            <v>45553</v>
          </cell>
          <cell r="K8694">
            <v>8</v>
          </cell>
        </row>
        <row r="8695">
          <cell r="C8695" t="str">
            <v>蘇哲弘</v>
          </cell>
          <cell r="F8695" t="str">
            <v>M240705R1</v>
          </cell>
          <cell r="J8695">
            <v>45554</v>
          </cell>
          <cell r="K8695">
            <v>8</v>
          </cell>
        </row>
        <row r="8696">
          <cell r="C8696" t="str">
            <v>蘇哲弘</v>
          </cell>
          <cell r="F8696" t="str">
            <v>M240705R1</v>
          </cell>
          <cell r="J8696">
            <v>45555</v>
          </cell>
          <cell r="K8696">
            <v>8</v>
          </cell>
        </row>
        <row r="8697">
          <cell r="C8697" t="str">
            <v>蘇哲弘</v>
          </cell>
          <cell r="F8697" t="str">
            <v>M240705R1</v>
          </cell>
          <cell r="J8697">
            <v>45558</v>
          </cell>
          <cell r="K8697">
            <v>8</v>
          </cell>
        </row>
        <row r="8698">
          <cell r="C8698" t="str">
            <v>蘇哲弘</v>
          </cell>
          <cell r="F8698" t="str">
            <v>M240705R1</v>
          </cell>
          <cell r="J8698">
            <v>45559</v>
          </cell>
          <cell r="K8698">
            <v>8</v>
          </cell>
        </row>
        <row r="8699">
          <cell r="C8699" t="str">
            <v>蘇哲弘</v>
          </cell>
          <cell r="F8699" t="str">
            <v>M240705R1</v>
          </cell>
          <cell r="J8699">
            <v>45560</v>
          </cell>
          <cell r="K8699">
            <v>8</v>
          </cell>
        </row>
        <row r="8700">
          <cell r="C8700" t="str">
            <v>蘇哲弘</v>
          </cell>
          <cell r="F8700" t="str">
            <v>M240705R1</v>
          </cell>
          <cell r="J8700">
            <v>45561</v>
          </cell>
          <cell r="K8700">
            <v>8</v>
          </cell>
        </row>
        <row r="8701">
          <cell r="C8701" t="str">
            <v>蘇哲弘</v>
          </cell>
          <cell r="F8701" t="str">
            <v>M240705R1</v>
          </cell>
          <cell r="J8701">
            <v>45562</v>
          </cell>
          <cell r="K8701">
            <v>8</v>
          </cell>
        </row>
        <row r="8702">
          <cell r="C8702" t="str">
            <v>蘇哲弘</v>
          </cell>
          <cell r="F8702" t="str">
            <v>M240705R1</v>
          </cell>
          <cell r="J8702">
            <v>45565</v>
          </cell>
          <cell r="K8702">
            <v>8</v>
          </cell>
        </row>
        <row r="8703">
          <cell r="C8703" t="str">
            <v>蘇哲弘</v>
          </cell>
          <cell r="F8703" t="str">
            <v>M240705R1</v>
          </cell>
          <cell r="J8703">
            <v>45566</v>
          </cell>
          <cell r="K8703">
            <v>8</v>
          </cell>
        </row>
        <row r="8704">
          <cell r="C8704" t="str">
            <v>蘇哲弘</v>
          </cell>
          <cell r="F8704" t="str">
            <v>M240705R1</v>
          </cell>
          <cell r="J8704">
            <v>45569</v>
          </cell>
          <cell r="K8704">
            <v>8</v>
          </cell>
        </row>
        <row r="8705">
          <cell r="C8705" t="str">
            <v>蘇哲弘</v>
          </cell>
          <cell r="F8705" t="str">
            <v>M240705R1</v>
          </cell>
          <cell r="J8705">
            <v>45572</v>
          </cell>
          <cell r="K8705">
            <v>8</v>
          </cell>
        </row>
        <row r="8706">
          <cell r="C8706" t="str">
            <v>蘇哲弘</v>
          </cell>
          <cell r="F8706" t="str">
            <v>M240705R1</v>
          </cell>
          <cell r="J8706">
            <v>45573</v>
          </cell>
          <cell r="K8706">
            <v>8</v>
          </cell>
        </row>
        <row r="8707">
          <cell r="C8707" t="str">
            <v>蘇哲弘</v>
          </cell>
          <cell r="F8707" t="str">
            <v>M240705R1</v>
          </cell>
          <cell r="J8707">
            <v>45574</v>
          </cell>
          <cell r="K8707">
            <v>8</v>
          </cell>
        </row>
        <row r="8708">
          <cell r="C8708" t="str">
            <v>蘇哲弘</v>
          </cell>
          <cell r="F8708" t="str">
            <v>M240704R1</v>
          </cell>
          <cell r="J8708">
            <v>45576</v>
          </cell>
          <cell r="K8708">
            <v>8</v>
          </cell>
        </row>
        <row r="8709">
          <cell r="C8709" t="str">
            <v>蘇哲弘</v>
          </cell>
          <cell r="F8709" t="str">
            <v>M240704R1</v>
          </cell>
          <cell r="J8709">
            <v>45579</v>
          </cell>
          <cell r="K8709">
            <v>8</v>
          </cell>
        </row>
        <row r="8710">
          <cell r="C8710" t="str">
            <v>蘇哲弘</v>
          </cell>
          <cell r="F8710" t="str">
            <v>M240704R1</v>
          </cell>
          <cell r="J8710">
            <v>45580</v>
          </cell>
          <cell r="K8710">
            <v>8</v>
          </cell>
        </row>
        <row r="8711">
          <cell r="C8711" t="str">
            <v>蘇哲弘</v>
          </cell>
          <cell r="F8711" t="str">
            <v>M240704R1</v>
          </cell>
          <cell r="J8711">
            <v>45581</v>
          </cell>
          <cell r="K8711">
            <v>8</v>
          </cell>
        </row>
        <row r="8712">
          <cell r="C8712" t="str">
            <v>蘇哲弘</v>
          </cell>
          <cell r="F8712" t="str">
            <v>M240704R1</v>
          </cell>
          <cell r="J8712">
            <v>45582</v>
          </cell>
          <cell r="K8712">
            <v>8</v>
          </cell>
        </row>
        <row r="8713">
          <cell r="C8713" t="str">
            <v>蘇哲弘</v>
          </cell>
          <cell r="F8713" t="str">
            <v>M240705R1</v>
          </cell>
          <cell r="J8713">
            <v>45583</v>
          </cell>
          <cell r="K8713">
            <v>8</v>
          </cell>
        </row>
        <row r="8714">
          <cell r="C8714" t="str">
            <v>蘇哲弘</v>
          </cell>
          <cell r="F8714" t="str">
            <v>M240704R1</v>
          </cell>
          <cell r="J8714">
            <v>45586</v>
          </cell>
          <cell r="K8714">
            <v>8</v>
          </cell>
        </row>
        <row r="8715">
          <cell r="C8715" t="str">
            <v>蘇哲弘</v>
          </cell>
          <cell r="F8715" t="str">
            <v>M240704R1</v>
          </cell>
          <cell r="J8715">
            <v>45587</v>
          </cell>
          <cell r="K8715">
            <v>8</v>
          </cell>
        </row>
        <row r="8716">
          <cell r="C8716" t="str">
            <v>蘇哲弘</v>
          </cell>
          <cell r="F8716" t="str">
            <v>M240704R1</v>
          </cell>
          <cell r="J8716">
            <v>45588</v>
          </cell>
          <cell r="K8716">
            <v>8</v>
          </cell>
        </row>
        <row r="8717">
          <cell r="C8717" t="str">
            <v>蘇哲弘</v>
          </cell>
          <cell r="F8717" t="str">
            <v>M240704R1</v>
          </cell>
          <cell r="J8717">
            <v>45589</v>
          </cell>
          <cell r="K8717">
            <v>8</v>
          </cell>
        </row>
        <row r="8718">
          <cell r="C8718" t="str">
            <v>蘇哲弘</v>
          </cell>
          <cell r="F8718" t="str">
            <v>M240704R1</v>
          </cell>
          <cell r="J8718">
            <v>45590</v>
          </cell>
          <cell r="K8718">
            <v>8</v>
          </cell>
        </row>
        <row r="8719">
          <cell r="C8719" t="str">
            <v>蘇哲弘</v>
          </cell>
          <cell r="F8719" t="str">
            <v>M240704R1</v>
          </cell>
          <cell r="J8719">
            <v>45593</v>
          </cell>
          <cell r="K8719">
            <v>8</v>
          </cell>
        </row>
        <row r="8720">
          <cell r="C8720" t="str">
            <v>蘇哲弘</v>
          </cell>
          <cell r="F8720" t="str">
            <v>M240704R1</v>
          </cell>
          <cell r="J8720">
            <v>45594</v>
          </cell>
          <cell r="K8720">
            <v>8</v>
          </cell>
        </row>
        <row r="8721">
          <cell r="C8721" t="str">
            <v>蘇哲弘</v>
          </cell>
          <cell r="F8721" t="str">
            <v>M240704R1</v>
          </cell>
          <cell r="J8721">
            <v>45595</v>
          </cell>
          <cell r="K8721">
            <v>8</v>
          </cell>
        </row>
        <row r="8722">
          <cell r="C8722" t="str">
            <v>蘇哲弘</v>
          </cell>
          <cell r="F8722" t="str">
            <v>M240704R1</v>
          </cell>
          <cell r="J8722">
            <v>45597</v>
          </cell>
          <cell r="K8722">
            <v>8</v>
          </cell>
        </row>
        <row r="8723">
          <cell r="C8723" t="str">
            <v>蘇哲弘</v>
          </cell>
          <cell r="F8723" t="str">
            <v>M240704R1</v>
          </cell>
          <cell r="J8723">
            <v>45600</v>
          </cell>
          <cell r="K8723">
            <v>8</v>
          </cell>
        </row>
        <row r="8724">
          <cell r="C8724" t="str">
            <v>蘇哲弘</v>
          </cell>
          <cell r="F8724" t="str">
            <v>M240704R1</v>
          </cell>
          <cell r="J8724">
            <v>45601</v>
          </cell>
          <cell r="K8724">
            <v>8</v>
          </cell>
        </row>
        <row r="8725">
          <cell r="C8725" t="str">
            <v>蘇哲弘</v>
          </cell>
          <cell r="F8725" t="str">
            <v>M240704R1</v>
          </cell>
          <cell r="J8725">
            <v>45602</v>
          </cell>
          <cell r="K8725">
            <v>8</v>
          </cell>
        </row>
        <row r="8726">
          <cell r="C8726" t="str">
            <v>蘇哲弘</v>
          </cell>
          <cell r="F8726" t="str">
            <v>M240704R1</v>
          </cell>
          <cell r="J8726">
            <v>45603</v>
          </cell>
          <cell r="K8726">
            <v>8</v>
          </cell>
        </row>
        <row r="8727">
          <cell r="C8727" t="str">
            <v>蘇哲弘</v>
          </cell>
          <cell r="F8727" t="str">
            <v>M240704R1</v>
          </cell>
          <cell r="J8727">
            <v>45604</v>
          </cell>
          <cell r="K8727">
            <v>8</v>
          </cell>
        </row>
        <row r="8728">
          <cell r="C8728" t="str">
            <v>蘇哲弘</v>
          </cell>
          <cell r="F8728" t="str">
            <v>M240705R1</v>
          </cell>
          <cell r="J8728">
            <v>45607</v>
          </cell>
          <cell r="K8728">
            <v>8</v>
          </cell>
        </row>
        <row r="8729">
          <cell r="C8729" t="str">
            <v>蘇哲弘</v>
          </cell>
          <cell r="F8729" t="str">
            <v>M240704R1</v>
          </cell>
          <cell r="J8729">
            <v>45608</v>
          </cell>
          <cell r="K8729">
            <v>8</v>
          </cell>
        </row>
        <row r="8730">
          <cell r="C8730" t="str">
            <v>蘇哲弘</v>
          </cell>
          <cell r="F8730" t="str">
            <v>M240704R1</v>
          </cell>
          <cell r="J8730">
            <v>45609</v>
          </cell>
          <cell r="K8730">
            <v>8</v>
          </cell>
        </row>
        <row r="8731">
          <cell r="C8731" t="str">
            <v>蘇哲弘</v>
          </cell>
          <cell r="F8731" t="str">
            <v>M240704R1</v>
          </cell>
          <cell r="J8731">
            <v>45610</v>
          </cell>
          <cell r="K8731">
            <v>8</v>
          </cell>
        </row>
        <row r="8732">
          <cell r="C8732" t="str">
            <v>蘇哲弘</v>
          </cell>
          <cell r="F8732" t="str">
            <v>M240704R1</v>
          </cell>
          <cell r="J8732">
            <v>45611</v>
          </cell>
          <cell r="K8732">
            <v>8</v>
          </cell>
        </row>
        <row r="8733">
          <cell r="C8733" t="str">
            <v>蘇哲弘</v>
          </cell>
          <cell r="F8733" t="str">
            <v>M240704R1</v>
          </cell>
          <cell r="J8733">
            <v>45614</v>
          </cell>
          <cell r="K8733">
            <v>8</v>
          </cell>
        </row>
        <row r="8734">
          <cell r="C8734" t="str">
            <v>蘇哲弘</v>
          </cell>
          <cell r="F8734" t="str">
            <v>M240704R1</v>
          </cell>
          <cell r="J8734">
            <v>45615</v>
          </cell>
          <cell r="K8734">
            <v>8</v>
          </cell>
        </row>
        <row r="8735">
          <cell r="C8735" t="str">
            <v>蘇哲弘</v>
          </cell>
          <cell r="F8735" t="str">
            <v>M240704R1</v>
          </cell>
          <cell r="J8735">
            <v>45616</v>
          </cell>
          <cell r="K8735">
            <v>8</v>
          </cell>
        </row>
        <row r="8736">
          <cell r="C8736" t="str">
            <v>蘇哲弘</v>
          </cell>
          <cell r="F8736" t="str">
            <v>M240704R1</v>
          </cell>
          <cell r="J8736">
            <v>45617</v>
          </cell>
          <cell r="K8736">
            <v>8</v>
          </cell>
        </row>
        <row r="8737">
          <cell r="C8737" t="str">
            <v>蘇哲弘</v>
          </cell>
          <cell r="F8737" t="str">
            <v>M240705R1</v>
          </cell>
          <cell r="J8737">
            <v>45618</v>
          </cell>
          <cell r="K8737">
            <v>8</v>
          </cell>
        </row>
        <row r="8738">
          <cell r="C8738" t="str">
            <v>蘇哲弘</v>
          </cell>
          <cell r="F8738" t="str">
            <v>M240704R1</v>
          </cell>
          <cell r="J8738">
            <v>45621</v>
          </cell>
          <cell r="K8738">
            <v>8</v>
          </cell>
        </row>
        <row r="8739">
          <cell r="C8739" t="str">
            <v>蘇哲弘</v>
          </cell>
          <cell r="F8739" t="str">
            <v>M240704R1</v>
          </cell>
          <cell r="J8739">
            <v>45622</v>
          </cell>
          <cell r="K8739">
            <v>8</v>
          </cell>
        </row>
        <row r="8740">
          <cell r="C8740" t="str">
            <v>蘇哲弘</v>
          </cell>
          <cell r="F8740" t="str">
            <v>M240704R1</v>
          </cell>
          <cell r="J8740">
            <v>45623</v>
          </cell>
          <cell r="K8740">
            <v>8</v>
          </cell>
        </row>
        <row r="8741">
          <cell r="C8741" t="str">
            <v>蘇哲弘</v>
          </cell>
          <cell r="F8741" t="str">
            <v>M240704R1</v>
          </cell>
          <cell r="J8741">
            <v>45624</v>
          </cell>
          <cell r="K8741">
            <v>8</v>
          </cell>
        </row>
        <row r="8742">
          <cell r="C8742" t="str">
            <v>蘇哲弘</v>
          </cell>
          <cell r="F8742" t="str">
            <v>M240704R1</v>
          </cell>
          <cell r="J8742">
            <v>45625</v>
          </cell>
          <cell r="K8742">
            <v>8</v>
          </cell>
        </row>
        <row r="8743">
          <cell r="C8743" t="str">
            <v>蘇哲弘</v>
          </cell>
          <cell r="F8743" t="str">
            <v>M240704R1</v>
          </cell>
          <cell r="J8743">
            <v>45628</v>
          </cell>
          <cell r="K8743">
            <v>8</v>
          </cell>
        </row>
        <row r="8744">
          <cell r="C8744" t="str">
            <v>蘇哲弘</v>
          </cell>
          <cell r="F8744" t="str">
            <v>M240704R1</v>
          </cell>
          <cell r="J8744">
            <v>45629</v>
          </cell>
          <cell r="K8744">
            <v>8</v>
          </cell>
        </row>
        <row r="8745">
          <cell r="C8745" t="str">
            <v>蘇哲弘</v>
          </cell>
          <cell r="F8745" t="str">
            <v>M240704R1</v>
          </cell>
          <cell r="J8745">
            <v>45630</v>
          </cell>
          <cell r="K8745">
            <v>8</v>
          </cell>
        </row>
        <row r="8746">
          <cell r="C8746" t="str">
            <v>蘇哲弘</v>
          </cell>
          <cell r="F8746" t="str">
            <v>M240704R1</v>
          </cell>
          <cell r="J8746">
            <v>45631</v>
          </cell>
          <cell r="K8746">
            <v>8</v>
          </cell>
        </row>
        <row r="8747">
          <cell r="C8747" t="str">
            <v>蘇哲弘</v>
          </cell>
          <cell r="F8747" t="str">
            <v>M240704R1</v>
          </cell>
          <cell r="J8747">
            <v>45632</v>
          </cell>
          <cell r="K8747">
            <v>8</v>
          </cell>
        </row>
        <row r="8748">
          <cell r="C8748" t="str">
            <v>蘇哲弘</v>
          </cell>
          <cell r="F8748" t="str">
            <v>M240704R1</v>
          </cell>
          <cell r="J8748">
            <v>45635</v>
          </cell>
          <cell r="K8748">
            <v>8</v>
          </cell>
        </row>
        <row r="8749">
          <cell r="C8749" t="str">
            <v>蘇哲弘</v>
          </cell>
          <cell r="F8749" t="str">
            <v>M240704R1</v>
          </cell>
          <cell r="J8749">
            <v>45636</v>
          </cell>
          <cell r="K8749">
            <v>8</v>
          </cell>
        </row>
        <row r="8750">
          <cell r="C8750" t="str">
            <v>蘇哲弘</v>
          </cell>
          <cell r="F8750" t="str">
            <v>M240704R1</v>
          </cell>
          <cell r="J8750">
            <v>45637</v>
          </cell>
          <cell r="K8750">
            <v>8</v>
          </cell>
        </row>
        <row r="8751">
          <cell r="C8751" t="str">
            <v>蘇哲弘</v>
          </cell>
          <cell r="F8751" t="str">
            <v>M240704R1</v>
          </cell>
          <cell r="J8751">
            <v>45638</v>
          </cell>
          <cell r="K8751">
            <v>8</v>
          </cell>
        </row>
        <row r="8752">
          <cell r="C8752" t="str">
            <v>蘇哲弘</v>
          </cell>
          <cell r="F8752" t="str">
            <v>M240704R1</v>
          </cell>
          <cell r="J8752">
            <v>45639</v>
          </cell>
          <cell r="K8752">
            <v>8</v>
          </cell>
        </row>
        <row r="8753">
          <cell r="C8753" t="str">
            <v>蘇哲弘</v>
          </cell>
          <cell r="F8753" t="str">
            <v>M240704R1</v>
          </cell>
          <cell r="J8753">
            <v>45642</v>
          </cell>
          <cell r="K8753">
            <v>8</v>
          </cell>
        </row>
        <row r="8754">
          <cell r="C8754" t="str">
            <v>蘇哲弘</v>
          </cell>
          <cell r="F8754" t="str">
            <v>M240704R1</v>
          </cell>
          <cell r="J8754">
            <v>45643</v>
          </cell>
          <cell r="K8754">
            <v>8</v>
          </cell>
        </row>
        <row r="8755">
          <cell r="C8755" t="str">
            <v>蘇哲弘</v>
          </cell>
          <cell r="F8755" t="str">
            <v>M240705R1</v>
          </cell>
          <cell r="J8755">
            <v>45644</v>
          </cell>
          <cell r="K8755">
            <v>8</v>
          </cell>
        </row>
        <row r="8756">
          <cell r="C8756" t="str">
            <v>蘇哲弘</v>
          </cell>
          <cell r="F8756" t="str">
            <v>M240705R1</v>
          </cell>
          <cell r="J8756">
            <v>45645</v>
          </cell>
          <cell r="K8756">
            <v>8</v>
          </cell>
        </row>
        <row r="8757">
          <cell r="C8757" t="str">
            <v>蘇哲弘</v>
          </cell>
          <cell r="J8757">
            <v>45646</v>
          </cell>
          <cell r="K8757">
            <v>8</v>
          </cell>
        </row>
        <row r="8758">
          <cell r="C8758" t="str">
            <v>蘇哲弘</v>
          </cell>
          <cell r="J8758">
            <v>45649</v>
          </cell>
          <cell r="K8758">
            <v>8</v>
          </cell>
        </row>
        <row r="8759">
          <cell r="C8759" t="str">
            <v>蘇哲弘</v>
          </cell>
          <cell r="J8759">
            <v>45650</v>
          </cell>
          <cell r="K8759">
            <v>8</v>
          </cell>
        </row>
        <row r="8760">
          <cell r="C8760" t="str">
            <v>蘇哲弘</v>
          </cell>
          <cell r="J8760">
            <v>45651</v>
          </cell>
          <cell r="K8760">
            <v>8</v>
          </cell>
        </row>
        <row r="8761">
          <cell r="C8761" t="str">
            <v>蘇哲弘</v>
          </cell>
          <cell r="F8761" t="str">
            <v>M240704R1</v>
          </cell>
          <cell r="J8761">
            <v>45652</v>
          </cell>
          <cell r="K8761">
            <v>8</v>
          </cell>
        </row>
        <row r="8762">
          <cell r="C8762" t="str">
            <v>蘇哲弘</v>
          </cell>
          <cell r="F8762" t="str">
            <v>M240704R1</v>
          </cell>
          <cell r="J8762">
            <v>45653</v>
          </cell>
          <cell r="K8762">
            <v>8</v>
          </cell>
        </row>
        <row r="8763">
          <cell r="C8763" t="str">
            <v>蘇哲弘</v>
          </cell>
          <cell r="F8763" t="str">
            <v>M240704R1</v>
          </cell>
          <cell r="J8763">
            <v>45656</v>
          </cell>
          <cell r="K8763">
            <v>8</v>
          </cell>
        </row>
        <row r="8764">
          <cell r="C8764" t="str">
            <v>蘇哲弘</v>
          </cell>
          <cell r="F8764" t="str">
            <v>M240704R1</v>
          </cell>
          <cell r="J8764">
            <v>45657</v>
          </cell>
          <cell r="K8764">
            <v>8</v>
          </cell>
        </row>
        <row r="8765">
          <cell r="C8765" t="str">
            <v>蘇哲弘</v>
          </cell>
          <cell r="F8765" t="str">
            <v>M240705R1</v>
          </cell>
          <cell r="J8765">
            <v>45659</v>
          </cell>
          <cell r="K8765">
            <v>8</v>
          </cell>
        </row>
        <row r="8766">
          <cell r="C8766" t="str">
            <v>蘇哲弘</v>
          </cell>
          <cell r="F8766" t="str">
            <v>M240704R1</v>
          </cell>
          <cell r="J8766">
            <v>45660</v>
          </cell>
          <cell r="K8766">
            <v>4</v>
          </cell>
        </row>
        <row r="8767">
          <cell r="C8767" t="str">
            <v>蘇哲弘</v>
          </cell>
          <cell r="F8767" t="str">
            <v>M240704R1</v>
          </cell>
          <cell r="J8767">
            <v>45663</v>
          </cell>
          <cell r="K8767">
            <v>8</v>
          </cell>
        </row>
        <row r="8768">
          <cell r="C8768" t="str">
            <v>蘇哲弘</v>
          </cell>
          <cell r="F8768" t="str">
            <v>M240704R1</v>
          </cell>
          <cell r="J8768">
            <v>45664</v>
          </cell>
          <cell r="K8768">
            <v>8</v>
          </cell>
        </row>
        <row r="8769">
          <cell r="C8769" t="str">
            <v>蘇哲弘</v>
          </cell>
          <cell r="F8769" t="str">
            <v>M240704R1</v>
          </cell>
          <cell r="J8769">
            <v>45665</v>
          </cell>
          <cell r="K8769">
            <v>8</v>
          </cell>
        </row>
        <row r="8770">
          <cell r="C8770" t="str">
            <v>蘇哲弘</v>
          </cell>
          <cell r="F8770" t="str">
            <v>M240704R1</v>
          </cell>
          <cell r="J8770">
            <v>45666</v>
          </cell>
          <cell r="K8770">
            <v>8</v>
          </cell>
        </row>
        <row r="8771">
          <cell r="C8771" t="str">
            <v>蘇哲弘</v>
          </cell>
          <cell r="F8771" t="str">
            <v>M240704R1</v>
          </cell>
          <cell r="J8771">
            <v>45667</v>
          </cell>
          <cell r="K8771">
            <v>8</v>
          </cell>
        </row>
        <row r="8772">
          <cell r="C8772" t="str">
            <v>蘇哲弘</v>
          </cell>
          <cell r="F8772" t="str">
            <v>M240704R1</v>
          </cell>
          <cell r="J8772">
            <v>45670</v>
          </cell>
          <cell r="K8772">
            <v>8</v>
          </cell>
        </row>
        <row r="8773">
          <cell r="C8773" t="str">
            <v>蘇哲弘</v>
          </cell>
          <cell r="F8773" t="str">
            <v>M240704R1</v>
          </cell>
          <cell r="J8773">
            <v>45671</v>
          </cell>
          <cell r="K8773">
            <v>8</v>
          </cell>
        </row>
        <row r="8774">
          <cell r="C8774" t="str">
            <v>蘇哲弘</v>
          </cell>
          <cell r="F8774" t="str">
            <v>M240704R1</v>
          </cell>
          <cell r="J8774">
            <v>45672</v>
          </cell>
          <cell r="K8774">
            <v>8</v>
          </cell>
        </row>
        <row r="8775">
          <cell r="C8775" t="str">
            <v>蘇哲弘</v>
          </cell>
          <cell r="F8775" t="str">
            <v>M240704R1</v>
          </cell>
          <cell r="J8775">
            <v>45673</v>
          </cell>
          <cell r="K8775">
            <v>8</v>
          </cell>
        </row>
        <row r="8776">
          <cell r="C8776" t="str">
            <v>蘇哲弘</v>
          </cell>
          <cell r="F8776" t="str">
            <v>M240704R1</v>
          </cell>
          <cell r="J8776">
            <v>45674</v>
          </cell>
          <cell r="K8776">
            <v>8</v>
          </cell>
        </row>
        <row r="8777">
          <cell r="C8777" t="str">
            <v>蘇哲弘</v>
          </cell>
          <cell r="F8777" t="str">
            <v>M240704R1</v>
          </cell>
          <cell r="J8777">
            <v>45677</v>
          </cell>
          <cell r="K8777">
            <v>8</v>
          </cell>
        </row>
        <row r="8778">
          <cell r="C8778" t="str">
            <v>蘇哲弘</v>
          </cell>
          <cell r="F8778" t="str">
            <v>M240704R1</v>
          </cell>
          <cell r="J8778">
            <v>45678</v>
          </cell>
          <cell r="K8778">
            <v>8</v>
          </cell>
        </row>
        <row r="8779">
          <cell r="C8779" t="str">
            <v>蘇哲弘</v>
          </cell>
          <cell r="F8779" t="str">
            <v>M240704R1</v>
          </cell>
          <cell r="J8779">
            <v>45679</v>
          </cell>
          <cell r="K8779">
            <v>8</v>
          </cell>
        </row>
        <row r="8780">
          <cell r="C8780" t="str">
            <v>蘇哲弘</v>
          </cell>
          <cell r="F8780" t="str">
            <v>M240704R1</v>
          </cell>
          <cell r="J8780">
            <v>45680</v>
          </cell>
          <cell r="K8780">
            <v>8</v>
          </cell>
        </row>
        <row r="8781">
          <cell r="C8781" t="str">
            <v>蘇哲弘</v>
          </cell>
          <cell r="F8781" t="str">
            <v>M240704R1</v>
          </cell>
          <cell r="J8781">
            <v>45681</v>
          </cell>
          <cell r="K8781">
            <v>8</v>
          </cell>
        </row>
        <row r="8782">
          <cell r="C8782" t="str">
            <v>蘇哲弘</v>
          </cell>
          <cell r="F8782" t="str">
            <v>M240704R1</v>
          </cell>
          <cell r="J8782">
            <v>45691</v>
          </cell>
          <cell r="K8782">
            <v>8</v>
          </cell>
        </row>
        <row r="8783">
          <cell r="C8783" t="str">
            <v>蘇哲弘</v>
          </cell>
          <cell r="F8783" t="str">
            <v>M240704R1</v>
          </cell>
          <cell r="J8783">
            <v>45692</v>
          </cell>
          <cell r="K8783">
            <v>8</v>
          </cell>
        </row>
        <row r="8784">
          <cell r="C8784" t="str">
            <v>蘇哲弘</v>
          </cell>
          <cell r="F8784" t="str">
            <v>M240704R1</v>
          </cell>
          <cell r="J8784">
            <v>45693</v>
          </cell>
          <cell r="K8784">
            <v>8</v>
          </cell>
        </row>
        <row r="8785">
          <cell r="C8785" t="str">
            <v>蘇哲弘</v>
          </cell>
          <cell r="F8785" t="str">
            <v>M240704R1</v>
          </cell>
          <cell r="J8785">
            <v>45694</v>
          </cell>
          <cell r="K8785">
            <v>8</v>
          </cell>
        </row>
        <row r="8786">
          <cell r="C8786" t="str">
            <v>蘇哲弘</v>
          </cell>
          <cell r="F8786" t="str">
            <v>M240704R1</v>
          </cell>
          <cell r="J8786">
            <v>45695</v>
          </cell>
          <cell r="K8786">
            <v>8</v>
          </cell>
        </row>
        <row r="8787">
          <cell r="C8787" t="str">
            <v>蘇哲弘</v>
          </cell>
          <cell r="F8787" t="str">
            <v>M240704R1</v>
          </cell>
          <cell r="J8787">
            <v>45696</v>
          </cell>
          <cell r="K8787">
            <v>8</v>
          </cell>
        </row>
        <row r="8788">
          <cell r="C8788" t="str">
            <v>蘇哲弘</v>
          </cell>
          <cell r="F8788" t="str">
            <v>M240704R1</v>
          </cell>
          <cell r="J8788">
            <v>45698</v>
          </cell>
          <cell r="K8788">
            <v>8</v>
          </cell>
        </row>
        <row r="8789">
          <cell r="C8789" t="str">
            <v>蘇哲弘</v>
          </cell>
          <cell r="F8789" t="str">
            <v>M240704R1</v>
          </cell>
          <cell r="J8789">
            <v>45699</v>
          </cell>
          <cell r="K8789">
            <v>8</v>
          </cell>
        </row>
        <row r="8790">
          <cell r="C8790" t="str">
            <v>蘇哲弘</v>
          </cell>
          <cell r="F8790" t="str">
            <v>M240704R1</v>
          </cell>
          <cell r="J8790">
            <v>45700</v>
          </cell>
          <cell r="K8790">
            <v>8</v>
          </cell>
        </row>
        <row r="8791">
          <cell r="C8791" t="str">
            <v>蘇哲弘</v>
          </cell>
          <cell r="F8791" t="str">
            <v>M240704R1</v>
          </cell>
          <cell r="J8791">
            <v>45701</v>
          </cell>
          <cell r="K8791">
            <v>8</v>
          </cell>
        </row>
        <row r="8792">
          <cell r="C8792" t="str">
            <v>蘇哲弘</v>
          </cell>
          <cell r="F8792" t="str">
            <v>M240704R1</v>
          </cell>
          <cell r="J8792">
            <v>45702</v>
          </cell>
          <cell r="K8792">
            <v>8</v>
          </cell>
        </row>
        <row r="8793">
          <cell r="C8793" t="str">
            <v>蘇哲弘</v>
          </cell>
          <cell r="F8793" t="str">
            <v>M240704R1</v>
          </cell>
          <cell r="J8793">
            <v>45705</v>
          </cell>
          <cell r="K8793">
            <v>8</v>
          </cell>
        </row>
        <row r="8794">
          <cell r="C8794" t="str">
            <v>蘇哲弘</v>
          </cell>
          <cell r="F8794" t="str">
            <v>M240704R1</v>
          </cell>
          <cell r="J8794">
            <v>45706</v>
          </cell>
          <cell r="K8794">
            <v>8</v>
          </cell>
        </row>
        <row r="8795">
          <cell r="C8795" t="str">
            <v>蘇哲弘</v>
          </cell>
          <cell r="F8795" t="str">
            <v>M240704R1</v>
          </cell>
          <cell r="J8795">
            <v>45707</v>
          </cell>
          <cell r="K8795">
            <v>8</v>
          </cell>
        </row>
        <row r="8796">
          <cell r="C8796" t="str">
            <v>蘇哲弘</v>
          </cell>
          <cell r="F8796" t="str">
            <v>M240704R1</v>
          </cell>
          <cell r="J8796">
            <v>45708</v>
          </cell>
          <cell r="K8796">
            <v>8</v>
          </cell>
        </row>
        <row r="8797">
          <cell r="C8797" t="str">
            <v>蘇哲弘</v>
          </cell>
          <cell r="F8797" t="str">
            <v>M240705R1</v>
          </cell>
          <cell r="J8797">
            <v>45709</v>
          </cell>
          <cell r="K8797">
            <v>8</v>
          </cell>
        </row>
        <row r="8798">
          <cell r="C8798" t="str">
            <v>蘇哲弘</v>
          </cell>
          <cell r="F8798" t="str">
            <v>M240705R1</v>
          </cell>
          <cell r="J8798">
            <v>45712</v>
          </cell>
          <cell r="K8798">
            <v>8</v>
          </cell>
        </row>
        <row r="8799">
          <cell r="C8799" t="str">
            <v>蘇哲弘</v>
          </cell>
          <cell r="F8799" t="str">
            <v>M240704R1</v>
          </cell>
          <cell r="J8799">
            <v>45713</v>
          </cell>
          <cell r="K8799">
            <v>8</v>
          </cell>
        </row>
        <row r="8800">
          <cell r="C8800" t="str">
            <v>蘇哲弘</v>
          </cell>
          <cell r="F8800" t="str">
            <v>M240704R1</v>
          </cell>
          <cell r="J8800">
            <v>45714</v>
          </cell>
          <cell r="K8800">
            <v>8</v>
          </cell>
        </row>
        <row r="8801">
          <cell r="C8801" t="str">
            <v>蘇哲弘</v>
          </cell>
          <cell r="F8801" t="str">
            <v>M240704R1</v>
          </cell>
          <cell r="J8801">
            <v>45715</v>
          </cell>
          <cell r="K8801">
            <v>8</v>
          </cell>
        </row>
        <row r="8802">
          <cell r="C8802" t="str">
            <v>蘇哲弘</v>
          </cell>
          <cell r="F8802" t="str">
            <v>M240704R1</v>
          </cell>
          <cell r="J8802">
            <v>45719</v>
          </cell>
          <cell r="K8802">
            <v>8</v>
          </cell>
        </row>
        <row r="8803">
          <cell r="C8803" t="str">
            <v>蘇哲弘</v>
          </cell>
          <cell r="F8803" t="str">
            <v>M240704R1</v>
          </cell>
          <cell r="J8803">
            <v>45720</v>
          </cell>
          <cell r="K8803">
            <v>8</v>
          </cell>
        </row>
        <row r="8804">
          <cell r="C8804" t="str">
            <v>蘇哲弘</v>
          </cell>
          <cell r="F8804" t="str">
            <v>M240704R1</v>
          </cell>
          <cell r="J8804">
            <v>45721</v>
          </cell>
          <cell r="K8804">
            <v>8</v>
          </cell>
        </row>
        <row r="8805">
          <cell r="C8805" t="str">
            <v>蘇哲弘</v>
          </cell>
          <cell r="F8805" t="str">
            <v>M240704R1</v>
          </cell>
          <cell r="J8805">
            <v>45722</v>
          </cell>
          <cell r="K8805">
            <v>8</v>
          </cell>
        </row>
        <row r="8806">
          <cell r="C8806" t="str">
            <v>蘇哲弘</v>
          </cell>
          <cell r="F8806" t="str">
            <v>M240704R1</v>
          </cell>
          <cell r="J8806">
            <v>45723</v>
          </cell>
          <cell r="K8806">
            <v>8</v>
          </cell>
        </row>
        <row r="8807">
          <cell r="C8807" t="str">
            <v>蘇哲弘</v>
          </cell>
          <cell r="F8807" t="str">
            <v>M240704R1</v>
          </cell>
          <cell r="J8807">
            <v>45726</v>
          </cell>
          <cell r="K8807">
            <v>8</v>
          </cell>
        </row>
        <row r="8808">
          <cell r="C8808" t="str">
            <v>蘇哲弘</v>
          </cell>
          <cell r="F8808" t="str">
            <v>M240704R1</v>
          </cell>
          <cell r="J8808">
            <v>45727</v>
          </cell>
          <cell r="K8808">
            <v>8</v>
          </cell>
        </row>
        <row r="8809">
          <cell r="C8809" t="str">
            <v>蘇哲弘</v>
          </cell>
          <cell r="F8809" t="str">
            <v>M240704R1</v>
          </cell>
          <cell r="J8809">
            <v>45728</v>
          </cell>
          <cell r="K8809">
            <v>8</v>
          </cell>
        </row>
        <row r="8810">
          <cell r="C8810" t="str">
            <v>蘇哲弘</v>
          </cell>
          <cell r="F8810" t="str">
            <v>M240704R1</v>
          </cell>
          <cell r="J8810">
            <v>45729</v>
          </cell>
          <cell r="K8810">
            <v>8</v>
          </cell>
        </row>
        <row r="8811">
          <cell r="C8811" t="str">
            <v>蘇哲弘</v>
          </cell>
          <cell r="F8811" t="str">
            <v>M240704R1</v>
          </cell>
          <cell r="J8811">
            <v>45730</v>
          </cell>
          <cell r="K8811">
            <v>8</v>
          </cell>
        </row>
        <row r="8812">
          <cell r="C8812" t="str">
            <v>蘇哲弘</v>
          </cell>
          <cell r="F8812" t="str">
            <v>M240704R1</v>
          </cell>
          <cell r="J8812">
            <v>45733</v>
          </cell>
          <cell r="K8812">
            <v>8</v>
          </cell>
        </row>
        <row r="8813">
          <cell r="C8813" t="str">
            <v>蘇哲弘</v>
          </cell>
          <cell r="F8813" t="str">
            <v>M240704R1</v>
          </cell>
          <cell r="J8813">
            <v>45734</v>
          </cell>
          <cell r="K8813">
            <v>8</v>
          </cell>
        </row>
        <row r="8814">
          <cell r="C8814" t="str">
            <v>蘇哲弘</v>
          </cell>
          <cell r="F8814" t="str">
            <v>M240704R1</v>
          </cell>
          <cell r="J8814">
            <v>45735</v>
          </cell>
          <cell r="K8814">
            <v>8</v>
          </cell>
        </row>
        <row r="8815">
          <cell r="C8815" t="str">
            <v>蘇哲弘</v>
          </cell>
          <cell r="F8815" t="str">
            <v>M240704R1</v>
          </cell>
          <cell r="J8815">
            <v>45736</v>
          </cell>
          <cell r="K8815">
            <v>8</v>
          </cell>
        </row>
        <row r="8816">
          <cell r="C8816" t="str">
            <v>蘇哲弘</v>
          </cell>
          <cell r="F8816" t="str">
            <v>M240704R1</v>
          </cell>
          <cell r="J8816">
            <v>45737</v>
          </cell>
          <cell r="K8816">
            <v>8</v>
          </cell>
        </row>
        <row r="8817">
          <cell r="C8817" t="str">
            <v>蘇哲弘</v>
          </cell>
          <cell r="F8817" t="str">
            <v>M240704R1</v>
          </cell>
          <cell r="J8817">
            <v>45740</v>
          </cell>
          <cell r="K8817">
            <v>8</v>
          </cell>
        </row>
        <row r="8818">
          <cell r="C8818" t="str">
            <v>蘇哲弘</v>
          </cell>
          <cell r="F8818" t="str">
            <v>M240704R1</v>
          </cell>
          <cell r="J8818">
            <v>45741</v>
          </cell>
          <cell r="K8818">
            <v>8</v>
          </cell>
        </row>
        <row r="8819">
          <cell r="C8819" t="str">
            <v>蘇哲弘</v>
          </cell>
          <cell r="F8819" t="str">
            <v>M240704R1</v>
          </cell>
          <cell r="J8819">
            <v>45742</v>
          </cell>
          <cell r="K8819">
            <v>8</v>
          </cell>
        </row>
        <row r="8820">
          <cell r="C8820" t="str">
            <v>蘇哲弘</v>
          </cell>
          <cell r="F8820" t="str">
            <v>M240704R1</v>
          </cell>
          <cell r="J8820">
            <v>45743</v>
          </cell>
          <cell r="K8820">
            <v>8</v>
          </cell>
        </row>
        <row r="8821">
          <cell r="C8821" t="str">
            <v>蘇哲弘</v>
          </cell>
          <cell r="F8821" t="str">
            <v>M240704R1</v>
          </cell>
          <cell r="J8821">
            <v>45744</v>
          </cell>
          <cell r="K8821">
            <v>8</v>
          </cell>
        </row>
        <row r="8822">
          <cell r="C8822" t="str">
            <v>蘇哲弘</v>
          </cell>
          <cell r="F8822" t="str">
            <v>M240704R1</v>
          </cell>
          <cell r="J8822">
            <v>45747</v>
          </cell>
          <cell r="K8822">
            <v>8</v>
          </cell>
        </row>
        <row r="8823">
          <cell r="C8823" t="str">
            <v>蘇哲弘</v>
          </cell>
          <cell r="F8823" t="str">
            <v>M240704R1</v>
          </cell>
          <cell r="J8823">
            <v>45748</v>
          </cell>
          <cell r="K8823">
            <v>8</v>
          </cell>
        </row>
        <row r="8824">
          <cell r="C8824" t="str">
            <v>蘇哲弘</v>
          </cell>
          <cell r="F8824" t="str">
            <v>M240704R1</v>
          </cell>
          <cell r="J8824">
            <v>45749</v>
          </cell>
          <cell r="K8824">
            <v>8</v>
          </cell>
        </row>
        <row r="8825">
          <cell r="C8825" t="str">
            <v>蘇哲弘</v>
          </cell>
          <cell r="F8825" t="str">
            <v>M240704R1</v>
          </cell>
          <cell r="J8825">
            <v>45754</v>
          </cell>
          <cell r="K8825">
            <v>8</v>
          </cell>
        </row>
        <row r="8826">
          <cell r="C8826" t="str">
            <v>蘇哲弘</v>
          </cell>
          <cell r="F8826" t="str">
            <v>M240704R1</v>
          </cell>
          <cell r="J8826">
            <v>45755</v>
          </cell>
          <cell r="K8826">
            <v>4</v>
          </cell>
        </row>
        <row r="8827">
          <cell r="C8827" t="str">
            <v>蘇哲弘</v>
          </cell>
          <cell r="F8827" t="str">
            <v>M240704R1</v>
          </cell>
          <cell r="J8827">
            <v>45756</v>
          </cell>
          <cell r="K8827">
            <v>8</v>
          </cell>
        </row>
        <row r="8828">
          <cell r="C8828" t="str">
            <v>蘇哲弘</v>
          </cell>
          <cell r="F8828" t="str">
            <v>M240704R1</v>
          </cell>
          <cell r="J8828">
            <v>45757</v>
          </cell>
          <cell r="K8828">
            <v>8</v>
          </cell>
        </row>
        <row r="8829">
          <cell r="C8829" t="str">
            <v>蘇哲弘</v>
          </cell>
          <cell r="F8829" t="str">
            <v>M240704R1</v>
          </cell>
          <cell r="J8829">
            <v>45758</v>
          </cell>
          <cell r="K8829">
            <v>8</v>
          </cell>
        </row>
        <row r="8830">
          <cell r="C8830" t="str">
            <v>蘇哲弘</v>
          </cell>
          <cell r="F8830" t="str">
            <v>M240704R1</v>
          </cell>
          <cell r="J8830">
            <v>45761</v>
          </cell>
          <cell r="K8830">
            <v>8</v>
          </cell>
        </row>
        <row r="8831">
          <cell r="C8831" t="str">
            <v>蘇哲弘</v>
          </cell>
          <cell r="F8831" t="str">
            <v>M240704R1</v>
          </cell>
          <cell r="J8831">
            <v>45762</v>
          </cell>
          <cell r="K8831">
            <v>8</v>
          </cell>
        </row>
        <row r="8832">
          <cell r="C8832" t="str">
            <v>蘇哲弘</v>
          </cell>
          <cell r="F8832" t="str">
            <v>M240704R1</v>
          </cell>
          <cell r="J8832">
            <v>45763</v>
          </cell>
          <cell r="K8832">
            <v>8</v>
          </cell>
        </row>
        <row r="8833">
          <cell r="C8833" t="str">
            <v>蘇哲弘</v>
          </cell>
          <cell r="F8833" t="str">
            <v>M240704R1</v>
          </cell>
          <cell r="J8833">
            <v>45764</v>
          </cell>
          <cell r="K8833">
            <v>8</v>
          </cell>
        </row>
        <row r="8834">
          <cell r="C8834" t="str">
            <v>蘇哲弘</v>
          </cell>
          <cell r="F8834" t="str">
            <v>M240704R1</v>
          </cell>
          <cell r="J8834">
            <v>45765</v>
          </cell>
          <cell r="K8834">
            <v>8</v>
          </cell>
        </row>
        <row r="8835">
          <cell r="C8835" t="str">
            <v>蘇哲弘</v>
          </cell>
          <cell r="F8835" t="str">
            <v>M240704R1</v>
          </cell>
          <cell r="J8835">
            <v>45768</v>
          </cell>
          <cell r="K8835">
            <v>8</v>
          </cell>
        </row>
        <row r="8836">
          <cell r="C8836" t="str">
            <v>蘇哲弘</v>
          </cell>
          <cell r="F8836" t="str">
            <v>M240704R1</v>
          </cell>
          <cell r="J8836">
            <v>45769</v>
          </cell>
          <cell r="K8836">
            <v>8</v>
          </cell>
        </row>
        <row r="8837">
          <cell r="C8837" t="str">
            <v>蘇哲弘</v>
          </cell>
          <cell r="F8837" t="str">
            <v>M240704R1</v>
          </cell>
          <cell r="J8837">
            <v>45770</v>
          </cell>
          <cell r="K8837">
            <v>8</v>
          </cell>
        </row>
        <row r="8838">
          <cell r="C8838" t="str">
            <v>蘇哲弘</v>
          </cell>
          <cell r="F8838" t="str">
            <v>M240704R1</v>
          </cell>
          <cell r="J8838">
            <v>45771</v>
          </cell>
          <cell r="K8838">
            <v>8</v>
          </cell>
        </row>
        <row r="8839">
          <cell r="C8839" t="str">
            <v>蘇哲弘</v>
          </cell>
          <cell r="F8839" t="str">
            <v>M240704R1</v>
          </cell>
          <cell r="J8839">
            <v>45772</v>
          </cell>
          <cell r="K8839">
            <v>8</v>
          </cell>
        </row>
        <row r="8840">
          <cell r="C8840" t="str">
            <v>蘇哲弘</v>
          </cell>
          <cell r="F8840" t="str">
            <v>M240704R1</v>
          </cell>
          <cell r="J8840">
            <v>45775</v>
          </cell>
          <cell r="K8840">
            <v>8</v>
          </cell>
        </row>
        <row r="8841">
          <cell r="C8841" t="str">
            <v>蘇哲弘</v>
          </cell>
          <cell r="F8841" t="str">
            <v>M240704R1</v>
          </cell>
          <cell r="J8841">
            <v>45776</v>
          </cell>
          <cell r="K8841">
            <v>8</v>
          </cell>
        </row>
        <row r="8842">
          <cell r="C8842" t="str">
            <v>蘇哲弘</v>
          </cell>
          <cell r="F8842" t="str">
            <v>M240704R1</v>
          </cell>
          <cell r="J8842">
            <v>45777</v>
          </cell>
          <cell r="K8842">
            <v>8</v>
          </cell>
        </row>
        <row r="8843">
          <cell r="C8843" t="str">
            <v>蘇哲弘</v>
          </cell>
          <cell r="F8843" t="str">
            <v>M240704R1</v>
          </cell>
          <cell r="J8843">
            <v>45779</v>
          </cell>
          <cell r="K8843">
            <v>4</v>
          </cell>
        </row>
        <row r="8844">
          <cell r="C8844" t="str">
            <v>蘇哲弘</v>
          </cell>
          <cell r="F8844" t="str">
            <v>M240704R1</v>
          </cell>
          <cell r="J8844">
            <v>45782</v>
          </cell>
          <cell r="K8844">
            <v>8</v>
          </cell>
        </row>
        <row r="8845">
          <cell r="C8845" t="str">
            <v>蘇哲弘</v>
          </cell>
          <cell r="F8845" t="str">
            <v>M240704R1</v>
          </cell>
          <cell r="J8845">
            <v>45783</v>
          </cell>
          <cell r="K8845">
            <v>8</v>
          </cell>
        </row>
        <row r="8846">
          <cell r="C8846" t="str">
            <v>蘇哲弘</v>
          </cell>
          <cell r="F8846" t="str">
            <v>M240704R1</v>
          </cell>
          <cell r="J8846">
            <v>45784</v>
          </cell>
          <cell r="K8846">
            <v>8</v>
          </cell>
        </row>
        <row r="8847">
          <cell r="C8847" t="str">
            <v>蘇哲弘</v>
          </cell>
          <cell r="F8847" t="str">
            <v>M240704R1</v>
          </cell>
          <cell r="J8847">
            <v>45785</v>
          </cell>
          <cell r="K8847">
            <v>8</v>
          </cell>
        </row>
        <row r="8848">
          <cell r="C8848" t="str">
            <v>蘇哲弘</v>
          </cell>
          <cell r="F8848" t="str">
            <v>M240704R1</v>
          </cell>
          <cell r="J8848">
            <v>45786</v>
          </cell>
          <cell r="K8848">
            <v>8</v>
          </cell>
        </row>
        <row r="8849">
          <cell r="C8849" t="str">
            <v>蘇哲弘</v>
          </cell>
          <cell r="F8849" t="str">
            <v>M240704R1</v>
          </cell>
          <cell r="J8849">
            <v>45789</v>
          </cell>
          <cell r="K8849">
            <v>8</v>
          </cell>
        </row>
        <row r="8850">
          <cell r="C8850" t="str">
            <v>蘇哲弘</v>
          </cell>
          <cell r="F8850" t="str">
            <v>M240704R1</v>
          </cell>
          <cell r="J8850">
            <v>45790</v>
          </cell>
          <cell r="K8850">
            <v>8</v>
          </cell>
        </row>
        <row r="8851">
          <cell r="C8851" t="str">
            <v>蘇哲弘</v>
          </cell>
          <cell r="F8851" t="str">
            <v>M240704R1</v>
          </cell>
          <cell r="J8851">
            <v>45791</v>
          </cell>
          <cell r="K8851">
            <v>8</v>
          </cell>
        </row>
        <row r="8852">
          <cell r="C8852" t="str">
            <v>蘇哲弘</v>
          </cell>
          <cell r="F8852" t="str">
            <v>M240704R1</v>
          </cell>
          <cell r="J8852">
            <v>45792</v>
          </cell>
          <cell r="K8852">
            <v>8</v>
          </cell>
        </row>
        <row r="8853">
          <cell r="C8853" t="str">
            <v>蘇哲弘</v>
          </cell>
          <cell r="F8853" t="str">
            <v>M240704R1</v>
          </cell>
          <cell r="J8853">
            <v>45793</v>
          </cell>
          <cell r="K8853">
            <v>8</v>
          </cell>
        </row>
        <row r="8854">
          <cell r="C8854" t="str">
            <v>蘇哲弘</v>
          </cell>
          <cell r="J8854">
            <v>45796</v>
          </cell>
          <cell r="K8854">
            <v>8</v>
          </cell>
        </row>
        <row r="8855">
          <cell r="C8855" t="str">
            <v>蘇哲弘</v>
          </cell>
          <cell r="J8855">
            <v>45797</v>
          </cell>
          <cell r="K8855">
            <v>8</v>
          </cell>
        </row>
        <row r="8856">
          <cell r="C8856" t="str">
            <v>蘇哲弘</v>
          </cell>
          <cell r="J8856">
            <v>45798</v>
          </cell>
          <cell r="K8856">
            <v>8</v>
          </cell>
        </row>
        <row r="8857">
          <cell r="C8857" t="str">
            <v>蘇哲弘</v>
          </cell>
          <cell r="F8857" t="str">
            <v>M240704R1</v>
          </cell>
          <cell r="J8857">
            <v>45799</v>
          </cell>
          <cell r="K8857">
            <v>8</v>
          </cell>
        </row>
        <row r="8858">
          <cell r="C8858" t="str">
            <v>蘇哲弘</v>
          </cell>
          <cell r="F8858" t="str">
            <v>M240704R1</v>
          </cell>
          <cell r="J8858">
            <v>45800</v>
          </cell>
          <cell r="K8858">
            <v>8</v>
          </cell>
        </row>
        <row r="8859">
          <cell r="C8859" t="str">
            <v>蘇哲弘</v>
          </cell>
          <cell r="F8859" t="str">
            <v>M240704R1</v>
          </cell>
          <cell r="J8859">
            <v>45803</v>
          </cell>
          <cell r="K8859">
            <v>8</v>
          </cell>
        </row>
        <row r="8860">
          <cell r="C8860" t="str">
            <v>蘇哲弘</v>
          </cell>
          <cell r="F8860" t="str">
            <v>M240704R1</v>
          </cell>
          <cell r="J8860">
            <v>45804</v>
          </cell>
          <cell r="K8860">
            <v>4</v>
          </cell>
        </row>
        <row r="8861">
          <cell r="C8861" t="str">
            <v>蘇哲弘</v>
          </cell>
          <cell r="J8861">
            <v>45804</v>
          </cell>
          <cell r="K8861">
            <v>4</v>
          </cell>
        </row>
        <row r="8862">
          <cell r="C8862" t="str">
            <v>蘇哲弘</v>
          </cell>
          <cell r="F8862" t="str">
            <v>M240704R1</v>
          </cell>
          <cell r="J8862">
            <v>45805</v>
          </cell>
          <cell r="K8862">
            <v>8</v>
          </cell>
        </row>
        <row r="8863">
          <cell r="C8863" t="str">
            <v>蘇哲弘</v>
          </cell>
          <cell r="F8863" t="str">
            <v>M240704R1</v>
          </cell>
          <cell r="J8863">
            <v>45806</v>
          </cell>
          <cell r="K8863">
            <v>8</v>
          </cell>
        </row>
        <row r="8864">
          <cell r="C8864" t="str">
            <v>蘇哲弘</v>
          </cell>
          <cell r="F8864" t="str">
            <v>M240704R1</v>
          </cell>
          <cell r="J8864">
            <v>45810</v>
          </cell>
          <cell r="K8864">
            <v>8</v>
          </cell>
        </row>
        <row r="8865">
          <cell r="C8865" t="str">
            <v>蘇哲弘</v>
          </cell>
          <cell r="F8865" t="str">
            <v>M240704R1</v>
          </cell>
          <cell r="J8865">
            <v>45811</v>
          </cell>
          <cell r="K8865">
            <v>8</v>
          </cell>
        </row>
        <row r="8866">
          <cell r="C8866" t="str">
            <v>蘇哲弘</v>
          </cell>
          <cell r="F8866" t="str">
            <v>M240704R1</v>
          </cell>
          <cell r="J8866">
            <v>45812</v>
          </cell>
          <cell r="K8866">
            <v>8</v>
          </cell>
        </row>
        <row r="8867">
          <cell r="C8867" t="str">
            <v>蘇哲弘</v>
          </cell>
          <cell r="F8867" t="str">
            <v>M240704R1</v>
          </cell>
          <cell r="J8867">
            <v>45813</v>
          </cell>
          <cell r="K8867">
            <v>8</v>
          </cell>
        </row>
        <row r="8868">
          <cell r="C8868" t="str">
            <v>蘇哲弘</v>
          </cell>
          <cell r="F8868" t="str">
            <v>M240704R1</v>
          </cell>
          <cell r="J8868">
            <v>45814</v>
          </cell>
          <cell r="K8868">
            <v>8</v>
          </cell>
        </row>
        <row r="8869">
          <cell r="C8869" t="str">
            <v>蘇哲弘</v>
          </cell>
          <cell r="F8869" t="str">
            <v>M240704R1</v>
          </cell>
          <cell r="J8869">
            <v>45817</v>
          </cell>
          <cell r="K8869">
            <v>8</v>
          </cell>
        </row>
        <row r="8870">
          <cell r="C8870" t="str">
            <v>蘇哲弘</v>
          </cell>
          <cell r="F8870" t="str">
            <v>M240704R1</v>
          </cell>
          <cell r="J8870">
            <v>45818</v>
          </cell>
          <cell r="K8870">
            <v>8</v>
          </cell>
        </row>
        <row r="8871">
          <cell r="C8871" t="str">
            <v>蘇哲弘</v>
          </cell>
          <cell r="F8871" t="str">
            <v>M240704R1</v>
          </cell>
          <cell r="J8871">
            <v>45819</v>
          </cell>
          <cell r="K8871">
            <v>8</v>
          </cell>
        </row>
        <row r="8872">
          <cell r="C8872" t="str">
            <v>蘇哲弘</v>
          </cell>
          <cell r="F8872" t="str">
            <v>M240704R1</v>
          </cell>
          <cell r="J8872">
            <v>45820</v>
          </cell>
          <cell r="K8872">
            <v>8</v>
          </cell>
        </row>
        <row r="8873">
          <cell r="C8873" t="str">
            <v>蘇哲弘</v>
          </cell>
          <cell r="F8873" t="str">
            <v>M240704R1</v>
          </cell>
          <cell r="J8873">
            <v>45821</v>
          </cell>
          <cell r="K8873">
            <v>8</v>
          </cell>
        </row>
        <row r="8874">
          <cell r="C8874" t="str">
            <v>蘇哲弘</v>
          </cell>
          <cell r="F8874" t="str">
            <v>M240704R1</v>
          </cell>
          <cell r="J8874">
            <v>45824</v>
          </cell>
          <cell r="K8874">
            <v>8</v>
          </cell>
        </row>
        <row r="8875">
          <cell r="C8875" t="str">
            <v>蘇哲弘</v>
          </cell>
          <cell r="F8875" t="str">
            <v>M240704R1</v>
          </cell>
          <cell r="J8875">
            <v>45825</v>
          </cell>
          <cell r="K8875">
            <v>8</v>
          </cell>
        </row>
        <row r="8876">
          <cell r="C8876" t="str">
            <v>蘇哲弘</v>
          </cell>
          <cell r="F8876" t="str">
            <v>M240704R1</v>
          </cell>
          <cell r="J8876">
            <v>45826</v>
          </cell>
          <cell r="K8876">
            <v>8</v>
          </cell>
        </row>
        <row r="8877">
          <cell r="C8877" t="str">
            <v>蘇哲弘</v>
          </cell>
          <cell r="F8877" t="str">
            <v>M240704R1</v>
          </cell>
          <cell r="J8877">
            <v>45827</v>
          </cell>
          <cell r="K8877">
            <v>8</v>
          </cell>
        </row>
        <row r="8878">
          <cell r="C8878" t="str">
            <v>蘇哲弘</v>
          </cell>
          <cell r="F8878" t="str">
            <v>M240704R1</v>
          </cell>
          <cell r="J8878">
            <v>45828</v>
          </cell>
          <cell r="K8878">
            <v>8</v>
          </cell>
        </row>
        <row r="8879">
          <cell r="C8879" t="str">
            <v>蘇哲弘</v>
          </cell>
          <cell r="J8879">
            <v>45831</v>
          </cell>
          <cell r="K8879">
            <v>8</v>
          </cell>
        </row>
        <row r="8880">
          <cell r="C8880" t="str">
            <v>蘇哲弘</v>
          </cell>
          <cell r="F8880" t="str">
            <v>M240704R1</v>
          </cell>
          <cell r="J8880">
            <v>45832</v>
          </cell>
          <cell r="K8880">
            <v>8</v>
          </cell>
        </row>
        <row r="8881">
          <cell r="C8881" t="str">
            <v>蘇哲弘</v>
          </cell>
          <cell r="F8881" t="str">
            <v>M240704R1</v>
          </cell>
          <cell r="J8881">
            <v>45833</v>
          </cell>
          <cell r="K8881">
            <v>8</v>
          </cell>
        </row>
        <row r="8882">
          <cell r="C8882" t="str">
            <v>蘇哲弘</v>
          </cell>
          <cell r="F8882" t="str">
            <v>M240704R1</v>
          </cell>
          <cell r="J8882">
            <v>45834</v>
          </cell>
          <cell r="K8882">
            <v>8</v>
          </cell>
        </row>
        <row r="8883">
          <cell r="C8883" t="str">
            <v>蘇哲弘</v>
          </cell>
          <cell r="F8883" t="str">
            <v>M240704R1</v>
          </cell>
          <cell r="J8883">
            <v>45835</v>
          </cell>
          <cell r="K8883">
            <v>8</v>
          </cell>
        </row>
        <row r="8884">
          <cell r="C8884" t="str">
            <v>蘇哲弘</v>
          </cell>
          <cell r="F8884" t="str">
            <v>M240704R1</v>
          </cell>
          <cell r="J8884">
            <v>45838</v>
          </cell>
          <cell r="K8884">
            <v>8</v>
          </cell>
        </row>
        <row r="8885">
          <cell r="C8885" t="str">
            <v>蘇哲弘</v>
          </cell>
          <cell r="F8885" t="str">
            <v>M240704R1</v>
          </cell>
          <cell r="J8885">
            <v>45839</v>
          </cell>
          <cell r="K8885">
            <v>8</v>
          </cell>
        </row>
        <row r="8886">
          <cell r="C8886" t="str">
            <v>蘇哲弘</v>
          </cell>
          <cell r="F8886" t="str">
            <v>M240704R1</v>
          </cell>
          <cell r="J8886">
            <v>45840</v>
          </cell>
          <cell r="K8886">
            <v>8</v>
          </cell>
        </row>
        <row r="8887">
          <cell r="C8887" t="str">
            <v>蘇哲弘</v>
          </cell>
          <cell r="F8887" t="str">
            <v>M240704R1</v>
          </cell>
          <cell r="J8887">
            <v>45841</v>
          </cell>
          <cell r="K8887">
            <v>8</v>
          </cell>
        </row>
        <row r="8888">
          <cell r="C8888" t="str">
            <v>蘇哲弘</v>
          </cell>
          <cell r="F8888" t="str">
            <v>M240704R1</v>
          </cell>
          <cell r="J8888">
            <v>45842</v>
          </cell>
          <cell r="K8888">
            <v>8</v>
          </cell>
        </row>
        <row r="8889">
          <cell r="C8889" t="str">
            <v>蘇哲弘</v>
          </cell>
          <cell r="F8889" t="str">
            <v>M240704R1</v>
          </cell>
          <cell r="J8889">
            <v>45845</v>
          </cell>
          <cell r="K8889">
            <v>8</v>
          </cell>
        </row>
        <row r="8890">
          <cell r="C8890" t="str">
            <v>蘇哲弘</v>
          </cell>
          <cell r="F8890" t="str">
            <v>M240704R1</v>
          </cell>
          <cell r="J8890">
            <v>45846</v>
          </cell>
          <cell r="K8890">
            <v>8</v>
          </cell>
        </row>
        <row r="8891">
          <cell r="C8891" t="str">
            <v>蘇哲弘</v>
          </cell>
          <cell r="F8891" t="str">
            <v>M240704R1</v>
          </cell>
          <cell r="J8891">
            <v>45847</v>
          </cell>
          <cell r="K8891">
            <v>8</v>
          </cell>
        </row>
        <row r="8892">
          <cell r="C8892" t="str">
            <v>蘇哲弘</v>
          </cell>
          <cell r="F8892" t="str">
            <v>M240704R1</v>
          </cell>
          <cell r="J8892">
            <v>45848</v>
          </cell>
          <cell r="K8892">
            <v>8</v>
          </cell>
        </row>
        <row r="8893">
          <cell r="C8893" t="str">
            <v>蘇哲弘</v>
          </cell>
          <cell r="F8893" t="str">
            <v>M240704R1</v>
          </cell>
          <cell r="J8893">
            <v>45849</v>
          </cell>
          <cell r="K8893">
            <v>8</v>
          </cell>
        </row>
        <row r="8894">
          <cell r="C8894" t="str">
            <v>蘇哲弘</v>
          </cell>
          <cell r="F8894" t="str">
            <v>M240704R1</v>
          </cell>
          <cell r="J8894">
            <v>45852</v>
          </cell>
          <cell r="K8894">
            <v>8</v>
          </cell>
        </row>
        <row r="8895">
          <cell r="C8895" t="str">
            <v>蘇哲弘</v>
          </cell>
          <cell r="F8895" t="str">
            <v>M240704R1</v>
          </cell>
          <cell r="J8895">
            <v>45853</v>
          </cell>
          <cell r="K8895">
            <v>8</v>
          </cell>
        </row>
        <row r="8896">
          <cell r="C8896" t="str">
            <v>蘇哲弘</v>
          </cell>
          <cell r="F8896" t="str">
            <v>M240704R1</v>
          </cell>
          <cell r="J8896">
            <v>45854</v>
          </cell>
          <cell r="K8896">
            <v>8</v>
          </cell>
        </row>
        <row r="8897">
          <cell r="C8897" t="str">
            <v>蘇哲弘</v>
          </cell>
          <cell r="F8897" t="str">
            <v>M240704R1</v>
          </cell>
          <cell r="J8897">
            <v>45855</v>
          </cell>
          <cell r="K8897">
            <v>8</v>
          </cell>
        </row>
        <row r="8898">
          <cell r="C8898" t="str">
            <v>蘇哲弘</v>
          </cell>
          <cell r="F8898" t="str">
            <v>M240704R1</v>
          </cell>
          <cell r="J8898">
            <v>45856</v>
          </cell>
          <cell r="K8898">
            <v>8</v>
          </cell>
        </row>
        <row r="8899">
          <cell r="C8899" t="str">
            <v>蘇哲弘</v>
          </cell>
          <cell r="F8899" t="str">
            <v>M240704R1</v>
          </cell>
          <cell r="J8899">
            <v>45859</v>
          </cell>
          <cell r="K8899">
            <v>8</v>
          </cell>
        </row>
        <row r="8900">
          <cell r="C8900" t="str">
            <v>蘇哲弘</v>
          </cell>
          <cell r="F8900" t="str">
            <v>M240704R1</v>
          </cell>
          <cell r="J8900">
            <v>45860</v>
          </cell>
          <cell r="K8900">
            <v>8</v>
          </cell>
        </row>
        <row r="8901">
          <cell r="C8901" t="str">
            <v>蘇哲弘</v>
          </cell>
          <cell r="F8901" t="str">
            <v>M240704R1</v>
          </cell>
          <cell r="J8901">
            <v>45861</v>
          </cell>
          <cell r="K8901">
            <v>8</v>
          </cell>
        </row>
        <row r="8902">
          <cell r="C8902" t="str">
            <v>蘇哲弘</v>
          </cell>
          <cell r="F8902" t="str">
            <v>M240704R1</v>
          </cell>
          <cell r="J8902">
            <v>45862</v>
          </cell>
          <cell r="K8902">
            <v>8</v>
          </cell>
        </row>
        <row r="8903">
          <cell r="C8903" t="str">
            <v>蘇哲弘</v>
          </cell>
          <cell r="F8903" t="str">
            <v>M240704R1</v>
          </cell>
          <cell r="J8903">
            <v>45863</v>
          </cell>
          <cell r="K8903">
            <v>8</v>
          </cell>
        </row>
        <row r="8904">
          <cell r="C8904" t="str">
            <v>蘇哲弘</v>
          </cell>
          <cell r="F8904" t="str">
            <v>M240704R1</v>
          </cell>
          <cell r="J8904">
            <v>45866</v>
          </cell>
          <cell r="K8904">
            <v>8</v>
          </cell>
        </row>
        <row r="8905">
          <cell r="C8905" t="str">
            <v>蘇哲弘</v>
          </cell>
          <cell r="F8905" t="str">
            <v>M240704R1</v>
          </cell>
          <cell r="J8905">
            <v>45867</v>
          </cell>
          <cell r="K8905">
            <v>8</v>
          </cell>
        </row>
        <row r="8906">
          <cell r="C8906" t="str">
            <v>蘇哲弘</v>
          </cell>
          <cell r="F8906" t="str">
            <v>M240704R1</v>
          </cell>
          <cell r="J8906">
            <v>45868</v>
          </cell>
          <cell r="K8906">
            <v>8</v>
          </cell>
        </row>
        <row r="8907">
          <cell r="C8907" t="str">
            <v>蘇哲弘</v>
          </cell>
          <cell r="F8907" t="str">
            <v>M240704R1</v>
          </cell>
          <cell r="J8907">
            <v>45869</v>
          </cell>
          <cell r="K8907">
            <v>8</v>
          </cell>
        </row>
        <row r="8908">
          <cell r="C8908" t="str">
            <v>蘇哲弘</v>
          </cell>
          <cell r="F8908" t="str">
            <v>M240704R1</v>
          </cell>
          <cell r="J8908">
            <v>45870</v>
          </cell>
          <cell r="K8908">
            <v>8</v>
          </cell>
        </row>
        <row r="8909">
          <cell r="C8909" t="str">
            <v>蘇哲弘</v>
          </cell>
          <cell r="F8909" t="str">
            <v>M240704R1</v>
          </cell>
          <cell r="J8909">
            <v>45873</v>
          </cell>
          <cell r="K8909">
            <v>8</v>
          </cell>
        </row>
        <row r="8910">
          <cell r="C8910" t="str">
            <v>蘇哲弘</v>
          </cell>
          <cell r="F8910" t="str">
            <v>M240704R1</v>
          </cell>
          <cell r="J8910">
            <v>45874</v>
          </cell>
          <cell r="K8910">
            <v>8</v>
          </cell>
        </row>
        <row r="8911">
          <cell r="C8911" t="str">
            <v>蘇哲弘</v>
          </cell>
          <cell r="F8911" t="str">
            <v>M240704R1</v>
          </cell>
          <cell r="J8911">
            <v>45875</v>
          </cell>
          <cell r="K8911">
            <v>8</v>
          </cell>
        </row>
        <row r="8912">
          <cell r="C8912" t="str">
            <v>蘇哲弘</v>
          </cell>
          <cell r="F8912" t="str">
            <v>M240704R1</v>
          </cell>
          <cell r="J8912">
            <v>45876</v>
          </cell>
          <cell r="K8912">
            <v>8</v>
          </cell>
        </row>
        <row r="8913">
          <cell r="C8913" t="str">
            <v>蘇哲弘</v>
          </cell>
          <cell r="F8913" t="str">
            <v>M240704R1</v>
          </cell>
          <cell r="J8913">
            <v>45877</v>
          </cell>
          <cell r="K8913">
            <v>8</v>
          </cell>
        </row>
        <row r="8914">
          <cell r="C8914" t="str">
            <v>蘇哲弘</v>
          </cell>
          <cell r="F8914" t="str">
            <v>M240704R1</v>
          </cell>
          <cell r="J8914">
            <v>45880</v>
          </cell>
          <cell r="K8914">
            <v>8</v>
          </cell>
        </row>
        <row r="8915">
          <cell r="C8915" t="str">
            <v>蘇哲弘</v>
          </cell>
          <cell r="F8915" t="str">
            <v>M240704R1</v>
          </cell>
          <cell r="J8915">
            <v>45881</v>
          </cell>
          <cell r="K8915">
            <v>8</v>
          </cell>
        </row>
        <row r="8916">
          <cell r="C8916" t="str">
            <v>蘇哲弘</v>
          </cell>
          <cell r="F8916" t="str">
            <v>M240704R1</v>
          </cell>
          <cell r="J8916">
            <v>45882</v>
          </cell>
          <cell r="K8916">
            <v>8</v>
          </cell>
        </row>
        <row r="8917">
          <cell r="C8917" t="str">
            <v>蘇哲弘</v>
          </cell>
          <cell r="F8917" t="str">
            <v>M240704R1</v>
          </cell>
          <cell r="J8917">
            <v>45883</v>
          </cell>
          <cell r="K8917">
            <v>8</v>
          </cell>
        </row>
        <row r="8918">
          <cell r="C8918" t="str">
            <v>蘇哲弘</v>
          </cell>
          <cell r="F8918" t="str">
            <v>M240704R1</v>
          </cell>
          <cell r="J8918">
            <v>45884</v>
          </cell>
          <cell r="K8918">
            <v>8</v>
          </cell>
        </row>
        <row r="8919">
          <cell r="C8919" t="str">
            <v>蘇哲弘</v>
          </cell>
          <cell r="F8919" t="str">
            <v>M240704R1</v>
          </cell>
          <cell r="J8919">
            <v>45887</v>
          </cell>
          <cell r="K8919">
            <v>8</v>
          </cell>
        </row>
        <row r="8920">
          <cell r="C8920" t="str">
            <v>蘇哲弘</v>
          </cell>
          <cell r="F8920" t="str">
            <v>M240704R1</v>
          </cell>
          <cell r="J8920">
            <v>45888</v>
          </cell>
          <cell r="K8920">
            <v>8</v>
          </cell>
        </row>
        <row r="8921">
          <cell r="C8921" t="str">
            <v>蘇哲弘</v>
          </cell>
          <cell r="F8921" t="str">
            <v>M240704R1</v>
          </cell>
          <cell r="J8921">
            <v>45889</v>
          </cell>
          <cell r="K8921">
            <v>8</v>
          </cell>
        </row>
        <row r="8922">
          <cell r="C8922" t="str">
            <v>蘇哲弘</v>
          </cell>
          <cell r="F8922" t="str">
            <v>M240704R1</v>
          </cell>
          <cell r="J8922">
            <v>45890</v>
          </cell>
          <cell r="K8922">
            <v>8</v>
          </cell>
        </row>
        <row r="8923">
          <cell r="C8923" t="str">
            <v>蘇哲弘</v>
          </cell>
          <cell r="F8923" t="str">
            <v>M240704R1</v>
          </cell>
          <cell r="J8923">
            <v>45891</v>
          </cell>
          <cell r="K8923">
            <v>8</v>
          </cell>
        </row>
        <row r="8924">
          <cell r="C8924" t="str">
            <v>蘇哲弘</v>
          </cell>
          <cell r="F8924" t="str">
            <v>M240704R1</v>
          </cell>
          <cell r="J8924">
            <v>45894</v>
          </cell>
          <cell r="K8924">
            <v>4</v>
          </cell>
        </row>
        <row r="8925">
          <cell r="C8925" t="str">
            <v>蘇哲弘</v>
          </cell>
          <cell r="F8925" t="str">
            <v>M240704R1</v>
          </cell>
          <cell r="J8925">
            <v>45895</v>
          </cell>
          <cell r="K8925">
            <v>8</v>
          </cell>
        </row>
        <row r="8926">
          <cell r="C8926" t="str">
            <v>蘇哲弘</v>
          </cell>
          <cell r="F8926" t="str">
            <v>M240704R1</v>
          </cell>
          <cell r="J8926">
            <v>45896</v>
          </cell>
          <cell r="K8926">
            <v>8</v>
          </cell>
        </row>
        <row r="8927">
          <cell r="C8927" t="str">
            <v>蘇哲弘</v>
          </cell>
          <cell r="F8927" t="str">
            <v>M240704R1</v>
          </cell>
          <cell r="J8927">
            <v>45897</v>
          </cell>
          <cell r="K8927">
            <v>8</v>
          </cell>
        </row>
        <row r="8928">
          <cell r="C8928" t="str">
            <v>蘇哲弘</v>
          </cell>
          <cell r="F8928" t="str">
            <v>M240704R1</v>
          </cell>
          <cell r="J8928">
            <v>45898</v>
          </cell>
          <cell r="K8928">
            <v>8</v>
          </cell>
        </row>
        <row r="8929">
          <cell r="C8929" t="str">
            <v>蘇哲弘</v>
          </cell>
          <cell r="F8929" t="str">
            <v>M240704R1</v>
          </cell>
          <cell r="J8929">
            <v>45901</v>
          </cell>
          <cell r="K8929">
            <v>8</v>
          </cell>
        </row>
        <row r="8930">
          <cell r="C8930" t="str">
            <v>蘇哲弘</v>
          </cell>
          <cell r="F8930" t="str">
            <v>M240704R1</v>
          </cell>
          <cell r="J8930">
            <v>45902</v>
          </cell>
          <cell r="K8930">
            <v>8</v>
          </cell>
        </row>
        <row r="8931">
          <cell r="C8931" t="str">
            <v>蘇哲弘</v>
          </cell>
          <cell r="F8931" t="str">
            <v>M240704R1</v>
          </cell>
          <cell r="J8931">
            <v>45903</v>
          </cell>
          <cell r="K8931">
            <v>8</v>
          </cell>
        </row>
        <row r="8932">
          <cell r="C8932" t="str">
            <v>蘇哲弘</v>
          </cell>
          <cell r="F8932" t="str">
            <v>M240704R1</v>
          </cell>
          <cell r="J8932">
            <v>45904</v>
          </cell>
          <cell r="K8932">
            <v>8</v>
          </cell>
        </row>
        <row r="8933">
          <cell r="C8933" t="str">
            <v>蘇哲弘</v>
          </cell>
          <cell r="F8933" t="str">
            <v>M240704R1</v>
          </cell>
          <cell r="J8933">
            <v>45905</v>
          </cell>
          <cell r="K8933">
            <v>8</v>
          </cell>
        </row>
        <row r="8934">
          <cell r="C8934" t="str">
            <v>蘇哲弘</v>
          </cell>
          <cell r="F8934" t="str">
            <v>M240704R1</v>
          </cell>
          <cell r="J8934">
            <v>45908</v>
          </cell>
          <cell r="K8934">
            <v>8</v>
          </cell>
        </row>
        <row r="8935">
          <cell r="C8935" t="str">
            <v>蘇哲弘</v>
          </cell>
          <cell r="F8935" t="str">
            <v>M240704R1</v>
          </cell>
          <cell r="J8935">
            <v>45909</v>
          </cell>
          <cell r="K8935">
            <v>8</v>
          </cell>
        </row>
        <row r="8936">
          <cell r="C8936" t="str">
            <v>蘇哲弘</v>
          </cell>
          <cell r="F8936" t="str">
            <v>M240704R1</v>
          </cell>
          <cell r="J8936">
            <v>45910</v>
          </cell>
          <cell r="K8936">
            <v>8</v>
          </cell>
        </row>
        <row r="8937">
          <cell r="C8937" t="str">
            <v>蘇哲弘</v>
          </cell>
          <cell r="F8937" t="str">
            <v>M240704R1</v>
          </cell>
          <cell r="J8937">
            <v>45911</v>
          </cell>
          <cell r="K8937">
            <v>8</v>
          </cell>
        </row>
        <row r="8938">
          <cell r="C8938" t="str">
            <v>蘇哲弘</v>
          </cell>
          <cell r="F8938" t="str">
            <v>M240704R1</v>
          </cell>
          <cell r="J8938">
            <v>45912</v>
          </cell>
          <cell r="K8938">
            <v>8</v>
          </cell>
        </row>
        <row r="8939">
          <cell r="C8939" t="str">
            <v>蘇哲弘</v>
          </cell>
          <cell r="F8939" t="str">
            <v>M240704R1</v>
          </cell>
          <cell r="J8939">
            <v>45915</v>
          </cell>
          <cell r="K8939">
            <v>8</v>
          </cell>
        </row>
        <row r="8940">
          <cell r="C8940" t="str">
            <v>蘇哲弘</v>
          </cell>
          <cell r="F8940" t="str">
            <v>M240704R1</v>
          </cell>
          <cell r="J8940">
            <v>45916</v>
          </cell>
          <cell r="K8940">
            <v>8</v>
          </cell>
        </row>
        <row r="8941">
          <cell r="C8941" t="str">
            <v>蘇哲弘</v>
          </cell>
          <cell r="F8941" t="str">
            <v>M240704R1</v>
          </cell>
          <cell r="J8941">
            <v>45917</v>
          </cell>
          <cell r="K8941">
            <v>8</v>
          </cell>
        </row>
        <row r="8942">
          <cell r="C8942" t="str">
            <v>蘇哲弘</v>
          </cell>
          <cell r="F8942" t="str">
            <v>M240704R1</v>
          </cell>
          <cell r="J8942">
            <v>45918</v>
          </cell>
          <cell r="K8942">
            <v>8</v>
          </cell>
        </row>
        <row r="8943">
          <cell r="C8943" t="str">
            <v>蘇哲弘</v>
          </cell>
          <cell r="F8943" t="str">
            <v>M240704R1</v>
          </cell>
          <cell r="J8943">
            <v>45919</v>
          </cell>
          <cell r="K8943">
            <v>8</v>
          </cell>
        </row>
        <row r="8944">
          <cell r="C8944" t="str">
            <v>蘇哲弘</v>
          </cell>
          <cell r="F8944" t="str">
            <v>M240704R1</v>
          </cell>
          <cell r="J8944">
            <v>45922</v>
          </cell>
          <cell r="K8944">
            <v>8</v>
          </cell>
        </row>
        <row r="8945">
          <cell r="C8945" t="str">
            <v>蘇哲弘</v>
          </cell>
          <cell r="F8945" t="str">
            <v>M240704R1</v>
          </cell>
          <cell r="J8945">
            <v>45923</v>
          </cell>
          <cell r="K8945">
            <v>8</v>
          </cell>
        </row>
        <row r="8946">
          <cell r="C8946" t="str">
            <v>蘇哲弘</v>
          </cell>
          <cell r="F8946" t="str">
            <v>M240704R1</v>
          </cell>
          <cell r="J8946">
            <v>45924</v>
          </cell>
          <cell r="K8946">
            <v>8</v>
          </cell>
        </row>
        <row r="8947">
          <cell r="C8947" t="str">
            <v>蘇哲弘</v>
          </cell>
          <cell r="F8947" t="str">
            <v>M240704R1</v>
          </cell>
          <cell r="J8947">
            <v>45925</v>
          </cell>
          <cell r="K8947">
            <v>8</v>
          </cell>
        </row>
        <row r="8948">
          <cell r="C8948" t="str">
            <v>蘇哲弘</v>
          </cell>
          <cell r="F8948" t="str">
            <v>M240704R1</v>
          </cell>
          <cell r="J8948">
            <v>45926</v>
          </cell>
          <cell r="K8948">
            <v>8</v>
          </cell>
        </row>
        <row r="8949">
          <cell r="C8949" t="str">
            <v>蘇哲弘</v>
          </cell>
          <cell r="F8949" t="str">
            <v>M240704R1</v>
          </cell>
          <cell r="J8949">
            <v>45930</v>
          </cell>
          <cell r="K8949">
            <v>8</v>
          </cell>
        </row>
        <row r="8950">
          <cell r="C8950" t="str">
            <v>蘇哲弘</v>
          </cell>
          <cell r="F8950" t="str">
            <v>M240704R1</v>
          </cell>
          <cell r="J8950">
            <v>45931</v>
          </cell>
          <cell r="K8950">
            <v>8</v>
          </cell>
        </row>
        <row r="8951">
          <cell r="C8951" t="str">
            <v>蘇哲弘</v>
          </cell>
          <cell r="F8951" t="str">
            <v>M240704R1</v>
          </cell>
          <cell r="J8951">
            <v>45932</v>
          </cell>
          <cell r="K8951">
            <v>8</v>
          </cell>
        </row>
        <row r="8952">
          <cell r="C8952" t="str">
            <v>蘇哲弘</v>
          </cell>
          <cell r="F8952" t="str">
            <v>M240704R1</v>
          </cell>
          <cell r="J8952">
            <v>45933</v>
          </cell>
          <cell r="K8952">
            <v>8</v>
          </cell>
        </row>
        <row r="8953">
          <cell r="C8953" t="str">
            <v>蘇哲弘</v>
          </cell>
          <cell r="F8953" t="str">
            <v>M240704R1</v>
          </cell>
          <cell r="J8953">
            <v>45937</v>
          </cell>
          <cell r="K8953">
            <v>8</v>
          </cell>
        </row>
        <row r="8954">
          <cell r="C8954" t="str">
            <v>蘇哲弘</v>
          </cell>
          <cell r="F8954" t="str">
            <v>M240704R1</v>
          </cell>
          <cell r="J8954">
            <v>45938</v>
          </cell>
          <cell r="K8954">
            <v>8</v>
          </cell>
        </row>
        <row r="8955">
          <cell r="C8955" t="str">
            <v>蘇哲弘</v>
          </cell>
          <cell r="F8955" t="str">
            <v>M240704R1</v>
          </cell>
          <cell r="J8955">
            <v>45939</v>
          </cell>
          <cell r="K8955">
            <v>8</v>
          </cell>
        </row>
        <row r="8956">
          <cell r="C8956" t="str">
            <v>蘇哲弘</v>
          </cell>
          <cell r="F8956" t="str">
            <v>M240704R1</v>
          </cell>
          <cell r="J8956">
            <v>45943</v>
          </cell>
          <cell r="K8956">
            <v>8</v>
          </cell>
        </row>
        <row r="8957">
          <cell r="C8957" t="str">
            <v>蘇哲弘</v>
          </cell>
          <cell r="F8957" t="str">
            <v>M240704R1</v>
          </cell>
          <cell r="J8957">
            <v>45944</v>
          </cell>
          <cell r="K8957">
            <v>8</v>
          </cell>
        </row>
        <row r="8958">
          <cell r="C8958" t="str">
            <v>蘇哲弘</v>
          </cell>
          <cell r="F8958" t="str">
            <v>M240704R1</v>
          </cell>
          <cell r="J8958">
            <v>45945</v>
          </cell>
          <cell r="K8958">
            <v>8</v>
          </cell>
        </row>
        <row r="8959">
          <cell r="C8959" t="str">
            <v>蘇哲弘</v>
          </cell>
          <cell r="F8959" t="str">
            <v>M240704R1</v>
          </cell>
          <cell r="J8959">
            <v>45946</v>
          </cell>
          <cell r="K8959">
            <v>8</v>
          </cell>
        </row>
        <row r="8960">
          <cell r="C8960" t="str">
            <v>蘇哲弘</v>
          </cell>
          <cell r="F8960" t="str">
            <v>M240704R1</v>
          </cell>
          <cell r="J8960">
            <v>45947</v>
          </cell>
          <cell r="K8960">
            <v>8</v>
          </cell>
        </row>
        <row r="8961">
          <cell r="C8961" t="str">
            <v>蘇哲弘</v>
          </cell>
          <cell r="F8961" t="str">
            <v>M240704R1</v>
          </cell>
          <cell r="J8961">
            <v>45950</v>
          </cell>
          <cell r="K8961">
            <v>8</v>
          </cell>
        </row>
        <row r="8962">
          <cell r="C8962" t="str">
            <v>蘇哲弘</v>
          </cell>
          <cell r="F8962" t="str">
            <v>M240704R1</v>
          </cell>
          <cell r="J8962">
            <v>45951</v>
          </cell>
          <cell r="K8962">
            <v>8</v>
          </cell>
        </row>
        <row r="8963">
          <cell r="C8963" t="str">
            <v>蘇哲弘</v>
          </cell>
          <cell r="F8963" t="str">
            <v>M240704R1</v>
          </cell>
          <cell r="J8963">
            <v>45952</v>
          </cell>
          <cell r="K8963">
            <v>8</v>
          </cell>
        </row>
        <row r="8964">
          <cell r="C8964" t="str">
            <v>蘇哲弘</v>
          </cell>
          <cell r="F8964" t="str">
            <v>M240704R1</v>
          </cell>
          <cell r="J8964">
            <v>45953</v>
          </cell>
          <cell r="K8964">
            <v>8</v>
          </cell>
        </row>
        <row r="8965">
          <cell r="C8965" t="str">
            <v>蘇哲弘</v>
          </cell>
          <cell r="F8965" t="str">
            <v>M240704R1</v>
          </cell>
          <cell r="J8965">
            <v>45957</v>
          </cell>
          <cell r="K8965">
            <v>8</v>
          </cell>
        </row>
        <row r="8966">
          <cell r="C8966" t="str">
            <v>蘇哲弘</v>
          </cell>
          <cell r="F8966" t="str">
            <v>M240704R1</v>
          </cell>
          <cell r="J8966">
            <v>45958</v>
          </cell>
          <cell r="K8966">
            <v>8</v>
          </cell>
        </row>
        <row r="8967">
          <cell r="C8967" t="str">
            <v>蘇哲弘</v>
          </cell>
          <cell r="F8967" t="str">
            <v>M240704R1</v>
          </cell>
          <cell r="J8967">
            <v>45959</v>
          </cell>
          <cell r="K8967">
            <v>8</v>
          </cell>
        </row>
        <row r="8968">
          <cell r="C8968" t="str">
            <v>蘇哲弘</v>
          </cell>
          <cell r="F8968" t="str">
            <v>M240704R1</v>
          </cell>
          <cell r="J8968">
            <v>45960</v>
          </cell>
          <cell r="K8968">
            <v>8</v>
          </cell>
        </row>
        <row r="8969">
          <cell r="C8969" t="str">
            <v>蘇哲弘</v>
          </cell>
          <cell r="F8969" t="str">
            <v>M240704R1</v>
          </cell>
          <cell r="J8969">
            <v>45961</v>
          </cell>
          <cell r="K8969">
            <v>8</v>
          </cell>
        </row>
        <row r="8970">
          <cell r="C8970" t="str">
            <v>蘇哲弘</v>
          </cell>
          <cell r="F8970" t="str">
            <v>D250803R1</v>
          </cell>
          <cell r="J8970">
            <v>45964</v>
          </cell>
          <cell r="K8970">
            <v>8</v>
          </cell>
        </row>
        <row r="8971">
          <cell r="C8971" t="str">
            <v>蘇哲弘</v>
          </cell>
          <cell r="F8971" t="str">
            <v>M240704R1</v>
          </cell>
          <cell r="J8971">
            <v>45965</v>
          </cell>
          <cell r="K8971">
            <v>8</v>
          </cell>
        </row>
        <row r="8972">
          <cell r="C8972" t="str">
            <v>蘇哲弘</v>
          </cell>
          <cell r="F8972" t="str">
            <v>D250803R1</v>
          </cell>
          <cell r="J8972">
            <v>45966</v>
          </cell>
          <cell r="K8972">
            <v>8</v>
          </cell>
        </row>
        <row r="8973">
          <cell r="C8973" t="str">
            <v>蘇哲弘</v>
          </cell>
          <cell r="F8973" t="str">
            <v>M240704R1</v>
          </cell>
          <cell r="J8973">
            <v>45967</v>
          </cell>
          <cell r="K8973">
            <v>8</v>
          </cell>
        </row>
        <row r="8974">
          <cell r="C8974" t="str">
            <v>蘇哲弘</v>
          </cell>
          <cell r="F8974" t="str">
            <v>M240704R1</v>
          </cell>
          <cell r="J8974">
            <v>45968</v>
          </cell>
          <cell r="K8974">
            <v>8</v>
          </cell>
        </row>
        <row r="8975">
          <cell r="C8975" t="str">
            <v>蘇哲弘</v>
          </cell>
          <cell r="F8975" t="str">
            <v>M240704R1</v>
          </cell>
          <cell r="J8975">
            <v>45971</v>
          </cell>
          <cell r="K8975">
            <v>8</v>
          </cell>
        </row>
        <row r="8976">
          <cell r="C8976" t="str">
            <v>蘇哲弘</v>
          </cell>
          <cell r="F8976" t="str">
            <v>M240704R1</v>
          </cell>
          <cell r="J8976">
            <v>45972</v>
          </cell>
          <cell r="K8976">
            <v>8</v>
          </cell>
        </row>
        <row r="8977">
          <cell r="C8977" t="str">
            <v>蘇哲弘</v>
          </cell>
          <cell r="F8977" t="str">
            <v>M240704R1</v>
          </cell>
          <cell r="J8977">
            <v>45973</v>
          </cell>
          <cell r="K8977">
            <v>8</v>
          </cell>
        </row>
        <row r="8978">
          <cell r="C8978" t="str">
            <v>蘇哲弘</v>
          </cell>
          <cell r="F8978" t="str">
            <v>M240704R1</v>
          </cell>
          <cell r="J8978">
            <v>45974</v>
          </cell>
          <cell r="K8978">
            <v>8</v>
          </cell>
        </row>
        <row r="8979">
          <cell r="C8979" t="str">
            <v>蘇哲弘</v>
          </cell>
          <cell r="F8979" t="str">
            <v>M240704R1</v>
          </cell>
          <cell r="J8979">
            <v>45975</v>
          </cell>
          <cell r="K8979">
            <v>8</v>
          </cell>
        </row>
        <row r="8980">
          <cell r="C8980" t="str">
            <v>蘇哲弘</v>
          </cell>
          <cell r="F8980" t="str">
            <v>M240704R1</v>
          </cell>
          <cell r="J8980">
            <v>45978</v>
          </cell>
          <cell r="K8980">
            <v>8</v>
          </cell>
        </row>
        <row r="8981">
          <cell r="C8981" t="str">
            <v>蘇哲弘</v>
          </cell>
          <cell r="F8981" t="str">
            <v>M240704R1</v>
          </cell>
          <cell r="J8981">
            <v>45979</v>
          </cell>
          <cell r="K8981">
            <v>8</v>
          </cell>
        </row>
        <row r="8982">
          <cell r="C8982" t="str">
            <v>蘇哲弘</v>
          </cell>
          <cell r="F8982" t="str">
            <v>M240704R1</v>
          </cell>
          <cell r="J8982">
            <v>45980</v>
          </cell>
          <cell r="K8982">
            <v>8</v>
          </cell>
        </row>
        <row r="8983">
          <cell r="C8983" t="str">
            <v>蘇哲弘</v>
          </cell>
          <cell r="F8983" t="str">
            <v>M240704R1</v>
          </cell>
          <cell r="J8983">
            <v>45981</v>
          </cell>
          <cell r="K8983">
            <v>8</v>
          </cell>
        </row>
        <row r="8984">
          <cell r="C8984" t="str">
            <v>蘇哲弘</v>
          </cell>
          <cell r="F8984" t="str">
            <v>M240704R1</v>
          </cell>
          <cell r="J8984">
            <v>45982</v>
          </cell>
          <cell r="K8984">
            <v>8</v>
          </cell>
        </row>
        <row r="8985">
          <cell r="C8985" t="str">
            <v>蘇哲弘</v>
          </cell>
          <cell r="F8985" t="str">
            <v>M240704R1</v>
          </cell>
          <cell r="J8985">
            <v>45985</v>
          </cell>
          <cell r="K8985">
            <v>8</v>
          </cell>
        </row>
        <row r="8986">
          <cell r="C8986" t="str">
            <v>蘇哲弘</v>
          </cell>
          <cell r="F8986" t="str">
            <v>M240704R1</v>
          </cell>
          <cell r="J8986">
            <v>45986</v>
          </cell>
          <cell r="K8986">
            <v>8</v>
          </cell>
        </row>
        <row r="8987">
          <cell r="C8987" t="str">
            <v>蘇哲弘</v>
          </cell>
          <cell r="F8987" t="str">
            <v>M240704R1</v>
          </cell>
          <cell r="J8987">
            <v>45987</v>
          </cell>
          <cell r="K8987">
            <v>8</v>
          </cell>
        </row>
        <row r="8988">
          <cell r="C8988" t="str">
            <v>蘇哲弘</v>
          </cell>
          <cell r="F8988" t="str">
            <v>M240704R1</v>
          </cell>
          <cell r="J8988">
            <v>45988</v>
          </cell>
          <cell r="K8988">
            <v>8</v>
          </cell>
        </row>
        <row r="8989">
          <cell r="C8989" t="str">
            <v>蘇哲弘</v>
          </cell>
          <cell r="F8989" t="str">
            <v>M240704R1</v>
          </cell>
          <cell r="J8989">
            <v>45989</v>
          </cell>
          <cell r="K8989">
            <v>8</v>
          </cell>
        </row>
        <row r="8990">
          <cell r="C8990" t="str">
            <v>蘇哲弘</v>
          </cell>
          <cell r="F8990" t="str">
            <v>M240704R1</v>
          </cell>
          <cell r="J8990">
            <v>45992</v>
          </cell>
          <cell r="K8990">
            <v>8</v>
          </cell>
        </row>
        <row r="8991">
          <cell r="C8991" t="str">
            <v>蘇哲弘</v>
          </cell>
          <cell r="F8991" t="str">
            <v>M240704R1</v>
          </cell>
          <cell r="J8991">
            <v>45993</v>
          </cell>
          <cell r="K8991">
            <v>8</v>
          </cell>
        </row>
        <row r="8992">
          <cell r="C8992" t="str">
            <v>蘇哲弘</v>
          </cell>
          <cell r="F8992" t="str">
            <v>M240704R1</v>
          </cell>
          <cell r="J8992">
            <v>45994</v>
          </cell>
          <cell r="K8992">
            <v>8</v>
          </cell>
        </row>
        <row r="8993">
          <cell r="C8993" t="str">
            <v>蘇哲弘</v>
          </cell>
          <cell r="F8993" t="str">
            <v>M240704R1</v>
          </cell>
          <cell r="J8993">
            <v>45995</v>
          </cell>
          <cell r="K8993">
            <v>8</v>
          </cell>
        </row>
        <row r="8994">
          <cell r="C8994" t="str">
            <v>蘇哲弘</v>
          </cell>
          <cell r="F8994" t="str">
            <v>M240704R1</v>
          </cell>
          <cell r="J8994">
            <v>45996</v>
          </cell>
          <cell r="K8994">
            <v>8</v>
          </cell>
        </row>
        <row r="8995">
          <cell r="C8995" t="str">
            <v>蘇哲弘</v>
          </cell>
          <cell r="F8995" t="str">
            <v>M240704R1</v>
          </cell>
          <cell r="J8995">
            <v>45999</v>
          </cell>
          <cell r="K8995">
            <v>8</v>
          </cell>
        </row>
        <row r="8996">
          <cell r="C8996" t="str">
            <v>蘇哲弘</v>
          </cell>
          <cell r="F8996" t="str">
            <v>M240704R1</v>
          </cell>
          <cell r="J8996">
            <v>46000</v>
          </cell>
          <cell r="K8996">
            <v>8</v>
          </cell>
        </row>
        <row r="8997">
          <cell r="C8997" t="str">
            <v>蘇哲弘</v>
          </cell>
          <cell r="F8997" t="str">
            <v>M240704R1</v>
          </cell>
          <cell r="J8997">
            <v>46001</v>
          </cell>
          <cell r="K8997">
            <v>8</v>
          </cell>
        </row>
        <row r="8998">
          <cell r="C8998" t="str">
            <v>蘇哲弘</v>
          </cell>
          <cell r="F8998" t="str">
            <v>M240704R1</v>
          </cell>
          <cell r="J8998">
            <v>46002</v>
          </cell>
          <cell r="K8998">
            <v>8</v>
          </cell>
        </row>
        <row r="8999">
          <cell r="C8999" t="str">
            <v>蘇哲弘</v>
          </cell>
          <cell r="F8999" t="str">
            <v>M240704R1</v>
          </cell>
          <cell r="J8999">
            <v>46003</v>
          </cell>
          <cell r="K8999">
            <v>8</v>
          </cell>
        </row>
        <row r="9000">
          <cell r="C9000" t="str">
            <v>蘇哲弘</v>
          </cell>
          <cell r="F9000" t="str">
            <v>M240704R1</v>
          </cell>
          <cell r="J9000">
            <v>46006</v>
          </cell>
          <cell r="K9000">
            <v>8</v>
          </cell>
        </row>
        <row r="9001">
          <cell r="C9001" t="str">
            <v>蘇哲弘</v>
          </cell>
          <cell r="F9001" t="str">
            <v>M240704R1</v>
          </cell>
          <cell r="J9001">
            <v>46007</v>
          </cell>
          <cell r="K9001">
            <v>8</v>
          </cell>
        </row>
        <row r="9002">
          <cell r="C9002" t="str">
            <v>蘇哲弘</v>
          </cell>
          <cell r="F9002" t="str">
            <v>M240704R1</v>
          </cell>
          <cell r="J9002">
            <v>46008</v>
          </cell>
          <cell r="K9002">
            <v>8</v>
          </cell>
        </row>
        <row r="9003">
          <cell r="C9003" t="str">
            <v>蘇哲弘</v>
          </cell>
          <cell r="F9003" t="str">
            <v>M240704R1</v>
          </cell>
          <cell r="J9003">
            <v>46009</v>
          </cell>
          <cell r="K9003">
            <v>8</v>
          </cell>
        </row>
        <row r="9004">
          <cell r="C9004" t="str">
            <v>蘇哲弘</v>
          </cell>
          <cell r="F9004" t="str">
            <v>M240704R1</v>
          </cell>
          <cell r="J9004">
            <v>46010</v>
          </cell>
          <cell r="K9004">
            <v>8</v>
          </cell>
        </row>
        <row r="9005">
          <cell r="C9005" t="str">
            <v>蘇哲弘</v>
          </cell>
          <cell r="F9005" t="str">
            <v>M240704R1</v>
          </cell>
          <cell r="J9005">
            <v>46013</v>
          </cell>
          <cell r="K9005">
            <v>8</v>
          </cell>
        </row>
        <row r="9006">
          <cell r="C9006" t="str">
            <v>蘇哲弘</v>
          </cell>
          <cell r="F9006" t="str">
            <v>M240704R1</v>
          </cell>
          <cell r="J9006">
            <v>46014</v>
          </cell>
          <cell r="K9006">
            <v>8</v>
          </cell>
        </row>
        <row r="9007">
          <cell r="C9007" t="str">
            <v>蘇哲弘</v>
          </cell>
          <cell r="F9007" t="str">
            <v>M240704R1</v>
          </cell>
          <cell r="J9007">
            <v>46015</v>
          </cell>
          <cell r="K9007">
            <v>8</v>
          </cell>
        </row>
        <row r="9008">
          <cell r="C9008" t="str">
            <v>蘇哲弘</v>
          </cell>
          <cell r="F9008" t="str">
            <v>M240704R1</v>
          </cell>
          <cell r="J9008">
            <v>46017</v>
          </cell>
          <cell r="K9008">
            <v>8</v>
          </cell>
        </row>
        <row r="9009">
          <cell r="C9009" t="str">
            <v>蘇哲弘</v>
          </cell>
          <cell r="F9009" t="str">
            <v>D250702R1</v>
          </cell>
          <cell r="J9009">
            <v>46020</v>
          </cell>
          <cell r="K9009">
            <v>8</v>
          </cell>
        </row>
        <row r="9010">
          <cell r="C9010" t="str">
            <v>蘇哲弘</v>
          </cell>
          <cell r="F9010" t="str">
            <v>D250702R1</v>
          </cell>
          <cell r="J9010">
            <v>46021</v>
          </cell>
          <cell r="K9010">
            <v>8</v>
          </cell>
        </row>
        <row r="9011">
          <cell r="C9011" t="str">
            <v>蘇哲弘</v>
          </cell>
          <cell r="J9011">
            <v>46022</v>
          </cell>
          <cell r="K9011">
            <v>4</v>
          </cell>
        </row>
        <row r="9012">
          <cell r="C9012" t="str">
            <v>蘇哲弘</v>
          </cell>
          <cell r="F9012" t="str">
            <v>M240704R1</v>
          </cell>
          <cell r="J9012">
            <v>46024</v>
          </cell>
          <cell r="K9012">
            <v>8</v>
          </cell>
        </row>
        <row r="9013">
          <cell r="C9013" t="str">
            <v>蘇哲弘</v>
          </cell>
          <cell r="F9013" t="str">
            <v>M240704R1</v>
          </cell>
          <cell r="J9013">
            <v>46027</v>
          </cell>
          <cell r="K9013">
            <v>8</v>
          </cell>
        </row>
        <row r="9014">
          <cell r="C9014" t="str">
            <v>蘇哲弘</v>
          </cell>
          <cell r="F9014" t="str">
            <v>M240704R1</v>
          </cell>
          <cell r="J9014">
            <v>46028</v>
          </cell>
          <cell r="K9014">
            <v>8</v>
          </cell>
        </row>
        <row r="9015">
          <cell r="C9015" t="str">
            <v>蘇哲弘</v>
          </cell>
          <cell r="F9015" t="str">
            <v>M240704R1</v>
          </cell>
          <cell r="J9015">
            <v>46029</v>
          </cell>
          <cell r="K9015">
            <v>8</v>
          </cell>
        </row>
        <row r="9016">
          <cell r="C9016" t="str">
            <v>蘇哲弘</v>
          </cell>
          <cell r="F9016" t="str">
            <v>M240704R1</v>
          </cell>
          <cell r="J9016">
            <v>46030</v>
          </cell>
          <cell r="K9016">
            <v>8</v>
          </cell>
        </row>
        <row r="9017">
          <cell r="C9017" t="str">
            <v>蘇哲弘</v>
          </cell>
          <cell r="F9017" t="str">
            <v>M240704R1</v>
          </cell>
          <cell r="J9017">
            <v>46031</v>
          </cell>
          <cell r="K9017">
            <v>8</v>
          </cell>
        </row>
        <row r="9018">
          <cell r="C9018" t="str">
            <v>蘇哲弘</v>
          </cell>
          <cell r="F9018" t="str">
            <v>M240704R1</v>
          </cell>
          <cell r="J9018">
            <v>46034</v>
          </cell>
          <cell r="K9018">
            <v>8</v>
          </cell>
        </row>
        <row r="9019">
          <cell r="C9019" t="str">
            <v>蘇哲弘</v>
          </cell>
          <cell r="F9019" t="str">
            <v>M240704R1</v>
          </cell>
          <cell r="J9019">
            <v>46035</v>
          </cell>
          <cell r="K9019">
            <v>8</v>
          </cell>
        </row>
        <row r="9020">
          <cell r="C9020" t="str">
            <v>蘇哲弘</v>
          </cell>
          <cell r="J9020">
            <v>46036</v>
          </cell>
          <cell r="K9020">
            <v>8</v>
          </cell>
        </row>
        <row r="9021">
          <cell r="C9021" t="str">
            <v>蘇哲弘</v>
          </cell>
          <cell r="F9021" t="str">
            <v>M240704R1</v>
          </cell>
          <cell r="J9021">
            <v>46037</v>
          </cell>
          <cell r="K9021">
            <v>8</v>
          </cell>
        </row>
        <row r="9022">
          <cell r="C9022" t="str">
            <v>蘇哲弘</v>
          </cell>
          <cell r="F9022" t="str">
            <v>M240704R1</v>
          </cell>
          <cell r="J9022">
            <v>46038</v>
          </cell>
          <cell r="K9022">
            <v>8</v>
          </cell>
        </row>
        <row r="9023">
          <cell r="C9023" t="str">
            <v>蘇哲弘</v>
          </cell>
          <cell r="F9023" t="str">
            <v>M240704R1</v>
          </cell>
          <cell r="J9023">
            <v>46041</v>
          </cell>
          <cell r="K9023">
            <v>8</v>
          </cell>
        </row>
        <row r="9024">
          <cell r="C9024" t="str">
            <v>蘇哲弘</v>
          </cell>
          <cell r="F9024" t="str">
            <v>M240704R1</v>
          </cell>
          <cell r="J9024">
            <v>46042</v>
          </cell>
          <cell r="K9024">
            <v>8</v>
          </cell>
        </row>
        <row r="9025">
          <cell r="C9025" t="str">
            <v>蘇哲弘</v>
          </cell>
          <cell r="F9025" t="str">
            <v>M240704R1</v>
          </cell>
          <cell r="J9025">
            <v>46043</v>
          </cell>
          <cell r="K9025">
            <v>8</v>
          </cell>
        </row>
        <row r="9026">
          <cell r="C9026" t="str">
            <v>蘇哲弘</v>
          </cell>
          <cell r="F9026" t="str">
            <v>M240704R1</v>
          </cell>
          <cell r="J9026">
            <v>46044</v>
          </cell>
          <cell r="K9026">
            <v>8</v>
          </cell>
        </row>
        <row r="9027">
          <cell r="C9027" t="str">
            <v>蘇哲弘</v>
          </cell>
          <cell r="F9027" t="str">
            <v>M240704R1</v>
          </cell>
          <cell r="J9027">
            <v>46045</v>
          </cell>
          <cell r="K9027">
            <v>8</v>
          </cell>
        </row>
        <row r="9028">
          <cell r="C9028" t="str">
            <v>蘇哲弘</v>
          </cell>
          <cell r="F9028" t="str">
            <v>M240704R1</v>
          </cell>
          <cell r="J9028">
            <v>46048</v>
          </cell>
          <cell r="K9028">
            <v>8</v>
          </cell>
        </row>
        <row r="9029">
          <cell r="C9029" t="str">
            <v>蘇哲弘</v>
          </cell>
          <cell r="F9029" t="str">
            <v>M240704R1</v>
          </cell>
          <cell r="J9029">
            <v>46049</v>
          </cell>
          <cell r="K9029">
            <v>8</v>
          </cell>
        </row>
        <row r="9030">
          <cell r="C9030" t="str">
            <v>蘇哲弘</v>
          </cell>
          <cell r="F9030" t="str">
            <v>M240704R1</v>
          </cell>
          <cell r="J9030">
            <v>46050</v>
          </cell>
          <cell r="K9030">
            <v>7</v>
          </cell>
        </row>
        <row r="9031">
          <cell r="C9031" t="str">
            <v>蘇哲弘</v>
          </cell>
          <cell r="J9031">
            <v>46050</v>
          </cell>
          <cell r="K9031">
            <v>1</v>
          </cell>
        </row>
        <row r="9032">
          <cell r="C9032" t="str">
            <v>蘇哲弘</v>
          </cell>
          <cell r="F9032" t="str">
            <v>M240704R1</v>
          </cell>
          <cell r="J9032">
            <v>46051</v>
          </cell>
          <cell r="K9032">
            <v>8</v>
          </cell>
        </row>
        <row r="9033">
          <cell r="C9033" t="str">
            <v>蘇哲弘</v>
          </cell>
          <cell r="F9033" t="str">
            <v>M240704R1</v>
          </cell>
          <cell r="J9033">
            <v>46052</v>
          </cell>
          <cell r="K9033">
            <v>8</v>
          </cell>
        </row>
        <row r="9034">
          <cell r="C9034" t="str">
            <v>蘇哲弘</v>
          </cell>
          <cell r="J9034">
            <v>46055</v>
          </cell>
          <cell r="K9034">
            <v>2</v>
          </cell>
        </row>
        <row r="9035">
          <cell r="C9035" t="str">
            <v>蘇哲弘</v>
          </cell>
          <cell r="F9035" t="str">
            <v>M240704R1</v>
          </cell>
          <cell r="J9035">
            <v>46055</v>
          </cell>
          <cell r="K9035">
            <v>6</v>
          </cell>
        </row>
        <row r="9036">
          <cell r="C9036" t="str">
            <v>蘇哲弘</v>
          </cell>
          <cell r="F9036" t="str">
            <v>M240704R1</v>
          </cell>
          <cell r="J9036">
            <v>46056</v>
          </cell>
          <cell r="K9036">
            <v>6</v>
          </cell>
        </row>
        <row r="9037">
          <cell r="C9037" t="str">
            <v>蘇哲弘</v>
          </cell>
          <cell r="J9037">
            <v>46056</v>
          </cell>
          <cell r="K9037">
            <v>2</v>
          </cell>
        </row>
        <row r="9038">
          <cell r="C9038" t="str">
            <v>蘇哲弘</v>
          </cell>
          <cell r="F9038" t="str">
            <v>M240704R1</v>
          </cell>
          <cell r="J9038">
            <v>46057</v>
          </cell>
          <cell r="K9038">
            <v>8</v>
          </cell>
        </row>
        <row r="9039">
          <cell r="C9039" t="str">
            <v>蘇哲弘</v>
          </cell>
          <cell r="F9039" t="str">
            <v>M240704R1</v>
          </cell>
          <cell r="J9039">
            <v>46058</v>
          </cell>
          <cell r="K9039">
            <v>4</v>
          </cell>
        </row>
        <row r="9040">
          <cell r="C9040" t="str">
            <v>蘇哲弘</v>
          </cell>
          <cell r="F9040" t="str">
            <v>M240704R1</v>
          </cell>
          <cell r="J9040">
            <v>46059</v>
          </cell>
          <cell r="K9040">
            <v>7</v>
          </cell>
        </row>
        <row r="9041">
          <cell r="C9041" t="str">
            <v>蘇哲弘</v>
          </cell>
          <cell r="F9041" t="str">
            <v>M240704R1</v>
          </cell>
          <cell r="J9041">
            <v>46062</v>
          </cell>
          <cell r="K9041">
            <v>8</v>
          </cell>
        </row>
        <row r="9042">
          <cell r="C9042" t="str">
            <v>蘇哲弘</v>
          </cell>
          <cell r="F9042" t="str">
            <v>M240704R1</v>
          </cell>
          <cell r="J9042">
            <v>46063</v>
          </cell>
          <cell r="K9042">
            <v>8</v>
          </cell>
        </row>
        <row r="9043">
          <cell r="C9043" t="str">
            <v>蘇哲弘</v>
          </cell>
          <cell r="F9043" t="str">
            <v>M240704R1</v>
          </cell>
          <cell r="J9043">
            <v>46064</v>
          </cell>
          <cell r="K9043">
            <v>8</v>
          </cell>
        </row>
        <row r="9044">
          <cell r="C9044" t="str">
            <v>蘇哲弘</v>
          </cell>
          <cell r="F9044" t="str">
            <v>M240704R1</v>
          </cell>
          <cell r="J9044">
            <v>46065</v>
          </cell>
          <cell r="K9044">
            <v>8</v>
          </cell>
        </row>
        <row r="9045">
          <cell r="C9045" t="str">
            <v>蘇哲弘</v>
          </cell>
          <cell r="J9045">
            <v>46066</v>
          </cell>
          <cell r="K9045">
            <v>8</v>
          </cell>
        </row>
        <row r="9046">
          <cell r="C9046" t="str">
            <v>蘇哲弘</v>
          </cell>
          <cell r="F9046" t="str">
            <v>M240704R1</v>
          </cell>
          <cell r="J9046">
            <v>46076</v>
          </cell>
          <cell r="K9046">
            <v>8</v>
          </cell>
        </row>
        <row r="9047">
          <cell r="C9047" t="str">
            <v>蘇哲弘</v>
          </cell>
          <cell r="F9047" t="str">
            <v>M240704R1</v>
          </cell>
          <cell r="J9047">
            <v>46077</v>
          </cell>
          <cell r="K9047">
            <v>8</v>
          </cell>
        </row>
        <row r="9048">
          <cell r="C9048" t="str">
            <v>蘇哲弘</v>
          </cell>
          <cell r="F9048" t="str">
            <v>M240704R1</v>
          </cell>
          <cell r="J9048">
            <v>46078</v>
          </cell>
          <cell r="K9048">
            <v>8</v>
          </cell>
        </row>
        <row r="9049">
          <cell r="C9049" t="str">
            <v>蘇哲弘</v>
          </cell>
          <cell r="F9049" t="str">
            <v>K251101R1</v>
          </cell>
          <cell r="J9049">
            <v>46079</v>
          </cell>
          <cell r="K9049">
            <v>8</v>
          </cell>
        </row>
        <row r="9050">
          <cell r="C9050" t="str">
            <v>蘇哲弘</v>
          </cell>
          <cell r="J9050">
            <v>46083</v>
          </cell>
          <cell r="K9050">
            <v>8</v>
          </cell>
        </row>
        <row r="9051">
          <cell r="C9051" t="str">
            <v>蘇哲弘</v>
          </cell>
          <cell r="J9051">
            <v>46084</v>
          </cell>
          <cell r="K9051">
            <v>8</v>
          </cell>
        </row>
        <row r="9052">
          <cell r="C9052" t="str">
            <v>蘇哲弘</v>
          </cell>
          <cell r="J9052">
            <v>46085</v>
          </cell>
          <cell r="K9052">
            <v>8</v>
          </cell>
        </row>
        <row r="9053">
          <cell r="C9053" t="str">
            <v>蘇哲弘</v>
          </cell>
          <cell r="F9053" t="str">
            <v>K251101R1</v>
          </cell>
          <cell r="J9053">
            <v>46086</v>
          </cell>
          <cell r="K9053">
            <v>8</v>
          </cell>
        </row>
        <row r="9054">
          <cell r="C9054" t="str">
            <v>蘇哲弘</v>
          </cell>
          <cell r="F9054" t="str">
            <v>M240704R1</v>
          </cell>
          <cell r="J9054">
            <v>46087</v>
          </cell>
          <cell r="K9054">
            <v>8</v>
          </cell>
        </row>
        <row r="9055">
          <cell r="C9055" t="str">
            <v>蘇哲弘</v>
          </cell>
          <cell r="F9055" t="str">
            <v>M240704R1</v>
          </cell>
          <cell r="J9055">
            <v>46090</v>
          </cell>
          <cell r="K9055">
            <v>8</v>
          </cell>
        </row>
        <row r="9056">
          <cell r="C9056" t="str">
            <v>蘇哲弘</v>
          </cell>
          <cell r="F9056" t="str">
            <v>M240704R1</v>
          </cell>
          <cell r="J9056">
            <v>46091</v>
          </cell>
          <cell r="K9056">
            <v>8</v>
          </cell>
        </row>
        <row r="9057">
          <cell r="C9057" t="str">
            <v>蘇哲弘</v>
          </cell>
          <cell r="F9057" t="str">
            <v>K240101P1</v>
          </cell>
          <cell r="J9057">
            <v>46092</v>
          </cell>
          <cell r="K9057">
            <v>8</v>
          </cell>
        </row>
        <row r="9058">
          <cell r="C9058" t="str">
            <v>蘇哲弘</v>
          </cell>
          <cell r="F9058" t="str">
            <v>M240704R1</v>
          </cell>
          <cell r="J9058">
            <v>46093</v>
          </cell>
          <cell r="K9058">
            <v>8</v>
          </cell>
        </row>
        <row r="9059">
          <cell r="C9059" t="str">
            <v>蘇哲弘</v>
          </cell>
          <cell r="F9059" t="str">
            <v>K240101P1</v>
          </cell>
          <cell r="J9059">
            <v>46094</v>
          </cell>
          <cell r="K9059">
            <v>8</v>
          </cell>
        </row>
        <row r="9060">
          <cell r="C9060" t="str">
            <v>蘇哲弘</v>
          </cell>
          <cell r="F9060" t="str">
            <v>M240704R1</v>
          </cell>
          <cell r="J9060">
            <v>46097</v>
          </cell>
          <cell r="K9060">
            <v>8</v>
          </cell>
        </row>
        <row r="9061">
          <cell r="C9061" t="str">
            <v>蘇哲弘</v>
          </cell>
          <cell r="F9061" t="str">
            <v>K251101R1</v>
          </cell>
          <cell r="J9061">
            <v>46098</v>
          </cell>
          <cell r="K9061">
            <v>8</v>
          </cell>
        </row>
        <row r="9062">
          <cell r="C9062" t="str">
            <v>蘇哲弘</v>
          </cell>
          <cell r="F9062" t="str">
            <v>M240704R1</v>
          </cell>
          <cell r="J9062">
            <v>46099</v>
          </cell>
          <cell r="K9062">
            <v>8</v>
          </cell>
        </row>
        <row r="9063">
          <cell r="C9063" t="str">
            <v>蘇哲弘</v>
          </cell>
          <cell r="J9063">
            <v>46100</v>
          </cell>
          <cell r="K9063">
            <v>8</v>
          </cell>
        </row>
        <row r="9064">
          <cell r="C9064" t="str">
            <v>蘇哲弘</v>
          </cell>
          <cell r="F9064" t="str">
            <v>K251101R1</v>
          </cell>
          <cell r="J9064">
            <v>46101</v>
          </cell>
          <cell r="K9064">
            <v>4</v>
          </cell>
        </row>
        <row r="9065">
          <cell r="C9065" t="str">
            <v>蘇哲弘</v>
          </cell>
          <cell r="F9065" t="str">
            <v>M240704R1</v>
          </cell>
          <cell r="J9065">
            <v>46104</v>
          </cell>
          <cell r="K9065">
            <v>8</v>
          </cell>
        </row>
        <row r="9066">
          <cell r="C9066" t="str">
            <v>蘇哲弘</v>
          </cell>
          <cell r="F9066" t="str">
            <v>M240704R1</v>
          </cell>
          <cell r="J9066">
            <v>46105</v>
          </cell>
          <cell r="K9066">
            <v>8</v>
          </cell>
        </row>
        <row r="9067">
          <cell r="C9067" t="str">
            <v>蘇哲弘</v>
          </cell>
          <cell r="F9067" t="str">
            <v>M240704R1</v>
          </cell>
          <cell r="J9067">
            <v>46106</v>
          </cell>
          <cell r="K9067">
            <v>8</v>
          </cell>
        </row>
        <row r="9068">
          <cell r="C9068" t="str">
            <v>蘇哲弘</v>
          </cell>
          <cell r="F9068" t="str">
            <v>M240704R1</v>
          </cell>
          <cell r="J9068">
            <v>46107</v>
          </cell>
          <cell r="K9068">
            <v>8</v>
          </cell>
        </row>
        <row r="9069">
          <cell r="C9069" t="str">
            <v>蘇哲弘</v>
          </cell>
          <cell r="F9069" t="str">
            <v>M240704R1</v>
          </cell>
          <cell r="J9069">
            <v>46108</v>
          </cell>
          <cell r="K9069">
            <v>8</v>
          </cell>
        </row>
        <row r="9070">
          <cell r="C9070" t="str">
            <v>蘇哲弘</v>
          </cell>
          <cell r="F9070" t="str">
            <v>M240704R1</v>
          </cell>
          <cell r="J9070">
            <v>46111</v>
          </cell>
          <cell r="K9070">
            <v>8</v>
          </cell>
        </row>
        <row r="9071">
          <cell r="C9071" t="str">
            <v>蘇哲弘</v>
          </cell>
          <cell r="F9071" t="str">
            <v>M240704R1</v>
          </cell>
          <cell r="J9071">
            <v>46112</v>
          </cell>
          <cell r="K9071">
            <v>8</v>
          </cell>
        </row>
        <row r="9072">
          <cell r="C9072" t="str">
            <v>蘇哲弘</v>
          </cell>
          <cell r="F9072" t="str">
            <v>M240704R1</v>
          </cell>
          <cell r="J9072">
            <v>46113</v>
          </cell>
          <cell r="K9072">
            <v>8</v>
          </cell>
        </row>
        <row r="9073">
          <cell r="C9073" t="str">
            <v>蘇哲弘</v>
          </cell>
          <cell r="F9073" t="str">
            <v>M240704R1</v>
          </cell>
          <cell r="J9073">
            <v>46114</v>
          </cell>
          <cell r="K9073">
            <v>8</v>
          </cell>
        </row>
        <row r="9074">
          <cell r="C9074" t="str">
            <v>蘇哲弘</v>
          </cell>
          <cell r="J9074">
            <v>46119</v>
          </cell>
          <cell r="K9074">
            <v>8</v>
          </cell>
        </row>
        <row r="9075">
          <cell r="C9075" t="str">
            <v>蘇哲弘</v>
          </cell>
          <cell r="F9075" t="str">
            <v>M240704R1</v>
          </cell>
          <cell r="J9075">
            <v>46120</v>
          </cell>
          <cell r="K9075">
            <v>8</v>
          </cell>
        </row>
        <row r="9076">
          <cell r="C9076" t="str">
            <v>蘇哲弘</v>
          </cell>
          <cell r="J9076">
            <v>46121</v>
          </cell>
          <cell r="K9076">
            <v>8</v>
          </cell>
        </row>
        <row r="9077">
          <cell r="C9077" t="str">
            <v>蘇哲弘</v>
          </cell>
          <cell r="F9077" t="str">
            <v>M240704R1</v>
          </cell>
          <cell r="J9077">
            <v>46122</v>
          </cell>
          <cell r="K9077">
            <v>8</v>
          </cell>
        </row>
        <row r="9078">
          <cell r="C9078" t="str">
            <v>蘇哲弘</v>
          </cell>
          <cell r="F9078" t="str">
            <v>M240704R1</v>
          </cell>
          <cell r="J9078">
            <v>46125</v>
          </cell>
          <cell r="K9078">
            <v>8</v>
          </cell>
        </row>
        <row r="9079">
          <cell r="C9079" t="str">
            <v>蘇哲弘</v>
          </cell>
          <cell r="F9079" t="str">
            <v>M240704R1</v>
          </cell>
          <cell r="J9079">
            <v>46126</v>
          </cell>
          <cell r="K9079">
            <v>8</v>
          </cell>
        </row>
        <row r="9080">
          <cell r="C9080" t="str">
            <v>蘇哲弘</v>
          </cell>
          <cell r="F9080" t="str">
            <v>M240704R1</v>
          </cell>
          <cell r="J9080">
            <v>46127</v>
          </cell>
          <cell r="K9080">
            <v>8</v>
          </cell>
        </row>
        <row r="9081">
          <cell r="C9081" t="str">
            <v>蘇哲弘</v>
          </cell>
          <cell r="F9081" t="str">
            <v>M240704R1</v>
          </cell>
          <cell r="J9081">
            <v>46128</v>
          </cell>
          <cell r="K9081">
            <v>8</v>
          </cell>
        </row>
        <row r="9082">
          <cell r="C9082" t="str">
            <v>蘇哲弘</v>
          </cell>
          <cell r="F9082" t="str">
            <v>M240704R1</v>
          </cell>
          <cell r="J9082">
            <v>46129</v>
          </cell>
          <cell r="K9082">
            <v>8</v>
          </cell>
        </row>
        <row r="9083">
          <cell r="C9083" t="str">
            <v>蘇哲弘</v>
          </cell>
          <cell r="F9083" t="str">
            <v>M240704R1</v>
          </cell>
          <cell r="J9083">
            <v>46132</v>
          </cell>
          <cell r="K9083">
            <v>8</v>
          </cell>
        </row>
        <row r="9084">
          <cell r="C9084" t="str">
            <v>蘇哲弘</v>
          </cell>
          <cell r="F9084" t="str">
            <v>M240704R1</v>
          </cell>
          <cell r="J9084">
            <v>46133</v>
          </cell>
          <cell r="K9084">
            <v>8</v>
          </cell>
        </row>
        <row r="9085">
          <cell r="C9085" t="str">
            <v>蘇哲弘</v>
          </cell>
          <cell r="F9085" t="str">
            <v>M240704R1</v>
          </cell>
          <cell r="J9085">
            <v>46134</v>
          </cell>
          <cell r="K9085">
            <v>8</v>
          </cell>
        </row>
        <row r="9086">
          <cell r="C9086" t="str">
            <v>蘇哲弘</v>
          </cell>
          <cell r="F9086" t="str">
            <v>M240704R1</v>
          </cell>
          <cell r="J9086">
            <v>46135</v>
          </cell>
          <cell r="K9086">
            <v>8</v>
          </cell>
        </row>
        <row r="9087">
          <cell r="C9087" t="str">
            <v>蘇哲弘</v>
          </cell>
          <cell r="F9087" t="str">
            <v>M240704R1</v>
          </cell>
          <cell r="J9087">
            <v>46136</v>
          </cell>
          <cell r="K9087">
            <v>8</v>
          </cell>
        </row>
        <row r="9088">
          <cell r="C9088" t="str">
            <v>蘇哲弘</v>
          </cell>
          <cell r="F9088" t="str">
            <v>M240704R1</v>
          </cell>
          <cell r="J9088">
            <v>46139</v>
          </cell>
          <cell r="K9088">
            <v>8</v>
          </cell>
        </row>
        <row r="9089">
          <cell r="C9089" t="str">
            <v>蘇哲弘</v>
          </cell>
          <cell r="F9089" t="str">
            <v>M240704R1</v>
          </cell>
          <cell r="J9089">
            <v>46140</v>
          </cell>
          <cell r="K9089">
            <v>8</v>
          </cell>
        </row>
        <row r="9090">
          <cell r="C9090" t="str">
            <v>蘇哲弘</v>
          </cell>
          <cell r="F9090" t="str">
            <v>M240704R1</v>
          </cell>
          <cell r="J9090">
            <v>46141</v>
          </cell>
          <cell r="K9090">
            <v>8</v>
          </cell>
        </row>
        <row r="9091">
          <cell r="C9091" t="str">
            <v>蘇哲弘</v>
          </cell>
          <cell r="F9091" t="str">
            <v>M240704R1</v>
          </cell>
          <cell r="J9091">
            <v>46142</v>
          </cell>
          <cell r="K9091">
            <v>8</v>
          </cell>
        </row>
        <row r="9092">
          <cell r="C9092" t="str">
            <v>蘇哲弘</v>
          </cell>
          <cell r="F9092" t="str">
            <v>M240704R1</v>
          </cell>
          <cell r="J9092">
            <v>46146</v>
          </cell>
          <cell r="K9092">
            <v>8</v>
          </cell>
        </row>
        <row r="9093">
          <cell r="C9093" t="str">
            <v>蘇哲弘</v>
          </cell>
          <cell r="F9093" t="str">
            <v>D260405R1</v>
          </cell>
          <cell r="J9093">
            <v>46147</v>
          </cell>
          <cell r="K9093">
            <v>8</v>
          </cell>
        </row>
        <row r="9094">
          <cell r="C9094" t="str">
            <v>蘇哲弘</v>
          </cell>
          <cell r="J9094">
            <v>46148</v>
          </cell>
          <cell r="K9094">
            <v>8</v>
          </cell>
        </row>
        <row r="9095">
          <cell r="C9095" t="str">
            <v>蘇哲弘</v>
          </cell>
          <cell r="F9095" t="str">
            <v>D260405R1</v>
          </cell>
          <cell r="J9095">
            <v>46149</v>
          </cell>
          <cell r="K9095">
            <v>8</v>
          </cell>
        </row>
        <row r="9096">
          <cell r="C9096" t="str">
            <v>蘇哲弘</v>
          </cell>
          <cell r="J9096">
            <v>46150</v>
          </cell>
          <cell r="K9096">
            <v>2</v>
          </cell>
        </row>
        <row r="9097">
          <cell r="C9097" t="str">
            <v>蘇哲弘</v>
          </cell>
          <cell r="F9097" t="str">
            <v>D260405R1</v>
          </cell>
          <cell r="J9097">
            <v>46150</v>
          </cell>
          <cell r="K9097">
            <v>6</v>
          </cell>
        </row>
        <row r="9098">
          <cell r="C9098" t="str">
            <v>蘇哲弘</v>
          </cell>
          <cell r="F9098" t="str">
            <v>D260405R1</v>
          </cell>
          <cell r="J9098">
            <v>46153</v>
          </cell>
          <cell r="K9098">
            <v>8</v>
          </cell>
        </row>
        <row r="9099">
          <cell r="C9099" t="str">
            <v>蘇哲弘</v>
          </cell>
          <cell r="F9099" t="str">
            <v>D260405R1</v>
          </cell>
          <cell r="J9099">
            <v>46154</v>
          </cell>
          <cell r="K9099">
            <v>8</v>
          </cell>
        </row>
        <row r="9100">
          <cell r="C9100" t="str">
            <v>蘇哲弘</v>
          </cell>
          <cell r="F9100" t="str">
            <v>D260405R1</v>
          </cell>
          <cell r="J9100">
            <v>46155</v>
          </cell>
          <cell r="K9100">
            <v>6</v>
          </cell>
        </row>
        <row r="9101">
          <cell r="C9101" t="str">
            <v>蘇哲弘</v>
          </cell>
          <cell r="J9101">
            <v>46155</v>
          </cell>
          <cell r="K9101">
            <v>2</v>
          </cell>
        </row>
        <row r="9102">
          <cell r="C9102" t="str">
            <v>蘇哲弘</v>
          </cell>
          <cell r="F9102" t="str">
            <v>D260405R1</v>
          </cell>
          <cell r="J9102">
            <v>46156</v>
          </cell>
          <cell r="K9102">
            <v>3</v>
          </cell>
        </row>
        <row r="9103">
          <cell r="C9103" t="str">
            <v>蘇哲弘</v>
          </cell>
          <cell r="F9103" t="str">
            <v>M240704R1</v>
          </cell>
          <cell r="J9103">
            <v>46156</v>
          </cell>
          <cell r="K9103">
            <v>4</v>
          </cell>
        </row>
        <row r="9104">
          <cell r="C9104" t="str">
            <v>蘇哲弘</v>
          </cell>
          <cell r="J9104">
            <v>46156</v>
          </cell>
          <cell r="K9104">
            <v>1</v>
          </cell>
        </row>
        <row r="9105">
          <cell r="C9105" t="str">
            <v>蘇哲弘</v>
          </cell>
          <cell r="F9105" t="str">
            <v>D260405R1</v>
          </cell>
          <cell r="J9105">
            <v>46157</v>
          </cell>
          <cell r="K9105">
            <v>8</v>
          </cell>
        </row>
        <row r="9106">
          <cell r="C9106" t="str">
            <v>蘇哲弘</v>
          </cell>
          <cell r="F9106" t="str">
            <v>D260405R1</v>
          </cell>
          <cell r="J9106">
            <v>46160</v>
          </cell>
          <cell r="K9106">
            <v>5</v>
          </cell>
        </row>
        <row r="9107">
          <cell r="C9107" t="str">
            <v>蘇哲弘</v>
          </cell>
          <cell r="J9107">
            <v>46160</v>
          </cell>
          <cell r="K9107">
            <v>2</v>
          </cell>
        </row>
        <row r="9108">
          <cell r="C9108" t="str">
            <v>蘇哲弘</v>
          </cell>
          <cell r="J9108">
            <v>46160</v>
          </cell>
          <cell r="K9108">
            <v>1</v>
          </cell>
        </row>
        <row r="9109">
          <cell r="C9109" t="str">
            <v>蘇哲弘</v>
          </cell>
          <cell r="F9109" t="str">
            <v>D260405R1</v>
          </cell>
          <cell r="J9109">
            <v>46161</v>
          </cell>
          <cell r="K9109">
            <v>8</v>
          </cell>
        </row>
        <row r="9110">
          <cell r="C9110" t="str">
            <v>蘇哲弘</v>
          </cell>
          <cell r="J9110">
            <v>46162</v>
          </cell>
          <cell r="K9110">
            <v>1</v>
          </cell>
        </row>
        <row r="9111">
          <cell r="C9111" t="str">
            <v>蘇哲弘</v>
          </cell>
          <cell r="J9111">
            <v>46162</v>
          </cell>
          <cell r="K9111">
            <v>2</v>
          </cell>
        </row>
        <row r="9112">
          <cell r="C9112" t="str">
            <v>蘇哲弘</v>
          </cell>
          <cell r="F9112" t="str">
            <v>D260405R1</v>
          </cell>
          <cell r="J9112">
            <v>46162</v>
          </cell>
          <cell r="K9112">
            <v>5</v>
          </cell>
        </row>
        <row r="9113">
          <cell r="C9113" t="str">
            <v>黃价利</v>
          </cell>
          <cell r="F9113" t="str">
            <v>M230705R1</v>
          </cell>
          <cell r="J9113">
            <v>45470</v>
          </cell>
          <cell r="K9113">
            <v>5</v>
          </cell>
        </row>
        <row r="9114">
          <cell r="C9114" t="str">
            <v>黃价利</v>
          </cell>
          <cell r="F9114" t="str">
            <v>M240201R1</v>
          </cell>
          <cell r="J9114">
            <v>45470</v>
          </cell>
          <cell r="K9114">
            <v>3</v>
          </cell>
        </row>
        <row r="9115">
          <cell r="C9115" t="str">
            <v>黃价利</v>
          </cell>
          <cell r="J9115">
            <v>45471</v>
          </cell>
          <cell r="K9115">
            <v>1</v>
          </cell>
        </row>
        <row r="9116">
          <cell r="C9116" t="str">
            <v>黃价利</v>
          </cell>
          <cell r="F9116" t="str">
            <v>M240201R1</v>
          </cell>
          <cell r="J9116">
            <v>45471</v>
          </cell>
          <cell r="K9116">
            <v>7</v>
          </cell>
        </row>
        <row r="9117">
          <cell r="C9117" t="str">
            <v>黃价利</v>
          </cell>
          <cell r="J9117">
            <v>45474</v>
          </cell>
          <cell r="K9117">
            <v>0.5</v>
          </cell>
        </row>
        <row r="9118">
          <cell r="C9118" t="str">
            <v>黃价利</v>
          </cell>
          <cell r="F9118" t="str">
            <v>K240101R1</v>
          </cell>
          <cell r="J9118">
            <v>45474</v>
          </cell>
          <cell r="K9118">
            <v>6</v>
          </cell>
        </row>
        <row r="9119">
          <cell r="C9119" t="str">
            <v>黃价利</v>
          </cell>
          <cell r="F9119" t="str">
            <v>K240101R1</v>
          </cell>
          <cell r="J9119">
            <v>45474</v>
          </cell>
          <cell r="K9119">
            <v>1.5</v>
          </cell>
        </row>
        <row r="9120">
          <cell r="C9120" t="str">
            <v>黃价利</v>
          </cell>
          <cell r="J9120">
            <v>45475</v>
          </cell>
          <cell r="K9120">
            <v>1</v>
          </cell>
        </row>
        <row r="9121">
          <cell r="C9121" t="str">
            <v>黃价利</v>
          </cell>
          <cell r="J9121">
            <v>45475</v>
          </cell>
          <cell r="K9121">
            <v>2</v>
          </cell>
        </row>
        <row r="9122">
          <cell r="C9122" t="str">
            <v>黃价利</v>
          </cell>
          <cell r="F9122" t="str">
            <v>K240101R1</v>
          </cell>
          <cell r="J9122">
            <v>45475</v>
          </cell>
          <cell r="K9122">
            <v>5</v>
          </cell>
        </row>
        <row r="9123">
          <cell r="C9123" t="str">
            <v>黃价利</v>
          </cell>
          <cell r="J9123">
            <v>45476</v>
          </cell>
          <cell r="K9123">
            <v>2</v>
          </cell>
        </row>
        <row r="9124">
          <cell r="C9124" t="str">
            <v>黃价利</v>
          </cell>
          <cell r="J9124">
            <v>45476</v>
          </cell>
          <cell r="K9124">
            <v>6</v>
          </cell>
        </row>
        <row r="9125">
          <cell r="C9125" t="str">
            <v>黃价利</v>
          </cell>
          <cell r="J9125">
            <v>45477</v>
          </cell>
          <cell r="K9125">
            <v>8</v>
          </cell>
        </row>
        <row r="9126">
          <cell r="C9126" t="str">
            <v>黃价利</v>
          </cell>
          <cell r="J9126">
            <v>45478</v>
          </cell>
          <cell r="K9126">
            <v>1.5</v>
          </cell>
        </row>
        <row r="9127">
          <cell r="C9127" t="str">
            <v>黃价利</v>
          </cell>
          <cell r="F9127" t="str">
            <v>K240101R1</v>
          </cell>
          <cell r="J9127">
            <v>45478</v>
          </cell>
          <cell r="K9127">
            <v>6.5</v>
          </cell>
        </row>
        <row r="9128">
          <cell r="C9128" t="str">
            <v>黃价利</v>
          </cell>
          <cell r="F9128" t="str">
            <v>K240101R1</v>
          </cell>
          <cell r="J9128">
            <v>45481</v>
          </cell>
          <cell r="K9128">
            <v>2</v>
          </cell>
        </row>
        <row r="9129">
          <cell r="C9129" t="str">
            <v>黃价利</v>
          </cell>
          <cell r="J9129">
            <v>45481</v>
          </cell>
          <cell r="K9129">
            <v>4</v>
          </cell>
        </row>
        <row r="9130">
          <cell r="C9130" t="str">
            <v>黃价利</v>
          </cell>
          <cell r="F9130" t="str">
            <v>M240201R1</v>
          </cell>
          <cell r="J9130">
            <v>45481</v>
          </cell>
          <cell r="K9130">
            <v>2</v>
          </cell>
        </row>
        <row r="9131">
          <cell r="C9131" t="str">
            <v>黃价利</v>
          </cell>
          <cell r="J9131">
            <v>45482</v>
          </cell>
          <cell r="K9131">
            <v>8</v>
          </cell>
        </row>
        <row r="9132">
          <cell r="C9132" t="str">
            <v>黃价利</v>
          </cell>
          <cell r="F9132" t="str">
            <v>M230602R1</v>
          </cell>
          <cell r="J9132">
            <v>45483</v>
          </cell>
          <cell r="K9132">
            <v>0.5</v>
          </cell>
        </row>
        <row r="9133">
          <cell r="C9133" t="str">
            <v>黃价利</v>
          </cell>
          <cell r="F9133" t="str">
            <v>K240101R1</v>
          </cell>
          <cell r="J9133">
            <v>45483</v>
          </cell>
          <cell r="K9133">
            <v>3</v>
          </cell>
        </row>
        <row r="9134">
          <cell r="C9134" t="str">
            <v>黃价利</v>
          </cell>
          <cell r="F9134" t="str">
            <v>K240101R1</v>
          </cell>
          <cell r="J9134">
            <v>45483</v>
          </cell>
          <cell r="K9134">
            <v>0.5</v>
          </cell>
        </row>
        <row r="9135">
          <cell r="C9135" t="str">
            <v>黃价利</v>
          </cell>
          <cell r="J9135">
            <v>45483</v>
          </cell>
          <cell r="K9135">
            <v>4</v>
          </cell>
        </row>
        <row r="9136">
          <cell r="C9136" t="str">
            <v>黃价利</v>
          </cell>
          <cell r="F9136" t="str">
            <v>K240101R1</v>
          </cell>
          <cell r="J9136">
            <v>45484</v>
          </cell>
          <cell r="K9136">
            <v>4</v>
          </cell>
        </row>
        <row r="9137">
          <cell r="C9137" t="str">
            <v>黃价利</v>
          </cell>
          <cell r="J9137">
            <v>45484</v>
          </cell>
          <cell r="K9137">
            <v>4</v>
          </cell>
        </row>
        <row r="9138">
          <cell r="C9138" t="str">
            <v>黃价利</v>
          </cell>
          <cell r="J9138">
            <v>45485</v>
          </cell>
          <cell r="K9138">
            <v>3.5</v>
          </cell>
        </row>
        <row r="9139">
          <cell r="C9139" t="str">
            <v>黃价利</v>
          </cell>
          <cell r="F9139" t="str">
            <v>M230901R1</v>
          </cell>
          <cell r="J9139">
            <v>45485</v>
          </cell>
          <cell r="K9139">
            <v>0.5</v>
          </cell>
        </row>
        <row r="9140">
          <cell r="C9140" t="str">
            <v>黃价利</v>
          </cell>
          <cell r="F9140" t="str">
            <v>K240101R1</v>
          </cell>
          <cell r="J9140">
            <v>45485</v>
          </cell>
          <cell r="K9140">
            <v>4</v>
          </cell>
        </row>
        <row r="9141">
          <cell r="C9141" t="str">
            <v>黃价利</v>
          </cell>
          <cell r="J9141">
            <v>45488</v>
          </cell>
          <cell r="K9141">
            <v>4</v>
          </cell>
        </row>
        <row r="9142">
          <cell r="C9142" t="str">
            <v>黃价利</v>
          </cell>
          <cell r="F9142" t="str">
            <v>K240101R1</v>
          </cell>
          <cell r="J9142">
            <v>45488</v>
          </cell>
          <cell r="K9142">
            <v>4</v>
          </cell>
        </row>
        <row r="9143">
          <cell r="C9143" t="str">
            <v>黃价利</v>
          </cell>
          <cell r="J9143">
            <v>45489</v>
          </cell>
          <cell r="K9143">
            <v>8</v>
          </cell>
        </row>
        <row r="9144">
          <cell r="C9144" t="str">
            <v>黃价利</v>
          </cell>
          <cell r="F9144" t="str">
            <v>K240101R1</v>
          </cell>
          <cell r="J9144">
            <v>45490</v>
          </cell>
          <cell r="K9144">
            <v>4</v>
          </cell>
        </row>
        <row r="9145">
          <cell r="C9145" t="str">
            <v>黃价利</v>
          </cell>
          <cell r="J9145">
            <v>45490</v>
          </cell>
          <cell r="K9145">
            <v>4</v>
          </cell>
        </row>
        <row r="9146">
          <cell r="C9146" t="str">
            <v>黃价利</v>
          </cell>
          <cell r="F9146" t="str">
            <v>K240101R1</v>
          </cell>
          <cell r="J9146">
            <v>45491</v>
          </cell>
          <cell r="K9146">
            <v>3</v>
          </cell>
        </row>
        <row r="9147">
          <cell r="C9147" t="str">
            <v>黃价利</v>
          </cell>
          <cell r="J9147">
            <v>45491</v>
          </cell>
          <cell r="K9147">
            <v>1</v>
          </cell>
        </row>
        <row r="9148">
          <cell r="C9148" t="str">
            <v>黃价利</v>
          </cell>
          <cell r="F9148" t="str">
            <v>K240101R1</v>
          </cell>
          <cell r="J9148">
            <v>45491</v>
          </cell>
          <cell r="K9148">
            <v>4</v>
          </cell>
        </row>
        <row r="9149">
          <cell r="C9149" t="str">
            <v>黃价利</v>
          </cell>
          <cell r="F9149" t="str">
            <v>K240101R1</v>
          </cell>
          <cell r="J9149">
            <v>45492</v>
          </cell>
          <cell r="K9149">
            <v>7</v>
          </cell>
        </row>
        <row r="9150">
          <cell r="C9150" t="str">
            <v>黃价利</v>
          </cell>
          <cell r="J9150">
            <v>45492</v>
          </cell>
          <cell r="K9150">
            <v>1</v>
          </cell>
        </row>
        <row r="9151">
          <cell r="C9151" t="str">
            <v>黃价利</v>
          </cell>
          <cell r="J9151">
            <v>45495</v>
          </cell>
          <cell r="K9151">
            <v>4</v>
          </cell>
        </row>
        <row r="9152">
          <cell r="C9152" t="str">
            <v>黃价利</v>
          </cell>
          <cell r="F9152" t="str">
            <v>K240101R1</v>
          </cell>
          <cell r="J9152">
            <v>45495</v>
          </cell>
          <cell r="K9152">
            <v>3</v>
          </cell>
        </row>
        <row r="9153">
          <cell r="C9153" t="str">
            <v>黃价利</v>
          </cell>
          <cell r="F9153" t="str">
            <v>M230602R1</v>
          </cell>
          <cell r="J9153">
            <v>45495</v>
          </cell>
          <cell r="K9153">
            <v>1</v>
          </cell>
        </row>
        <row r="9154">
          <cell r="C9154" t="str">
            <v>黃价利</v>
          </cell>
          <cell r="J9154">
            <v>45496</v>
          </cell>
          <cell r="K9154">
            <v>8</v>
          </cell>
        </row>
        <row r="9155">
          <cell r="C9155" t="str">
            <v>黃价利</v>
          </cell>
          <cell r="J9155">
            <v>45497</v>
          </cell>
          <cell r="K9155">
            <v>8</v>
          </cell>
        </row>
        <row r="9156">
          <cell r="C9156" t="str">
            <v>黃价利</v>
          </cell>
          <cell r="J9156">
            <v>45498</v>
          </cell>
          <cell r="K9156">
            <v>8</v>
          </cell>
        </row>
        <row r="9157">
          <cell r="C9157" t="str">
            <v>黃价利</v>
          </cell>
          <cell r="F9157" t="str">
            <v>M240804R1</v>
          </cell>
          <cell r="J9157">
            <v>45499</v>
          </cell>
          <cell r="K9157">
            <v>8</v>
          </cell>
        </row>
        <row r="9158">
          <cell r="C9158" t="str">
            <v>黃价利</v>
          </cell>
          <cell r="F9158" t="str">
            <v>M230705R1</v>
          </cell>
          <cell r="J9158">
            <v>45502</v>
          </cell>
          <cell r="K9158">
            <v>4.5</v>
          </cell>
        </row>
        <row r="9159">
          <cell r="C9159" t="str">
            <v>黃价利</v>
          </cell>
          <cell r="J9159">
            <v>45502</v>
          </cell>
          <cell r="K9159">
            <v>0.5</v>
          </cell>
        </row>
        <row r="9160">
          <cell r="C9160" t="str">
            <v>黃价利</v>
          </cell>
          <cell r="F9160" t="str">
            <v>M240804R1</v>
          </cell>
          <cell r="J9160">
            <v>45502</v>
          </cell>
          <cell r="K9160">
            <v>3.5</v>
          </cell>
        </row>
        <row r="9161">
          <cell r="C9161" t="str">
            <v>黃价利</v>
          </cell>
          <cell r="F9161" t="str">
            <v>M240804R1</v>
          </cell>
          <cell r="J9161">
            <v>45503</v>
          </cell>
          <cell r="K9161">
            <v>8</v>
          </cell>
        </row>
        <row r="9162">
          <cell r="C9162" t="str">
            <v>黃价利</v>
          </cell>
          <cell r="F9162" t="str">
            <v>M240804R1</v>
          </cell>
          <cell r="J9162">
            <v>45504</v>
          </cell>
          <cell r="K9162">
            <v>8</v>
          </cell>
        </row>
        <row r="9163">
          <cell r="C9163" t="str">
            <v>黃价利</v>
          </cell>
          <cell r="J9163">
            <v>45505</v>
          </cell>
          <cell r="K9163">
            <v>8</v>
          </cell>
        </row>
        <row r="9164">
          <cell r="C9164" t="str">
            <v>黃价利</v>
          </cell>
          <cell r="F9164" t="str">
            <v>M240804R1</v>
          </cell>
          <cell r="J9164">
            <v>45506</v>
          </cell>
          <cell r="K9164">
            <v>8</v>
          </cell>
        </row>
        <row r="9165">
          <cell r="C9165" t="str">
            <v>黃价利</v>
          </cell>
          <cell r="J9165">
            <v>45509</v>
          </cell>
          <cell r="K9165">
            <v>8</v>
          </cell>
        </row>
        <row r="9166">
          <cell r="C9166" t="str">
            <v>黃价利</v>
          </cell>
          <cell r="F9166" t="str">
            <v>M240804R1</v>
          </cell>
          <cell r="J9166">
            <v>45510</v>
          </cell>
          <cell r="K9166">
            <v>8</v>
          </cell>
        </row>
        <row r="9167">
          <cell r="C9167" t="str">
            <v>黃价利</v>
          </cell>
          <cell r="F9167" t="str">
            <v>M240804R1</v>
          </cell>
          <cell r="J9167">
            <v>45511</v>
          </cell>
          <cell r="K9167">
            <v>8</v>
          </cell>
        </row>
        <row r="9168">
          <cell r="C9168" t="str">
            <v>黃价利</v>
          </cell>
          <cell r="F9168" t="str">
            <v>M240804R1</v>
          </cell>
          <cell r="J9168">
            <v>45512</v>
          </cell>
          <cell r="K9168">
            <v>8</v>
          </cell>
        </row>
        <row r="9169">
          <cell r="C9169" t="str">
            <v>黃价利</v>
          </cell>
          <cell r="F9169" t="str">
            <v>M240804R1</v>
          </cell>
          <cell r="J9169">
            <v>45513</v>
          </cell>
          <cell r="K9169">
            <v>7</v>
          </cell>
        </row>
        <row r="9170">
          <cell r="C9170" t="str">
            <v>黃价利</v>
          </cell>
          <cell r="F9170" t="str">
            <v>M240801R1</v>
          </cell>
          <cell r="J9170">
            <v>45513</v>
          </cell>
          <cell r="K9170">
            <v>0.5</v>
          </cell>
        </row>
        <row r="9171">
          <cell r="C9171" t="str">
            <v>黃价利</v>
          </cell>
          <cell r="J9171">
            <v>45513</v>
          </cell>
          <cell r="K9171">
            <v>0.5</v>
          </cell>
        </row>
        <row r="9172">
          <cell r="C9172" t="str">
            <v>黃价利</v>
          </cell>
          <cell r="F9172" t="str">
            <v>M240804R1</v>
          </cell>
          <cell r="J9172">
            <v>45516</v>
          </cell>
          <cell r="K9172">
            <v>6</v>
          </cell>
        </row>
        <row r="9173">
          <cell r="C9173" t="str">
            <v>黃价利</v>
          </cell>
          <cell r="F9173" t="str">
            <v>M230901R1</v>
          </cell>
          <cell r="J9173">
            <v>45516</v>
          </cell>
          <cell r="K9173">
            <v>2</v>
          </cell>
        </row>
        <row r="9174">
          <cell r="C9174" t="str">
            <v>黃价利</v>
          </cell>
          <cell r="J9174">
            <v>45517</v>
          </cell>
          <cell r="K9174">
            <v>8</v>
          </cell>
        </row>
        <row r="9175">
          <cell r="C9175" t="str">
            <v>黃价利</v>
          </cell>
          <cell r="F9175" t="str">
            <v>M230901R1</v>
          </cell>
          <cell r="J9175">
            <v>45518</v>
          </cell>
          <cell r="K9175">
            <v>2</v>
          </cell>
        </row>
        <row r="9176">
          <cell r="C9176" t="str">
            <v>黃价利</v>
          </cell>
          <cell r="F9176" t="str">
            <v>M240804R1</v>
          </cell>
          <cell r="J9176">
            <v>45518</v>
          </cell>
          <cell r="K9176">
            <v>6</v>
          </cell>
        </row>
        <row r="9177">
          <cell r="C9177" t="str">
            <v>黃价利</v>
          </cell>
          <cell r="J9177">
            <v>45519</v>
          </cell>
          <cell r="K9177">
            <v>8</v>
          </cell>
        </row>
        <row r="9178">
          <cell r="C9178" t="str">
            <v>黃价利</v>
          </cell>
          <cell r="F9178" t="str">
            <v>M240804R1</v>
          </cell>
          <cell r="J9178">
            <v>45520</v>
          </cell>
          <cell r="K9178">
            <v>1</v>
          </cell>
        </row>
        <row r="9179">
          <cell r="C9179" t="str">
            <v>黃价利</v>
          </cell>
          <cell r="J9179">
            <v>45520</v>
          </cell>
          <cell r="K9179">
            <v>6</v>
          </cell>
        </row>
        <row r="9180">
          <cell r="C9180" t="str">
            <v>黃价利</v>
          </cell>
          <cell r="F9180" t="str">
            <v>M220101R1</v>
          </cell>
          <cell r="J9180">
            <v>45520</v>
          </cell>
          <cell r="K9180">
            <v>1</v>
          </cell>
        </row>
        <row r="9181">
          <cell r="C9181" t="str">
            <v>黃价利</v>
          </cell>
          <cell r="F9181" t="str">
            <v>M240804R1</v>
          </cell>
          <cell r="J9181">
            <v>45523</v>
          </cell>
          <cell r="K9181">
            <v>1</v>
          </cell>
        </row>
        <row r="9182">
          <cell r="C9182" t="str">
            <v>黃价利</v>
          </cell>
          <cell r="F9182" t="str">
            <v>M220101R1</v>
          </cell>
          <cell r="J9182">
            <v>45523</v>
          </cell>
          <cell r="K9182">
            <v>3</v>
          </cell>
        </row>
        <row r="9183">
          <cell r="C9183" t="str">
            <v>黃价利</v>
          </cell>
          <cell r="J9183">
            <v>45523</v>
          </cell>
          <cell r="K9183">
            <v>4</v>
          </cell>
        </row>
        <row r="9184">
          <cell r="C9184" t="str">
            <v>黃价利</v>
          </cell>
          <cell r="F9184" t="str">
            <v>M240804R1</v>
          </cell>
          <cell r="J9184">
            <v>45524</v>
          </cell>
          <cell r="K9184">
            <v>6</v>
          </cell>
        </row>
        <row r="9185">
          <cell r="C9185" t="str">
            <v>黃价利</v>
          </cell>
          <cell r="F9185" t="str">
            <v>M220101R1</v>
          </cell>
          <cell r="J9185">
            <v>45524</v>
          </cell>
          <cell r="K9185">
            <v>2</v>
          </cell>
        </row>
        <row r="9186">
          <cell r="C9186" t="str">
            <v>黃价利</v>
          </cell>
          <cell r="J9186">
            <v>45525</v>
          </cell>
          <cell r="K9186">
            <v>1</v>
          </cell>
        </row>
        <row r="9187">
          <cell r="C9187" t="str">
            <v>黃价利</v>
          </cell>
          <cell r="F9187" t="str">
            <v>M220101R1</v>
          </cell>
          <cell r="J9187">
            <v>45525</v>
          </cell>
          <cell r="K9187">
            <v>1.5</v>
          </cell>
        </row>
        <row r="9188">
          <cell r="C9188" t="str">
            <v>黃价利</v>
          </cell>
          <cell r="F9188" t="str">
            <v>M240804R1</v>
          </cell>
          <cell r="J9188">
            <v>45525</v>
          </cell>
          <cell r="K9188">
            <v>3.5</v>
          </cell>
        </row>
        <row r="9189">
          <cell r="C9189" t="str">
            <v>黃价利</v>
          </cell>
          <cell r="J9189">
            <v>45525</v>
          </cell>
          <cell r="K9189">
            <v>1</v>
          </cell>
        </row>
        <row r="9190">
          <cell r="C9190" t="str">
            <v>黃价利</v>
          </cell>
          <cell r="J9190">
            <v>45525</v>
          </cell>
          <cell r="K9190">
            <v>0.5</v>
          </cell>
        </row>
        <row r="9191">
          <cell r="C9191" t="str">
            <v>黃价利</v>
          </cell>
          <cell r="F9191" t="str">
            <v>M240804R1</v>
          </cell>
          <cell r="J9191">
            <v>45526</v>
          </cell>
          <cell r="K9191">
            <v>5.5</v>
          </cell>
        </row>
        <row r="9192">
          <cell r="C9192" t="str">
            <v>黃价利</v>
          </cell>
          <cell r="J9192">
            <v>45526</v>
          </cell>
          <cell r="K9192">
            <v>0.5</v>
          </cell>
        </row>
        <row r="9193">
          <cell r="C9193" t="str">
            <v>黃价利</v>
          </cell>
          <cell r="F9193" t="str">
            <v>M220101R1</v>
          </cell>
          <cell r="J9193">
            <v>45526</v>
          </cell>
          <cell r="K9193">
            <v>0.5</v>
          </cell>
        </row>
        <row r="9194">
          <cell r="C9194" t="str">
            <v>黃价利</v>
          </cell>
          <cell r="J9194">
            <v>45526</v>
          </cell>
          <cell r="K9194">
            <v>0.5</v>
          </cell>
        </row>
        <row r="9195">
          <cell r="C9195" t="str">
            <v>黃价利</v>
          </cell>
          <cell r="J9195">
            <v>45526</v>
          </cell>
          <cell r="K9195">
            <v>1</v>
          </cell>
        </row>
        <row r="9196">
          <cell r="C9196" t="str">
            <v>黃价利</v>
          </cell>
          <cell r="F9196" t="str">
            <v>M240804R1</v>
          </cell>
          <cell r="J9196">
            <v>45527</v>
          </cell>
          <cell r="K9196">
            <v>7</v>
          </cell>
        </row>
        <row r="9197">
          <cell r="C9197" t="str">
            <v>黃价利</v>
          </cell>
          <cell r="F9197" t="str">
            <v>M230602R1</v>
          </cell>
          <cell r="J9197">
            <v>45527</v>
          </cell>
          <cell r="K9197">
            <v>1</v>
          </cell>
        </row>
        <row r="9198">
          <cell r="C9198" t="str">
            <v>黃价利</v>
          </cell>
          <cell r="J9198">
            <v>45530</v>
          </cell>
          <cell r="K9198">
            <v>0.5</v>
          </cell>
        </row>
        <row r="9199">
          <cell r="C9199" t="str">
            <v>黃价利</v>
          </cell>
          <cell r="F9199" t="str">
            <v>M240804R1</v>
          </cell>
          <cell r="J9199">
            <v>45530</v>
          </cell>
          <cell r="K9199">
            <v>7.5</v>
          </cell>
        </row>
        <row r="9200">
          <cell r="C9200" t="str">
            <v>黃价利</v>
          </cell>
          <cell r="F9200" t="str">
            <v>M240804R1</v>
          </cell>
          <cell r="J9200">
            <v>45531</v>
          </cell>
          <cell r="K9200">
            <v>8</v>
          </cell>
        </row>
        <row r="9201">
          <cell r="C9201" t="str">
            <v>黃价利</v>
          </cell>
          <cell r="F9201" t="str">
            <v>M240804R1</v>
          </cell>
          <cell r="J9201">
            <v>45532</v>
          </cell>
          <cell r="K9201">
            <v>8</v>
          </cell>
        </row>
        <row r="9202">
          <cell r="C9202" t="str">
            <v>黃价利</v>
          </cell>
          <cell r="J9202">
            <v>45533</v>
          </cell>
          <cell r="K9202">
            <v>1</v>
          </cell>
        </row>
        <row r="9203">
          <cell r="C9203" t="str">
            <v>黃价利</v>
          </cell>
          <cell r="F9203" t="str">
            <v>M240804R1</v>
          </cell>
          <cell r="J9203">
            <v>45533</v>
          </cell>
          <cell r="K9203">
            <v>7</v>
          </cell>
        </row>
        <row r="9204">
          <cell r="C9204" t="str">
            <v>黃价利</v>
          </cell>
          <cell r="F9204" t="str">
            <v>M240804R1</v>
          </cell>
          <cell r="J9204">
            <v>45534</v>
          </cell>
          <cell r="K9204">
            <v>8</v>
          </cell>
        </row>
        <row r="9205">
          <cell r="C9205" t="str">
            <v>徐崇耀</v>
          </cell>
          <cell r="F9205" t="str">
            <v>K231101R1</v>
          </cell>
          <cell r="J9205">
            <v>45470</v>
          </cell>
          <cell r="K9205">
            <v>9</v>
          </cell>
        </row>
        <row r="9206">
          <cell r="C9206" t="str">
            <v>徐崇耀</v>
          </cell>
          <cell r="F9206" t="str">
            <v>K231101R1</v>
          </cell>
          <cell r="J9206">
            <v>45471</v>
          </cell>
          <cell r="K9206">
            <v>2</v>
          </cell>
        </row>
        <row r="9207">
          <cell r="C9207" t="str">
            <v>徐崇耀</v>
          </cell>
          <cell r="F9207" t="str">
            <v>M230602R1</v>
          </cell>
          <cell r="J9207">
            <v>45471</v>
          </cell>
          <cell r="K9207">
            <v>3</v>
          </cell>
        </row>
        <row r="9208">
          <cell r="C9208" t="str">
            <v>徐崇耀</v>
          </cell>
          <cell r="J9208">
            <v>45471</v>
          </cell>
          <cell r="K9208">
            <v>2.5</v>
          </cell>
        </row>
        <row r="9209">
          <cell r="C9209" t="str">
            <v>徐崇耀</v>
          </cell>
          <cell r="F9209" t="str">
            <v>M230901R1</v>
          </cell>
          <cell r="J9209">
            <v>45471</v>
          </cell>
          <cell r="K9209">
            <v>0.5</v>
          </cell>
        </row>
        <row r="9210">
          <cell r="C9210" t="str">
            <v>徐崇耀</v>
          </cell>
          <cell r="F9210" t="str">
            <v>M230602R1</v>
          </cell>
          <cell r="J9210">
            <v>45474</v>
          </cell>
          <cell r="K9210">
            <v>1.5</v>
          </cell>
        </row>
        <row r="9211">
          <cell r="C9211" t="str">
            <v>徐崇耀</v>
          </cell>
          <cell r="F9211" t="str">
            <v>M230602R1</v>
          </cell>
          <cell r="J9211">
            <v>45474</v>
          </cell>
          <cell r="K9211">
            <v>5</v>
          </cell>
        </row>
        <row r="9212">
          <cell r="C9212" t="str">
            <v>徐崇耀</v>
          </cell>
          <cell r="J9212">
            <v>45474</v>
          </cell>
          <cell r="K9212">
            <v>2</v>
          </cell>
        </row>
        <row r="9213">
          <cell r="C9213" t="str">
            <v>徐崇耀</v>
          </cell>
          <cell r="F9213" t="str">
            <v>K231101R1</v>
          </cell>
          <cell r="J9213">
            <v>45475</v>
          </cell>
          <cell r="K9213">
            <v>6</v>
          </cell>
        </row>
        <row r="9214">
          <cell r="C9214" t="str">
            <v>徐崇耀</v>
          </cell>
          <cell r="F9214" t="str">
            <v>M230901R1</v>
          </cell>
          <cell r="J9214">
            <v>45475</v>
          </cell>
          <cell r="K9214">
            <v>1.5</v>
          </cell>
        </row>
        <row r="9215">
          <cell r="C9215" t="str">
            <v>徐崇耀</v>
          </cell>
          <cell r="F9215" t="str">
            <v>M230602R1</v>
          </cell>
          <cell r="J9215">
            <v>45475</v>
          </cell>
          <cell r="K9215">
            <v>1.5</v>
          </cell>
        </row>
        <row r="9216">
          <cell r="C9216" t="str">
            <v>徐崇耀</v>
          </cell>
          <cell r="F9216" t="str">
            <v>K231101R1</v>
          </cell>
          <cell r="J9216">
            <v>45476</v>
          </cell>
          <cell r="K9216">
            <v>4</v>
          </cell>
        </row>
        <row r="9217">
          <cell r="C9217" t="str">
            <v>徐崇耀</v>
          </cell>
          <cell r="F9217" t="str">
            <v>M230602R1</v>
          </cell>
          <cell r="J9217">
            <v>45476</v>
          </cell>
          <cell r="K9217">
            <v>3</v>
          </cell>
        </row>
        <row r="9218">
          <cell r="C9218" t="str">
            <v>徐崇耀</v>
          </cell>
          <cell r="F9218" t="str">
            <v>M230901R1</v>
          </cell>
          <cell r="J9218">
            <v>45476</v>
          </cell>
          <cell r="K9218">
            <v>1</v>
          </cell>
        </row>
        <row r="9219">
          <cell r="C9219" t="str">
            <v>徐崇耀</v>
          </cell>
          <cell r="J9219">
            <v>45477</v>
          </cell>
          <cell r="K9219">
            <v>7</v>
          </cell>
        </row>
        <row r="9220">
          <cell r="C9220" t="str">
            <v>徐崇耀</v>
          </cell>
          <cell r="F9220" t="str">
            <v>M230901R1</v>
          </cell>
          <cell r="J9220">
            <v>45477</v>
          </cell>
          <cell r="K9220">
            <v>1</v>
          </cell>
        </row>
        <row r="9221">
          <cell r="C9221" t="str">
            <v>徐崇耀</v>
          </cell>
          <cell r="F9221" t="str">
            <v>M230901R1</v>
          </cell>
          <cell r="J9221">
            <v>45478</v>
          </cell>
          <cell r="K9221">
            <v>3</v>
          </cell>
        </row>
        <row r="9222">
          <cell r="C9222" t="str">
            <v>徐崇耀</v>
          </cell>
          <cell r="F9222" t="str">
            <v>M230602R1</v>
          </cell>
          <cell r="J9222">
            <v>45478</v>
          </cell>
          <cell r="K9222">
            <v>2</v>
          </cell>
        </row>
        <row r="9223">
          <cell r="C9223" t="str">
            <v>徐崇耀</v>
          </cell>
          <cell r="F9223" t="str">
            <v>M230602R1</v>
          </cell>
          <cell r="J9223">
            <v>45478</v>
          </cell>
          <cell r="K9223">
            <v>2.5</v>
          </cell>
        </row>
        <row r="9224">
          <cell r="C9224" t="str">
            <v>徐崇耀</v>
          </cell>
          <cell r="F9224" t="str">
            <v>M230602R1</v>
          </cell>
          <cell r="J9224">
            <v>45478</v>
          </cell>
          <cell r="K9224">
            <v>1</v>
          </cell>
        </row>
        <row r="9225">
          <cell r="C9225" t="str">
            <v>徐崇耀</v>
          </cell>
          <cell r="F9225" t="str">
            <v>M230602R1</v>
          </cell>
          <cell r="J9225">
            <v>45481</v>
          </cell>
          <cell r="K9225">
            <v>0.5</v>
          </cell>
        </row>
        <row r="9226">
          <cell r="C9226" t="str">
            <v>徐崇耀</v>
          </cell>
          <cell r="F9226" t="str">
            <v>M230602R1</v>
          </cell>
          <cell r="J9226">
            <v>45481</v>
          </cell>
          <cell r="K9226">
            <v>1.5</v>
          </cell>
        </row>
        <row r="9227">
          <cell r="C9227" t="str">
            <v>徐崇耀</v>
          </cell>
          <cell r="F9227" t="str">
            <v>M230901R1</v>
          </cell>
          <cell r="J9227">
            <v>45481</v>
          </cell>
          <cell r="K9227">
            <v>4</v>
          </cell>
        </row>
        <row r="9228">
          <cell r="C9228" t="str">
            <v>徐崇耀</v>
          </cell>
          <cell r="F9228" t="str">
            <v>M230901R1</v>
          </cell>
          <cell r="J9228">
            <v>45481</v>
          </cell>
          <cell r="K9228">
            <v>2</v>
          </cell>
        </row>
        <row r="9229">
          <cell r="C9229" t="str">
            <v>徐崇耀</v>
          </cell>
          <cell r="F9229" t="str">
            <v>M230901R1</v>
          </cell>
          <cell r="J9229">
            <v>45482</v>
          </cell>
          <cell r="K9229">
            <v>0.5</v>
          </cell>
        </row>
        <row r="9230">
          <cell r="C9230" t="str">
            <v>徐崇耀</v>
          </cell>
          <cell r="F9230" t="str">
            <v>M230602R1</v>
          </cell>
          <cell r="J9230">
            <v>45482</v>
          </cell>
          <cell r="K9230">
            <v>3</v>
          </cell>
        </row>
        <row r="9231">
          <cell r="C9231" t="str">
            <v>徐崇耀</v>
          </cell>
          <cell r="F9231" t="str">
            <v>M230602R1</v>
          </cell>
          <cell r="J9231">
            <v>45482</v>
          </cell>
          <cell r="K9231">
            <v>3</v>
          </cell>
        </row>
        <row r="9232">
          <cell r="C9232" t="str">
            <v>徐崇耀</v>
          </cell>
          <cell r="F9232" t="str">
            <v>M230602R1</v>
          </cell>
          <cell r="J9232">
            <v>45482</v>
          </cell>
          <cell r="K9232">
            <v>1.5</v>
          </cell>
        </row>
        <row r="9233">
          <cell r="C9233" t="str">
            <v>徐崇耀</v>
          </cell>
          <cell r="F9233" t="str">
            <v>M230602R1</v>
          </cell>
          <cell r="J9233">
            <v>45483</v>
          </cell>
          <cell r="K9233">
            <v>5</v>
          </cell>
        </row>
        <row r="9234">
          <cell r="C9234" t="str">
            <v>徐崇耀</v>
          </cell>
          <cell r="F9234" t="str">
            <v>M230602R1</v>
          </cell>
          <cell r="J9234">
            <v>45483</v>
          </cell>
          <cell r="K9234">
            <v>3</v>
          </cell>
        </row>
        <row r="9235">
          <cell r="C9235" t="str">
            <v>徐崇耀</v>
          </cell>
          <cell r="F9235" t="str">
            <v>K231101R1</v>
          </cell>
          <cell r="J9235">
            <v>45484</v>
          </cell>
          <cell r="K9235">
            <v>1.5</v>
          </cell>
        </row>
        <row r="9236">
          <cell r="C9236" t="str">
            <v>徐崇耀</v>
          </cell>
          <cell r="F9236" t="str">
            <v>M230602R1</v>
          </cell>
          <cell r="J9236">
            <v>45484</v>
          </cell>
          <cell r="K9236">
            <v>1.5</v>
          </cell>
        </row>
        <row r="9237">
          <cell r="C9237" t="str">
            <v>徐崇耀</v>
          </cell>
          <cell r="J9237">
            <v>45484</v>
          </cell>
          <cell r="K9237">
            <v>5</v>
          </cell>
        </row>
        <row r="9238">
          <cell r="C9238" t="str">
            <v>徐崇耀</v>
          </cell>
          <cell r="F9238" t="str">
            <v>M230901R1</v>
          </cell>
          <cell r="J9238">
            <v>45485</v>
          </cell>
          <cell r="K9238">
            <v>6</v>
          </cell>
        </row>
        <row r="9239">
          <cell r="C9239" t="str">
            <v>徐崇耀</v>
          </cell>
          <cell r="F9239" t="str">
            <v>K231101R1</v>
          </cell>
          <cell r="J9239">
            <v>45485</v>
          </cell>
          <cell r="K9239">
            <v>2</v>
          </cell>
        </row>
        <row r="9240">
          <cell r="C9240" t="str">
            <v>徐崇耀</v>
          </cell>
          <cell r="F9240" t="str">
            <v>M230901R1</v>
          </cell>
          <cell r="J9240">
            <v>45488</v>
          </cell>
          <cell r="K9240">
            <v>5</v>
          </cell>
        </row>
        <row r="9241">
          <cell r="C9241" t="str">
            <v>徐崇耀</v>
          </cell>
          <cell r="F9241" t="str">
            <v>M230602R1</v>
          </cell>
          <cell r="J9241">
            <v>45488</v>
          </cell>
          <cell r="K9241">
            <v>3</v>
          </cell>
        </row>
        <row r="9242">
          <cell r="C9242" t="str">
            <v>徐崇耀</v>
          </cell>
          <cell r="F9242" t="str">
            <v>M230901R1</v>
          </cell>
          <cell r="J9242">
            <v>45489</v>
          </cell>
          <cell r="K9242">
            <v>3</v>
          </cell>
        </row>
        <row r="9243">
          <cell r="C9243" t="str">
            <v>徐崇耀</v>
          </cell>
          <cell r="F9243" t="str">
            <v>M230602R1</v>
          </cell>
          <cell r="J9243">
            <v>45489</v>
          </cell>
          <cell r="K9243">
            <v>1</v>
          </cell>
        </row>
        <row r="9244">
          <cell r="C9244" t="str">
            <v>徐崇耀</v>
          </cell>
          <cell r="F9244" t="str">
            <v>K231101R1</v>
          </cell>
          <cell r="J9244">
            <v>45489</v>
          </cell>
          <cell r="K9244">
            <v>1.5</v>
          </cell>
        </row>
        <row r="9245">
          <cell r="C9245" t="str">
            <v>徐崇耀</v>
          </cell>
          <cell r="J9245">
            <v>45489</v>
          </cell>
          <cell r="K9245">
            <v>0.5</v>
          </cell>
        </row>
        <row r="9246">
          <cell r="C9246" t="str">
            <v>徐崇耀</v>
          </cell>
          <cell r="F9246" t="str">
            <v>M230602R1</v>
          </cell>
          <cell r="J9246">
            <v>45489</v>
          </cell>
          <cell r="K9246">
            <v>1</v>
          </cell>
        </row>
        <row r="9247">
          <cell r="C9247" t="str">
            <v>徐崇耀</v>
          </cell>
          <cell r="F9247" t="str">
            <v>M230103R1</v>
          </cell>
          <cell r="J9247">
            <v>45489</v>
          </cell>
          <cell r="K9247">
            <v>1</v>
          </cell>
        </row>
        <row r="9248">
          <cell r="C9248" t="str">
            <v>徐崇耀</v>
          </cell>
          <cell r="J9248">
            <v>45490</v>
          </cell>
          <cell r="K9248">
            <v>0.5</v>
          </cell>
        </row>
        <row r="9249">
          <cell r="C9249" t="str">
            <v>徐崇耀</v>
          </cell>
          <cell r="F9249" t="str">
            <v>M230901R1</v>
          </cell>
          <cell r="J9249">
            <v>45490</v>
          </cell>
          <cell r="K9249">
            <v>1.5</v>
          </cell>
        </row>
        <row r="9250">
          <cell r="C9250" t="str">
            <v>徐崇耀</v>
          </cell>
          <cell r="F9250" t="str">
            <v>M230901R1</v>
          </cell>
          <cell r="J9250">
            <v>45490</v>
          </cell>
          <cell r="K9250">
            <v>2</v>
          </cell>
        </row>
        <row r="9251">
          <cell r="C9251" t="str">
            <v>徐崇耀</v>
          </cell>
          <cell r="F9251" t="str">
            <v>M230602R1</v>
          </cell>
          <cell r="J9251">
            <v>45490</v>
          </cell>
          <cell r="K9251">
            <v>1</v>
          </cell>
        </row>
        <row r="9252">
          <cell r="C9252" t="str">
            <v>徐崇耀</v>
          </cell>
          <cell r="F9252" t="str">
            <v>K240701R1</v>
          </cell>
          <cell r="J9252">
            <v>45490</v>
          </cell>
          <cell r="K9252">
            <v>2</v>
          </cell>
        </row>
        <row r="9253">
          <cell r="C9253" t="str">
            <v>徐崇耀</v>
          </cell>
          <cell r="F9253" t="str">
            <v>M230901R1</v>
          </cell>
          <cell r="J9253">
            <v>45490</v>
          </cell>
          <cell r="K9253">
            <v>1</v>
          </cell>
        </row>
        <row r="9254">
          <cell r="C9254" t="str">
            <v>徐崇耀</v>
          </cell>
          <cell r="J9254">
            <v>45491</v>
          </cell>
          <cell r="K9254">
            <v>1</v>
          </cell>
        </row>
        <row r="9255">
          <cell r="C9255" t="str">
            <v>徐崇耀</v>
          </cell>
          <cell r="F9255" t="str">
            <v>M230901R1</v>
          </cell>
          <cell r="J9255">
            <v>45491</v>
          </cell>
          <cell r="K9255">
            <v>1</v>
          </cell>
        </row>
        <row r="9256">
          <cell r="C9256" t="str">
            <v>徐崇耀</v>
          </cell>
          <cell r="F9256" t="str">
            <v>M230901R1</v>
          </cell>
          <cell r="J9256">
            <v>45491</v>
          </cell>
          <cell r="K9256">
            <v>2</v>
          </cell>
        </row>
        <row r="9257">
          <cell r="C9257" t="str">
            <v>徐崇耀</v>
          </cell>
          <cell r="F9257" t="str">
            <v>K240701R1</v>
          </cell>
          <cell r="J9257">
            <v>45491</v>
          </cell>
          <cell r="K9257">
            <v>5</v>
          </cell>
        </row>
        <row r="9258">
          <cell r="C9258" t="str">
            <v>徐崇耀</v>
          </cell>
          <cell r="J9258">
            <v>45492</v>
          </cell>
          <cell r="K9258">
            <v>1</v>
          </cell>
        </row>
        <row r="9259">
          <cell r="C9259" t="str">
            <v>徐崇耀</v>
          </cell>
          <cell r="F9259" t="str">
            <v>M230602R1</v>
          </cell>
          <cell r="J9259">
            <v>45492</v>
          </cell>
          <cell r="K9259">
            <v>1</v>
          </cell>
        </row>
        <row r="9260">
          <cell r="C9260" t="str">
            <v>徐崇耀</v>
          </cell>
          <cell r="F9260" t="str">
            <v>M230901R1</v>
          </cell>
          <cell r="J9260">
            <v>45492</v>
          </cell>
          <cell r="K9260">
            <v>1</v>
          </cell>
        </row>
        <row r="9261">
          <cell r="C9261" t="str">
            <v>徐崇耀</v>
          </cell>
          <cell r="F9261" t="str">
            <v>K240701R1</v>
          </cell>
          <cell r="J9261">
            <v>45492</v>
          </cell>
          <cell r="K9261">
            <v>2</v>
          </cell>
        </row>
        <row r="9262">
          <cell r="C9262" t="str">
            <v>徐崇耀</v>
          </cell>
          <cell r="F9262" t="str">
            <v>M230901R1</v>
          </cell>
          <cell r="J9262">
            <v>45492</v>
          </cell>
          <cell r="K9262">
            <v>3</v>
          </cell>
        </row>
        <row r="9263">
          <cell r="C9263" t="str">
            <v>徐崇耀</v>
          </cell>
          <cell r="F9263" t="str">
            <v>M230602R1</v>
          </cell>
          <cell r="J9263">
            <v>45495</v>
          </cell>
          <cell r="K9263">
            <v>1.5</v>
          </cell>
        </row>
        <row r="9264">
          <cell r="C9264" t="str">
            <v>徐崇耀</v>
          </cell>
          <cell r="F9264" t="str">
            <v>M230602R1</v>
          </cell>
          <cell r="J9264">
            <v>45495</v>
          </cell>
          <cell r="K9264">
            <v>5</v>
          </cell>
        </row>
        <row r="9265">
          <cell r="C9265" t="str">
            <v>徐崇耀</v>
          </cell>
          <cell r="F9265" t="str">
            <v>M230901R1</v>
          </cell>
          <cell r="J9265">
            <v>45495</v>
          </cell>
          <cell r="K9265">
            <v>1.5</v>
          </cell>
        </row>
        <row r="9266">
          <cell r="C9266" t="str">
            <v>徐崇耀</v>
          </cell>
          <cell r="F9266" t="str">
            <v>M230602R1</v>
          </cell>
          <cell r="J9266">
            <v>45496</v>
          </cell>
          <cell r="K9266">
            <v>3</v>
          </cell>
        </row>
        <row r="9267">
          <cell r="C9267" t="str">
            <v>徐崇耀</v>
          </cell>
          <cell r="J9267">
            <v>45496</v>
          </cell>
          <cell r="K9267">
            <v>5</v>
          </cell>
        </row>
        <row r="9268">
          <cell r="C9268" t="str">
            <v>徐崇耀</v>
          </cell>
          <cell r="J9268">
            <v>45497</v>
          </cell>
          <cell r="K9268">
            <v>8</v>
          </cell>
        </row>
        <row r="9269">
          <cell r="C9269" t="str">
            <v>徐崇耀</v>
          </cell>
          <cell r="J9269">
            <v>45498</v>
          </cell>
          <cell r="K9269">
            <v>8</v>
          </cell>
        </row>
        <row r="9270">
          <cell r="C9270" t="str">
            <v>徐崇耀</v>
          </cell>
          <cell r="F9270" t="str">
            <v>M230901R1</v>
          </cell>
          <cell r="J9270">
            <v>45499</v>
          </cell>
          <cell r="K9270">
            <v>2.5</v>
          </cell>
        </row>
        <row r="9271">
          <cell r="C9271" t="str">
            <v>徐崇耀</v>
          </cell>
          <cell r="F9271" t="str">
            <v>M230602R1</v>
          </cell>
          <cell r="J9271">
            <v>45499</v>
          </cell>
          <cell r="K9271">
            <v>5.5</v>
          </cell>
        </row>
        <row r="9272">
          <cell r="C9272" t="str">
            <v>徐崇耀</v>
          </cell>
          <cell r="F9272" t="str">
            <v>M230901R1</v>
          </cell>
          <cell r="J9272">
            <v>45502</v>
          </cell>
          <cell r="K9272">
            <v>1</v>
          </cell>
        </row>
        <row r="9273">
          <cell r="C9273" t="str">
            <v>徐崇耀</v>
          </cell>
          <cell r="F9273" t="str">
            <v>M230602R1</v>
          </cell>
          <cell r="J9273">
            <v>45502</v>
          </cell>
          <cell r="K9273">
            <v>5</v>
          </cell>
        </row>
        <row r="9274">
          <cell r="C9274" t="str">
            <v>徐崇耀</v>
          </cell>
          <cell r="F9274" t="str">
            <v>K240701R1</v>
          </cell>
          <cell r="J9274">
            <v>45502</v>
          </cell>
          <cell r="K9274">
            <v>2</v>
          </cell>
        </row>
        <row r="9275">
          <cell r="C9275" t="str">
            <v>徐崇耀</v>
          </cell>
          <cell r="J9275">
            <v>45503</v>
          </cell>
          <cell r="K9275">
            <v>3</v>
          </cell>
        </row>
        <row r="9276">
          <cell r="C9276" t="str">
            <v>徐崇耀</v>
          </cell>
          <cell r="F9276" t="str">
            <v>K240701R1</v>
          </cell>
          <cell r="J9276">
            <v>45503</v>
          </cell>
          <cell r="K9276">
            <v>3</v>
          </cell>
        </row>
        <row r="9277">
          <cell r="C9277" t="str">
            <v>徐崇耀</v>
          </cell>
          <cell r="F9277" t="str">
            <v>M230602R1</v>
          </cell>
          <cell r="J9277">
            <v>45503</v>
          </cell>
          <cell r="K9277">
            <v>3</v>
          </cell>
        </row>
        <row r="9278">
          <cell r="C9278" t="str">
            <v>徐崇耀</v>
          </cell>
          <cell r="F9278" t="str">
            <v>K240701R1</v>
          </cell>
          <cell r="J9278">
            <v>45504</v>
          </cell>
          <cell r="K9278">
            <v>2.5</v>
          </cell>
        </row>
        <row r="9279">
          <cell r="C9279" t="str">
            <v>徐崇耀</v>
          </cell>
          <cell r="F9279" t="str">
            <v>M230602R1</v>
          </cell>
          <cell r="J9279">
            <v>45504</v>
          </cell>
          <cell r="K9279">
            <v>5.5</v>
          </cell>
        </row>
        <row r="9280">
          <cell r="C9280" t="str">
            <v>徐崇耀</v>
          </cell>
          <cell r="F9280" t="str">
            <v>M230901R1</v>
          </cell>
          <cell r="J9280">
            <v>45505</v>
          </cell>
          <cell r="K9280">
            <v>2</v>
          </cell>
        </row>
        <row r="9281">
          <cell r="C9281" t="str">
            <v>徐崇耀</v>
          </cell>
          <cell r="F9281" t="str">
            <v>M230602R1</v>
          </cell>
          <cell r="J9281">
            <v>45505</v>
          </cell>
          <cell r="K9281">
            <v>6</v>
          </cell>
        </row>
        <row r="9282">
          <cell r="C9282" t="str">
            <v>徐崇耀</v>
          </cell>
          <cell r="F9282" t="str">
            <v>M230602R1</v>
          </cell>
          <cell r="J9282">
            <v>45506</v>
          </cell>
          <cell r="K9282">
            <v>5.5</v>
          </cell>
        </row>
        <row r="9283">
          <cell r="C9283" t="str">
            <v>徐崇耀</v>
          </cell>
          <cell r="F9283" t="str">
            <v>M230901R1</v>
          </cell>
          <cell r="J9283">
            <v>45506</v>
          </cell>
          <cell r="K9283">
            <v>2.5</v>
          </cell>
        </row>
        <row r="9284">
          <cell r="C9284" t="str">
            <v>徐崇耀</v>
          </cell>
          <cell r="F9284" t="str">
            <v>M230602R1</v>
          </cell>
          <cell r="J9284">
            <v>45509</v>
          </cell>
          <cell r="K9284">
            <v>1</v>
          </cell>
        </row>
        <row r="9285">
          <cell r="C9285" t="str">
            <v>徐崇耀</v>
          </cell>
          <cell r="F9285" t="str">
            <v>M230901R1</v>
          </cell>
          <cell r="J9285">
            <v>45509</v>
          </cell>
          <cell r="K9285">
            <v>2</v>
          </cell>
        </row>
        <row r="9286">
          <cell r="C9286" t="str">
            <v>徐崇耀</v>
          </cell>
          <cell r="F9286" t="str">
            <v>M230901R1</v>
          </cell>
          <cell r="J9286">
            <v>45509</v>
          </cell>
          <cell r="K9286">
            <v>2.5</v>
          </cell>
        </row>
        <row r="9287">
          <cell r="C9287" t="str">
            <v>徐崇耀</v>
          </cell>
          <cell r="F9287" t="str">
            <v>M230602R1</v>
          </cell>
          <cell r="J9287">
            <v>45509</v>
          </cell>
          <cell r="K9287">
            <v>2.5</v>
          </cell>
        </row>
        <row r="9288">
          <cell r="C9288" t="str">
            <v>徐崇耀</v>
          </cell>
          <cell r="F9288" t="str">
            <v>K240701R1</v>
          </cell>
          <cell r="J9288">
            <v>45510</v>
          </cell>
          <cell r="K9288">
            <v>0.5</v>
          </cell>
        </row>
        <row r="9289">
          <cell r="C9289" t="str">
            <v>徐崇耀</v>
          </cell>
          <cell r="F9289" t="str">
            <v>M230602R1</v>
          </cell>
          <cell r="J9289">
            <v>45510</v>
          </cell>
          <cell r="K9289">
            <v>2</v>
          </cell>
        </row>
        <row r="9290">
          <cell r="C9290" t="str">
            <v>徐崇耀</v>
          </cell>
          <cell r="F9290" t="str">
            <v>M230602R1</v>
          </cell>
          <cell r="J9290">
            <v>45510</v>
          </cell>
          <cell r="K9290">
            <v>2.5</v>
          </cell>
        </row>
        <row r="9291">
          <cell r="C9291" t="str">
            <v>徐崇耀</v>
          </cell>
          <cell r="F9291" t="str">
            <v>M230901R1</v>
          </cell>
          <cell r="J9291">
            <v>45511</v>
          </cell>
          <cell r="K9291">
            <v>1</v>
          </cell>
        </row>
        <row r="9292">
          <cell r="C9292" t="str">
            <v>徐崇耀</v>
          </cell>
          <cell r="F9292" t="str">
            <v>M230602R1</v>
          </cell>
          <cell r="J9292">
            <v>45511</v>
          </cell>
          <cell r="K9292">
            <v>7</v>
          </cell>
        </row>
        <row r="9293">
          <cell r="C9293" t="str">
            <v>徐崇耀</v>
          </cell>
          <cell r="F9293" t="str">
            <v>M230602R1</v>
          </cell>
          <cell r="J9293">
            <v>45512</v>
          </cell>
          <cell r="K9293">
            <v>1</v>
          </cell>
        </row>
        <row r="9294">
          <cell r="C9294" t="str">
            <v>徐崇耀</v>
          </cell>
          <cell r="F9294" t="str">
            <v>M230901R1</v>
          </cell>
          <cell r="J9294">
            <v>45512</v>
          </cell>
          <cell r="K9294">
            <v>1</v>
          </cell>
        </row>
        <row r="9295">
          <cell r="C9295" t="str">
            <v>徐崇耀</v>
          </cell>
          <cell r="F9295" t="str">
            <v>M230602R1</v>
          </cell>
          <cell r="J9295">
            <v>45512</v>
          </cell>
          <cell r="K9295">
            <v>6</v>
          </cell>
        </row>
        <row r="9296">
          <cell r="C9296" t="str">
            <v>徐崇耀</v>
          </cell>
          <cell r="F9296" t="str">
            <v>M230602R1</v>
          </cell>
          <cell r="J9296">
            <v>45513</v>
          </cell>
          <cell r="K9296">
            <v>2</v>
          </cell>
        </row>
        <row r="9297">
          <cell r="C9297" t="str">
            <v>徐崇耀</v>
          </cell>
          <cell r="J9297">
            <v>45513</v>
          </cell>
          <cell r="K9297">
            <v>5</v>
          </cell>
        </row>
        <row r="9298">
          <cell r="C9298" t="str">
            <v>徐崇耀</v>
          </cell>
          <cell r="F9298" t="str">
            <v>M230901R1</v>
          </cell>
          <cell r="J9298">
            <v>45513</v>
          </cell>
          <cell r="K9298">
            <v>1</v>
          </cell>
        </row>
        <row r="9299">
          <cell r="C9299" t="str">
            <v>徐崇耀</v>
          </cell>
          <cell r="F9299" t="str">
            <v>K231101R1</v>
          </cell>
          <cell r="J9299">
            <v>45516</v>
          </cell>
          <cell r="K9299">
            <v>7</v>
          </cell>
        </row>
        <row r="9300">
          <cell r="C9300" t="str">
            <v>徐崇耀</v>
          </cell>
          <cell r="F9300" t="str">
            <v>M230602R1</v>
          </cell>
          <cell r="J9300">
            <v>45516</v>
          </cell>
          <cell r="K9300">
            <v>1</v>
          </cell>
        </row>
        <row r="9301">
          <cell r="C9301" t="str">
            <v>徐崇耀</v>
          </cell>
          <cell r="F9301" t="str">
            <v>K231101R1</v>
          </cell>
          <cell r="J9301">
            <v>45517</v>
          </cell>
          <cell r="K9301">
            <v>2</v>
          </cell>
        </row>
        <row r="9302">
          <cell r="C9302" t="str">
            <v>徐崇耀</v>
          </cell>
          <cell r="F9302" t="str">
            <v>M230602R1</v>
          </cell>
          <cell r="J9302">
            <v>45517</v>
          </cell>
          <cell r="K9302">
            <v>6</v>
          </cell>
        </row>
        <row r="9303">
          <cell r="C9303" t="str">
            <v>徐崇耀</v>
          </cell>
          <cell r="F9303" t="str">
            <v>M230901R1</v>
          </cell>
          <cell r="J9303">
            <v>45518</v>
          </cell>
          <cell r="K9303">
            <v>3.5</v>
          </cell>
        </row>
        <row r="9304">
          <cell r="C9304" t="str">
            <v>徐崇耀</v>
          </cell>
          <cell r="F9304" t="str">
            <v>M230602R1</v>
          </cell>
          <cell r="J9304">
            <v>45518</v>
          </cell>
          <cell r="K9304">
            <v>1</v>
          </cell>
        </row>
        <row r="9305">
          <cell r="C9305" t="str">
            <v>徐崇耀</v>
          </cell>
          <cell r="F9305" t="str">
            <v>K231101R1</v>
          </cell>
          <cell r="J9305">
            <v>45518</v>
          </cell>
          <cell r="K9305">
            <v>3.5</v>
          </cell>
        </row>
        <row r="9306">
          <cell r="C9306" t="str">
            <v>徐崇耀</v>
          </cell>
          <cell r="F9306" t="str">
            <v>K231101R1</v>
          </cell>
          <cell r="J9306">
            <v>45519</v>
          </cell>
          <cell r="K9306">
            <v>2</v>
          </cell>
        </row>
        <row r="9307">
          <cell r="C9307" t="str">
            <v>徐崇耀</v>
          </cell>
          <cell r="F9307" t="str">
            <v>M230602R1</v>
          </cell>
          <cell r="J9307">
            <v>45519</v>
          </cell>
          <cell r="K9307">
            <v>2</v>
          </cell>
        </row>
        <row r="9308">
          <cell r="C9308" t="str">
            <v>徐崇耀</v>
          </cell>
          <cell r="F9308" t="str">
            <v>M230602R1</v>
          </cell>
          <cell r="J9308">
            <v>45519</v>
          </cell>
          <cell r="K9308">
            <v>4</v>
          </cell>
        </row>
        <row r="9309">
          <cell r="C9309" t="str">
            <v>徐崇耀</v>
          </cell>
          <cell r="F9309" t="str">
            <v>M230901R1</v>
          </cell>
          <cell r="J9309">
            <v>45520</v>
          </cell>
          <cell r="K9309">
            <v>4</v>
          </cell>
        </row>
        <row r="9310">
          <cell r="C9310" t="str">
            <v>徐崇耀</v>
          </cell>
          <cell r="F9310" t="str">
            <v>M230602R1</v>
          </cell>
          <cell r="J9310">
            <v>45520</v>
          </cell>
          <cell r="K9310">
            <v>4</v>
          </cell>
        </row>
        <row r="9311">
          <cell r="C9311" t="str">
            <v>徐崇耀</v>
          </cell>
          <cell r="F9311" t="str">
            <v>K240701R1</v>
          </cell>
          <cell r="J9311">
            <v>45523</v>
          </cell>
          <cell r="K9311">
            <v>1.5</v>
          </cell>
        </row>
        <row r="9312">
          <cell r="C9312" t="str">
            <v>徐崇耀</v>
          </cell>
          <cell r="F9312" t="str">
            <v>M230602R1</v>
          </cell>
          <cell r="J9312">
            <v>45523</v>
          </cell>
          <cell r="K9312">
            <v>1</v>
          </cell>
        </row>
        <row r="9313">
          <cell r="C9313" t="str">
            <v>徐崇耀</v>
          </cell>
          <cell r="F9313" t="str">
            <v>M230602R1</v>
          </cell>
          <cell r="J9313">
            <v>45523</v>
          </cell>
          <cell r="K9313">
            <v>2</v>
          </cell>
        </row>
        <row r="9314">
          <cell r="C9314" t="str">
            <v>徐崇耀</v>
          </cell>
          <cell r="F9314" t="str">
            <v>M230602R1</v>
          </cell>
          <cell r="J9314">
            <v>45523</v>
          </cell>
          <cell r="K9314">
            <v>1</v>
          </cell>
        </row>
        <row r="9315">
          <cell r="C9315" t="str">
            <v>徐崇耀</v>
          </cell>
          <cell r="J9315">
            <v>45523</v>
          </cell>
          <cell r="K9315">
            <v>1.5</v>
          </cell>
        </row>
        <row r="9316">
          <cell r="C9316" t="str">
            <v>徐崇耀</v>
          </cell>
          <cell r="F9316" t="str">
            <v>K231101R1</v>
          </cell>
          <cell r="J9316">
            <v>45523</v>
          </cell>
          <cell r="K9316">
            <v>1.5</v>
          </cell>
        </row>
        <row r="9317">
          <cell r="C9317" t="str">
            <v>徐崇耀</v>
          </cell>
          <cell r="J9317">
            <v>45524</v>
          </cell>
          <cell r="K9317">
            <v>8</v>
          </cell>
        </row>
        <row r="9318">
          <cell r="C9318" t="str">
            <v>徐崇耀</v>
          </cell>
          <cell r="J9318">
            <v>45525</v>
          </cell>
          <cell r="K9318">
            <v>8</v>
          </cell>
        </row>
        <row r="9319">
          <cell r="C9319" t="str">
            <v>徐崇耀</v>
          </cell>
          <cell r="J9319">
            <v>45526</v>
          </cell>
          <cell r="K9319">
            <v>1.5</v>
          </cell>
        </row>
        <row r="9320">
          <cell r="C9320" t="str">
            <v>徐崇耀</v>
          </cell>
          <cell r="F9320" t="str">
            <v>K231101R1</v>
          </cell>
          <cell r="J9320">
            <v>45526</v>
          </cell>
          <cell r="K9320">
            <v>1</v>
          </cell>
        </row>
        <row r="9321">
          <cell r="C9321" t="str">
            <v>徐崇耀</v>
          </cell>
          <cell r="F9321" t="str">
            <v>M230602R1</v>
          </cell>
          <cell r="J9321">
            <v>45526</v>
          </cell>
          <cell r="K9321">
            <v>3</v>
          </cell>
        </row>
        <row r="9322">
          <cell r="C9322" t="str">
            <v>徐崇耀</v>
          </cell>
          <cell r="F9322" t="str">
            <v>K240701R1</v>
          </cell>
          <cell r="J9322">
            <v>45526</v>
          </cell>
          <cell r="K9322">
            <v>2</v>
          </cell>
        </row>
        <row r="9323">
          <cell r="C9323" t="str">
            <v>徐崇耀</v>
          </cell>
          <cell r="F9323" t="str">
            <v>M230602R1</v>
          </cell>
          <cell r="J9323">
            <v>45526</v>
          </cell>
          <cell r="K9323">
            <v>1</v>
          </cell>
        </row>
        <row r="9324">
          <cell r="C9324" t="str">
            <v>徐崇耀</v>
          </cell>
          <cell r="F9324" t="str">
            <v>K240701R1</v>
          </cell>
          <cell r="J9324">
            <v>45527</v>
          </cell>
          <cell r="K9324">
            <v>3</v>
          </cell>
        </row>
        <row r="9325">
          <cell r="C9325" t="str">
            <v>徐崇耀</v>
          </cell>
          <cell r="F9325" t="str">
            <v>M230602R1</v>
          </cell>
          <cell r="J9325">
            <v>45527</v>
          </cell>
          <cell r="K9325">
            <v>3</v>
          </cell>
        </row>
        <row r="9326">
          <cell r="C9326" t="str">
            <v>徐崇耀</v>
          </cell>
          <cell r="F9326" t="str">
            <v>M230602R1</v>
          </cell>
          <cell r="J9326">
            <v>45527</v>
          </cell>
          <cell r="K9326">
            <v>1</v>
          </cell>
        </row>
        <row r="9327">
          <cell r="C9327" t="str">
            <v>徐崇耀</v>
          </cell>
          <cell r="F9327" t="str">
            <v>K231101R1</v>
          </cell>
          <cell r="J9327">
            <v>45527</v>
          </cell>
          <cell r="K9327">
            <v>1</v>
          </cell>
        </row>
        <row r="9328">
          <cell r="C9328" t="str">
            <v>徐崇耀</v>
          </cell>
          <cell r="F9328" t="str">
            <v>K240701R1</v>
          </cell>
          <cell r="J9328">
            <v>45530</v>
          </cell>
          <cell r="K9328">
            <v>4</v>
          </cell>
        </row>
        <row r="9329">
          <cell r="C9329" t="str">
            <v>徐崇耀</v>
          </cell>
          <cell r="F9329" t="str">
            <v>K231101R1</v>
          </cell>
          <cell r="J9329">
            <v>45530</v>
          </cell>
          <cell r="K9329">
            <v>0.5</v>
          </cell>
        </row>
        <row r="9330">
          <cell r="C9330" t="str">
            <v>徐崇耀</v>
          </cell>
          <cell r="F9330" t="str">
            <v>M230602R1</v>
          </cell>
          <cell r="J9330">
            <v>45530</v>
          </cell>
          <cell r="K9330">
            <v>2.5</v>
          </cell>
        </row>
        <row r="9331">
          <cell r="C9331" t="str">
            <v>徐崇耀</v>
          </cell>
          <cell r="F9331" t="str">
            <v>M230602R1</v>
          </cell>
          <cell r="J9331">
            <v>45530</v>
          </cell>
          <cell r="K9331">
            <v>1</v>
          </cell>
        </row>
        <row r="9332">
          <cell r="C9332" t="str">
            <v>徐崇耀</v>
          </cell>
          <cell r="F9332" t="str">
            <v>K231101R1</v>
          </cell>
          <cell r="J9332">
            <v>45531</v>
          </cell>
          <cell r="K9332">
            <v>3</v>
          </cell>
        </row>
        <row r="9333">
          <cell r="C9333" t="str">
            <v>徐崇耀</v>
          </cell>
          <cell r="F9333" t="str">
            <v>M230602R1</v>
          </cell>
          <cell r="J9333">
            <v>45531</v>
          </cell>
          <cell r="K9333">
            <v>5</v>
          </cell>
        </row>
        <row r="9334">
          <cell r="C9334" t="str">
            <v>徐崇耀</v>
          </cell>
          <cell r="F9334" t="str">
            <v>M230602R1</v>
          </cell>
          <cell r="J9334">
            <v>45532</v>
          </cell>
          <cell r="K9334">
            <v>5</v>
          </cell>
        </row>
        <row r="9335">
          <cell r="C9335" t="str">
            <v>徐崇耀</v>
          </cell>
          <cell r="F9335" t="str">
            <v>K231101R1</v>
          </cell>
          <cell r="J9335">
            <v>45532</v>
          </cell>
          <cell r="K9335">
            <v>2</v>
          </cell>
        </row>
        <row r="9336">
          <cell r="C9336" t="str">
            <v>徐崇耀</v>
          </cell>
          <cell r="J9336">
            <v>45532</v>
          </cell>
          <cell r="K9336">
            <v>2</v>
          </cell>
        </row>
        <row r="9337">
          <cell r="C9337" t="str">
            <v>許博元</v>
          </cell>
          <cell r="J9337">
            <v>45754</v>
          </cell>
          <cell r="K9337">
            <v>8</v>
          </cell>
        </row>
        <row r="9338">
          <cell r="C9338" t="str">
            <v>許博元</v>
          </cell>
          <cell r="J9338">
            <v>45755</v>
          </cell>
          <cell r="K9338">
            <v>8</v>
          </cell>
        </row>
        <row r="9339">
          <cell r="C9339" t="str">
            <v>許博元</v>
          </cell>
          <cell r="J9339">
            <v>45756</v>
          </cell>
          <cell r="K9339">
            <v>8</v>
          </cell>
        </row>
        <row r="9340">
          <cell r="C9340" t="str">
            <v>許博元</v>
          </cell>
          <cell r="J9340">
            <v>45757</v>
          </cell>
          <cell r="K9340">
            <v>8</v>
          </cell>
        </row>
        <row r="9341">
          <cell r="C9341" t="str">
            <v>許博元</v>
          </cell>
          <cell r="J9341">
            <v>45758</v>
          </cell>
          <cell r="K9341">
            <v>8</v>
          </cell>
        </row>
        <row r="9342">
          <cell r="C9342" t="str">
            <v>許博元</v>
          </cell>
          <cell r="J9342">
            <v>45761</v>
          </cell>
          <cell r="K9342">
            <v>8</v>
          </cell>
        </row>
        <row r="9343">
          <cell r="C9343" t="str">
            <v>許博元</v>
          </cell>
          <cell r="J9343">
            <v>45762</v>
          </cell>
          <cell r="K9343">
            <v>8</v>
          </cell>
        </row>
        <row r="9344">
          <cell r="C9344" t="str">
            <v>許博元</v>
          </cell>
          <cell r="J9344">
            <v>45763</v>
          </cell>
          <cell r="K9344">
            <v>8</v>
          </cell>
        </row>
        <row r="9345">
          <cell r="C9345" t="str">
            <v>許博元</v>
          </cell>
          <cell r="J9345">
            <v>45764</v>
          </cell>
          <cell r="K9345">
            <v>8</v>
          </cell>
        </row>
        <row r="9346">
          <cell r="C9346" t="str">
            <v>許博元</v>
          </cell>
          <cell r="J9346">
            <v>45765</v>
          </cell>
          <cell r="K9346">
            <v>8</v>
          </cell>
        </row>
        <row r="9347">
          <cell r="C9347" t="str">
            <v>許博元</v>
          </cell>
          <cell r="J9347">
            <v>45768</v>
          </cell>
          <cell r="K9347">
            <v>8</v>
          </cell>
        </row>
        <row r="9348">
          <cell r="C9348" t="str">
            <v>許博元</v>
          </cell>
          <cell r="J9348">
            <v>45769</v>
          </cell>
          <cell r="K9348">
            <v>8</v>
          </cell>
        </row>
        <row r="9349">
          <cell r="C9349" t="str">
            <v>許博元</v>
          </cell>
          <cell r="J9349">
            <v>45770</v>
          </cell>
          <cell r="K9349">
            <v>8</v>
          </cell>
        </row>
        <row r="9350">
          <cell r="C9350" t="str">
            <v>許博元</v>
          </cell>
          <cell r="J9350">
            <v>45771</v>
          </cell>
          <cell r="K9350">
            <v>8</v>
          </cell>
        </row>
        <row r="9351">
          <cell r="C9351" t="str">
            <v>許博元</v>
          </cell>
          <cell r="J9351">
            <v>45772</v>
          </cell>
          <cell r="K9351">
            <v>8</v>
          </cell>
        </row>
        <row r="9352">
          <cell r="C9352" t="str">
            <v>許博元</v>
          </cell>
          <cell r="J9352">
            <v>45775</v>
          </cell>
          <cell r="K9352">
            <v>8</v>
          </cell>
        </row>
        <row r="9353">
          <cell r="C9353" t="str">
            <v>許博元</v>
          </cell>
          <cell r="J9353">
            <v>45776</v>
          </cell>
          <cell r="K9353">
            <v>8</v>
          </cell>
        </row>
        <row r="9354">
          <cell r="C9354" t="str">
            <v>許博元</v>
          </cell>
          <cell r="J9354">
            <v>45777</v>
          </cell>
          <cell r="K9354">
            <v>8</v>
          </cell>
        </row>
        <row r="9355">
          <cell r="C9355" t="str">
            <v>許博元</v>
          </cell>
          <cell r="J9355">
            <v>45779</v>
          </cell>
          <cell r="K9355">
            <v>8</v>
          </cell>
        </row>
        <row r="9356">
          <cell r="C9356" t="str">
            <v>許博元</v>
          </cell>
          <cell r="F9356" t="str">
            <v>M250301R1</v>
          </cell>
          <cell r="J9356">
            <v>45782</v>
          </cell>
          <cell r="K9356">
            <v>8</v>
          </cell>
        </row>
        <row r="9357">
          <cell r="C9357" t="str">
            <v>許博元</v>
          </cell>
          <cell r="J9357">
            <v>45783</v>
          </cell>
          <cell r="K9357">
            <v>8</v>
          </cell>
        </row>
        <row r="9358">
          <cell r="C9358" t="str">
            <v>許博元</v>
          </cell>
          <cell r="J9358">
            <v>45784</v>
          </cell>
          <cell r="K9358">
            <v>8</v>
          </cell>
        </row>
        <row r="9359">
          <cell r="C9359" t="str">
            <v>許博元</v>
          </cell>
          <cell r="F9359" t="str">
            <v>M250301R1</v>
          </cell>
          <cell r="J9359">
            <v>45785</v>
          </cell>
          <cell r="K9359">
            <v>8</v>
          </cell>
        </row>
        <row r="9360">
          <cell r="C9360" t="str">
            <v>許博元</v>
          </cell>
          <cell r="F9360" t="str">
            <v>M250301R1</v>
          </cell>
          <cell r="J9360">
            <v>45786</v>
          </cell>
          <cell r="K9360">
            <v>8</v>
          </cell>
        </row>
        <row r="9361">
          <cell r="C9361" t="str">
            <v>許博元</v>
          </cell>
          <cell r="J9361">
            <v>45789</v>
          </cell>
          <cell r="K9361">
            <v>8</v>
          </cell>
        </row>
        <row r="9362">
          <cell r="C9362" t="str">
            <v>許博元</v>
          </cell>
          <cell r="J9362">
            <v>45790</v>
          </cell>
          <cell r="K9362">
            <v>8</v>
          </cell>
        </row>
        <row r="9363">
          <cell r="C9363" t="str">
            <v>許博元</v>
          </cell>
          <cell r="J9363">
            <v>45791</v>
          </cell>
          <cell r="K9363">
            <v>8</v>
          </cell>
        </row>
        <row r="9364">
          <cell r="C9364" t="str">
            <v>許博元</v>
          </cell>
          <cell r="J9364">
            <v>45792</v>
          </cell>
          <cell r="K9364">
            <v>8</v>
          </cell>
        </row>
        <row r="9365">
          <cell r="C9365" t="str">
            <v>許博元</v>
          </cell>
          <cell r="F9365" t="str">
            <v>M250301R1</v>
          </cell>
          <cell r="J9365">
            <v>45793</v>
          </cell>
          <cell r="K9365">
            <v>8</v>
          </cell>
        </row>
        <row r="9366">
          <cell r="C9366" t="str">
            <v>許博元</v>
          </cell>
          <cell r="J9366">
            <v>45796</v>
          </cell>
          <cell r="K9366">
            <v>8</v>
          </cell>
        </row>
        <row r="9367">
          <cell r="C9367" t="str">
            <v>許博元</v>
          </cell>
          <cell r="F9367" t="str">
            <v>M250301R1</v>
          </cell>
          <cell r="J9367">
            <v>45797</v>
          </cell>
          <cell r="K9367">
            <v>8</v>
          </cell>
        </row>
        <row r="9368">
          <cell r="C9368" t="str">
            <v>許博元</v>
          </cell>
          <cell r="F9368" t="str">
            <v>M250301R1</v>
          </cell>
          <cell r="J9368">
            <v>45798</v>
          </cell>
          <cell r="K9368">
            <v>8</v>
          </cell>
        </row>
        <row r="9369">
          <cell r="C9369" t="str">
            <v>許博元</v>
          </cell>
          <cell r="F9369" t="str">
            <v>M250301R1</v>
          </cell>
          <cell r="J9369">
            <v>45799</v>
          </cell>
          <cell r="K9369">
            <v>8</v>
          </cell>
        </row>
        <row r="9370">
          <cell r="C9370" t="str">
            <v>許博元</v>
          </cell>
          <cell r="F9370" t="str">
            <v>M250301R1</v>
          </cell>
          <cell r="J9370">
            <v>45800</v>
          </cell>
          <cell r="K9370">
            <v>8</v>
          </cell>
        </row>
        <row r="9371">
          <cell r="C9371" t="str">
            <v>許博元</v>
          </cell>
          <cell r="J9371">
            <v>45803</v>
          </cell>
          <cell r="K9371">
            <v>8</v>
          </cell>
        </row>
        <row r="9372">
          <cell r="C9372" t="str">
            <v>許博元</v>
          </cell>
          <cell r="J9372">
            <v>45804</v>
          </cell>
          <cell r="K9372">
            <v>8</v>
          </cell>
        </row>
        <row r="9373">
          <cell r="C9373" t="str">
            <v>許博元</v>
          </cell>
          <cell r="J9373">
            <v>45805</v>
          </cell>
          <cell r="K9373">
            <v>8</v>
          </cell>
        </row>
        <row r="9374">
          <cell r="C9374" t="str">
            <v>許博元</v>
          </cell>
          <cell r="J9374">
            <v>45806</v>
          </cell>
          <cell r="K9374">
            <v>9.5</v>
          </cell>
        </row>
        <row r="9375">
          <cell r="C9375" t="str">
            <v>許博元</v>
          </cell>
          <cell r="J9375">
            <v>45810</v>
          </cell>
          <cell r="K9375">
            <v>8</v>
          </cell>
        </row>
        <row r="9376">
          <cell r="C9376" t="str">
            <v>許博元</v>
          </cell>
          <cell r="F9376" t="str">
            <v>M250301R1</v>
          </cell>
          <cell r="J9376">
            <v>45811</v>
          </cell>
          <cell r="K9376">
            <v>8</v>
          </cell>
        </row>
        <row r="9377">
          <cell r="C9377" t="str">
            <v>許博元</v>
          </cell>
          <cell r="F9377" t="str">
            <v>M250301R1</v>
          </cell>
          <cell r="J9377">
            <v>45812</v>
          </cell>
          <cell r="K9377">
            <v>8</v>
          </cell>
        </row>
        <row r="9378">
          <cell r="C9378" t="str">
            <v>許博元</v>
          </cell>
          <cell r="F9378" t="str">
            <v>K240101R1</v>
          </cell>
          <cell r="J9378">
            <v>45813</v>
          </cell>
          <cell r="K9378">
            <v>8</v>
          </cell>
        </row>
        <row r="9379">
          <cell r="C9379" t="str">
            <v>許博元</v>
          </cell>
          <cell r="F9379" t="str">
            <v>K240101R1</v>
          </cell>
          <cell r="J9379">
            <v>45814</v>
          </cell>
          <cell r="K9379">
            <v>8</v>
          </cell>
        </row>
        <row r="9380">
          <cell r="C9380" t="str">
            <v>許博元</v>
          </cell>
          <cell r="F9380" t="str">
            <v>M250301R1</v>
          </cell>
          <cell r="J9380">
            <v>45817</v>
          </cell>
          <cell r="K9380">
            <v>8</v>
          </cell>
        </row>
        <row r="9381">
          <cell r="C9381" t="str">
            <v>許博元</v>
          </cell>
          <cell r="F9381" t="str">
            <v>M250301R1</v>
          </cell>
          <cell r="J9381">
            <v>45818</v>
          </cell>
          <cell r="K9381">
            <v>8</v>
          </cell>
        </row>
        <row r="9382">
          <cell r="C9382" t="str">
            <v>許博元</v>
          </cell>
          <cell r="F9382" t="str">
            <v>M240704R1</v>
          </cell>
          <cell r="J9382">
            <v>45819</v>
          </cell>
          <cell r="K9382">
            <v>8</v>
          </cell>
        </row>
        <row r="9383">
          <cell r="C9383" t="str">
            <v>許博元</v>
          </cell>
          <cell r="F9383" t="str">
            <v>M240704R1</v>
          </cell>
          <cell r="J9383">
            <v>45820</v>
          </cell>
          <cell r="K9383">
            <v>8</v>
          </cell>
        </row>
        <row r="9384">
          <cell r="C9384" t="str">
            <v>許博元</v>
          </cell>
          <cell r="F9384" t="str">
            <v>M240704R1</v>
          </cell>
          <cell r="J9384">
            <v>45821</v>
          </cell>
          <cell r="K9384">
            <v>8</v>
          </cell>
        </row>
        <row r="9385">
          <cell r="C9385" t="str">
            <v>許博元</v>
          </cell>
          <cell r="F9385" t="str">
            <v>M240704R1</v>
          </cell>
          <cell r="J9385">
            <v>45824</v>
          </cell>
          <cell r="K9385">
            <v>8</v>
          </cell>
        </row>
        <row r="9386">
          <cell r="C9386" t="str">
            <v>許博元</v>
          </cell>
          <cell r="F9386" t="str">
            <v>M250301R1</v>
          </cell>
          <cell r="J9386">
            <v>45825</v>
          </cell>
          <cell r="K9386">
            <v>8</v>
          </cell>
        </row>
        <row r="9387">
          <cell r="C9387" t="str">
            <v>許博元</v>
          </cell>
          <cell r="J9387">
            <v>45826</v>
          </cell>
          <cell r="K9387">
            <v>8</v>
          </cell>
        </row>
        <row r="9388">
          <cell r="C9388" t="str">
            <v>許博元</v>
          </cell>
          <cell r="J9388">
            <v>45827</v>
          </cell>
          <cell r="K9388">
            <v>8</v>
          </cell>
        </row>
        <row r="9389">
          <cell r="C9389" t="str">
            <v>許博元</v>
          </cell>
          <cell r="J9389">
            <v>45828</v>
          </cell>
          <cell r="K9389">
            <v>8</v>
          </cell>
        </row>
        <row r="9390">
          <cell r="C9390" t="str">
            <v>許博元</v>
          </cell>
          <cell r="J9390">
            <v>45831</v>
          </cell>
          <cell r="K9390">
            <v>8</v>
          </cell>
        </row>
        <row r="9391">
          <cell r="C9391" t="str">
            <v>許博元</v>
          </cell>
          <cell r="J9391">
            <v>45832</v>
          </cell>
          <cell r="K9391">
            <v>8</v>
          </cell>
        </row>
        <row r="9392">
          <cell r="C9392" t="str">
            <v>許博元</v>
          </cell>
          <cell r="J9392">
            <v>45833</v>
          </cell>
          <cell r="K9392">
            <v>8</v>
          </cell>
        </row>
        <row r="9393">
          <cell r="C9393" t="str">
            <v>許博元</v>
          </cell>
          <cell r="J9393">
            <v>45834</v>
          </cell>
          <cell r="K9393">
            <v>8</v>
          </cell>
        </row>
        <row r="9394">
          <cell r="C9394" t="str">
            <v>許博元</v>
          </cell>
          <cell r="J9394">
            <v>45835</v>
          </cell>
          <cell r="K9394">
            <v>8</v>
          </cell>
        </row>
        <row r="9395">
          <cell r="C9395" t="str">
            <v>許博元</v>
          </cell>
          <cell r="J9395">
            <v>45838</v>
          </cell>
          <cell r="K9395">
            <v>8</v>
          </cell>
        </row>
        <row r="9396">
          <cell r="C9396" t="str">
            <v>許博元</v>
          </cell>
          <cell r="J9396">
            <v>45839</v>
          </cell>
          <cell r="K9396">
            <v>8</v>
          </cell>
        </row>
        <row r="9397">
          <cell r="C9397" t="str">
            <v>許博元</v>
          </cell>
          <cell r="F9397" t="str">
            <v>M240704R1</v>
          </cell>
          <cell r="J9397">
            <v>45840</v>
          </cell>
          <cell r="K9397">
            <v>9</v>
          </cell>
        </row>
        <row r="9398">
          <cell r="C9398" t="str">
            <v>許博元</v>
          </cell>
          <cell r="F9398" t="str">
            <v>M240704R1</v>
          </cell>
          <cell r="J9398">
            <v>45841</v>
          </cell>
          <cell r="K9398">
            <v>9.5</v>
          </cell>
        </row>
        <row r="9399">
          <cell r="C9399" t="str">
            <v>許博元</v>
          </cell>
          <cell r="F9399" t="str">
            <v>M250301R1</v>
          </cell>
          <cell r="J9399">
            <v>45842</v>
          </cell>
          <cell r="K9399">
            <v>8</v>
          </cell>
        </row>
        <row r="9400">
          <cell r="C9400" t="str">
            <v>許博元</v>
          </cell>
          <cell r="F9400" t="str">
            <v>M250301R1</v>
          </cell>
          <cell r="J9400">
            <v>45845</v>
          </cell>
          <cell r="K9400">
            <v>8</v>
          </cell>
        </row>
        <row r="9401">
          <cell r="C9401" t="str">
            <v>許博元</v>
          </cell>
          <cell r="F9401" t="str">
            <v>M250301R1</v>
          </cell>
          <cell r="J9401">
            <v>45846</v>
          </cell>
          <cell r="K9401">
            <v>8</v>
          </cell>
        </row>
        <row r="9402">
          <cell r="C9402" t="str">
            <v>許博元</v>
          </cell>
          <cell r="F9402" t="str">
            <v>M250301R1</v>
          </cell>
          <cell r="J9402">
            <v>45847</v>
          </cell>
          <cell r="K9402">
            <v>8</v>
          </cell>
        </row>
        <row r="9403">
          <cell r="C9403" t="str">
            <v>許博元</v>
          </cell>
          <cell r="F9403" t="str">
            <v>M240704R1</v>
          </cell>
          <cell r="J9403">
            <v>45848</v>
          </cell>
          <cell r="K9403">
            <v>8</v>
          </cell>
        </row>
        <row r="9404">
          <cell r="C9404" t="str">
            <v>許博元</v>
          </cell>
          <cell r="F9404" t="str">
            <v>M240704R1</v>
          </cell>
          <cell r="J9404">
            <v>45849</v>
          </cell>
          <cell r="K9404">
            <v>6.5</v>
          </cell>
        </row>
        <row r="9405">
          <cell r="C9405" t="str">
            <v>許博元</v>
          </cell>
          <cell r="J9405">
            <v>45852</v>
          </cell>
          <cell r="K9405">
            <v>9</v>
          </cell>
        </row>
        <row r="9406">
          <cell r="C9406" t="str">
            <v>許博元</v>
          </cell>
          <cell r="J9406">
            <v>45853</v>
          </cell>
          <cell r="K9406">
            <v>8</v>
          </cell>
        </row>
        <row r="9407">
          <cell r="C9407" t="str">
            <v>許博元</v>
          </cell>
          <cell r="F9407" t="str">
            <v>M240704R1</v>
          </cell>
          <cell r="J9407">
            <v>45854</v>
          </cell>
          <cell r="K9407">
            <v>8</v>
          </cell>
        </row>
        <row r="9408">
          <cell r="C9408" t="str">
            <v>許博元</v>
          </cell>
          <cell r="F9408" t="str">
            <v>M240704R1</v>
          </cell>
          <cell r="J9408">
            <v>45855</v>
          </cell>
          <cell r="K9408">
            <v>8</v>
          </cell>
        </row>
        <row r="9409">
          <cell r="C9409" t="str">
            <v>許博元</v>
          </cell>
          <cell r="J9409">
            <v>45856</v>
          </cell>
          <cell r="K9409">
            <v>8</v>
          </cell>
        </row>
        <row r="9410">
          <cell r="C9410" t="str">
            <v>許博元</v>
          </cell>
          <cell r="J9410">
            <v>45859</v>
          </cell>
          <cell r="K9410">
            <v>8</v>
          </cell>
        </row>
        <row r="9411">
          <cell r="C9411" t="str">
            <v>許博元</v>
          </cell>
          <cell r="F9411" t="str">
            <v>M240704R1</v>
          </cell>
          <cell r="J9411">
            <v>45860</v>
          </cell>
          <cell r="K9411">
            <v>9.5</v>
          </cell>
        </row>
        <row r="9412">
          <cell r="C9412" t="str">
            <v>許博元</v>
          </cell>
          <cell r="J9412">
            <v>45861</v>
          </cell>
          <cell r="K9412">
            <v>8</v>
          </cell>
        </row>
        <row r="9413">
          <cell r="C9413" t="str">
            <v>許博元</v>
          </cell>
          <cell r="J9413">
            <v>45862</v>
          </cell>
          <cell r="K9413">
            <v>9</v>
          </cell>
        </row>
        <row r="9414">
          <cell r="C9414" t="str">
            <v>許博元</v>
          </cell>
          <cell r="J9414">
            <v>45863</v>
          </cell>
          <cell r="K9414">
            <v>8</v>
          </cell>
        </row>
        <row r="9415">
          <cell r="C9415" t="str">
            <v>許博元</v>
          </cell>
          <cell r="J9415">
            <v>45866</v>
          </cell>
          <cell r="K9415">
            <v>8</v>
          </cell>
        </row>
        <row r="9416">
          <cell r="C9416" t="str">
            <v>許博元</v>
          </cell>
          <cell r="J9416">
            <v>45867</v>
          </cell>
          <cell r="K9416">
            <v>8</v>
          </cell>
        </row>
        <row r="9417">
          <cell r="C9417" t="str">
            <v>許博元</v>
          </cell>
          <cell r="J9417">
            <v>45868</v>
          </cell>
          <cell r="K9417">
            <v>8</v>
          </cell>
        </row>
        <row r="9418">
          <cell r="C9418" t="str">
            <v>許博元</v>
          </cell>
          <cell r="J9418">
            <v>45870</v>
          </cell>
          <cell r="K9418">
            <v>8</v>
          </cell>
        </row>
        <row r="9419">
          <cell r="C9419" t="str">
            <v>許博元</v>
          </cell>
          <cell r="J9419">
            <v>45873</v>
          </cell>
          <cell r="K9419">
            <v>4</v>
          </cell>
        </row>
        <row r="9420">
          <cell r="C9420" t="str">
            <v>許博元</v>
          </cell>
          <cell r="J9420">
            <v>45874</v>
          </cell>
          <cell r="K9420">
            <v>8</v>
          </cell>
        </row>
        <row r="9421">
          <cell r="C9421" t="str">
            <v>許博元</v>
          </cell>
          <cell r="J9421">
            <v>45875</v>
          </cell>
          <cell r="K9421">
            <v>8</v>
          </cell>
        </row>
        <row r="9422">
          <cell r="C9422" t="str">
            <v>許博元</v>
          </cell>
          <cell r="J9422">
            <v>45876</v>
          </cell>
          <cell r="K9422">
            <v>8</v>
          </cell>
        </row>
        <row r="9423">
          <cell r="C9423" t="str">
            <v>許博元</v>
          </cell>
          <cell r="J9423">
            <v>45877</v>
          </cell>
          <cell r="K9423">
            <v>8</v>
          </cell>
        </row>
        <row r="9424">
          <cell r="C9424" t="str">
            <v>許博元</v>
          </cell>
          <cell r="J9424">
            <v>45880</v>
          </cell>
          <cell r="K9424">
            <v>9</v>
          </cell>
        </row>
        <row r="9425">
          <cell r="C9425" t="str">
            <v>許博元</v>
          </cell>
          <cell r="J9425">
            <v>45881</v>
          </cell>
          <cell r="K9425">
            <v>9.5</v>
          </cell>
        </row>
        <row r="9426">
          <cell r="C9426" t="str">
            <v>許博元</v>
          </cell>
          <cell r="J9426">
            <v>45882</v>
          </cell>
          <cell r="K9426">
            <v>8</v>
          </cell>
        </row>
        <row r="9427">
          <cell r="C9427" t="str">
            <v>許博元</v>
          </cell>
          <cell r="J9427">
            <v>45883</v>
          </cell>
          <cell r="K9427">
            <v>9.5</v>
          </cell>
        </row>
        <row r="9428">
          <cell r="C9428" t="str">
            <v>許博元</v>
          </cell>
          <cell r="J9428">
            <v>45884</v>
          </cell>
          <cell r="K9428">
            <v>8</v>
          </cell>
        </row>
        <row r="9429">
          <cell r="C9429" t="str">
            <v>許博元</v>
          </cell>
          <cell r="J9429">
            <v>45887</v>
          </cell>
          <cell r="K9429">
            <v>8</v>
          </cell>
        </row>
        <row r="9430">
          <cell r="C9430" t="str">
            <v>許博元</v>
          </cell>
          <cell r="J9430">
            <v>45888</v>
          </cell>
          <cell r="K9430">
            <v>8</v>
          </cell>
        </row>
        <row r="9431">
          <cell r="C9431" t="str">
            <v>許博元</v>
          </cell>
          <cell r="J9431">
            <v>45889</v>
          </cell>
          <cell r="K9431">
            <v>8</v>
          </cell>
        </row>
        <row r="9432">
          <cell r="C9432" t="str">
            <v>許博元</v>
          </cell>
          <cell r="J9432">
            <v>45890</v>
          </cell>
          <cell r="K9432">
            <v>8</v>
          </cell>
        </row>
        <row r="9433">
          <cell r="C9433" t="str">
            <v>許博元</v>
          </cell>
          <cell r="J9433">
            <v>45891</v>
          </cell>
          <cell r="K9433">
            <v>8</v>
          </cell>
        </row>
        <row r="9434">
          <cell r="C9434" t="str">
            <v>許博元</v>
          </cell>
          <cell r="J9434">
            <v>45894</v>
          </cell>
          <cell r="K9434">
            <v>9</v>
          </cell>
        </row>
        <row r="9435">
          <cell r="C9435" t="str">
            <v>許博元</v>
          </cell>
          <cell r="J9435">
            <v>45895</v>
          </cell>
          <cell r="K9435">
            <v>8</v>
          </cell>
        </row>
        <row r="9436">
          <cell r="C9436" t="str">
            <v>許博元</v>
          </cell>
          <cell r="J9436">
            <v>45896</v>
          </cell>
          <cell r="K9436">
            <v>10</v>
          </cell>
        </row>
        <row r="9437">
          <cell r="C9437" t="str">
            <v>許博元</v>
          </cell>
          <cell r="J9437">
            <v>45897</v>
          </cell>
          <cell r="K9437">
            <v>8</v>
          </cell>
        </row>
        <row r="9438">
          <cell r="C9438" t="str">
            <v>許博元</v>
          </cell>
          <cell r="J9438">
            <v>45898</v>
          </cell>
          <cell r="K9438">
            <v>8</v>
          </cell>
        </row>
        <row r="9439">
          <cell r="C9439" t="str">
            <v>許博元</v>
          </cell>
          <cell r="F9439" t="str">
            <v>M250301R1</v>
          </cell>
          <cell r="J9439">
            <v>45901</v>
          </cell>
          <cell r="K9439">
            <v>8</v>
          </cell>
        </row>
        <row r="9440">
          <cell r="C9440" t="str">
            <v>許博元</v>
          </cell>
          <cell r="F9440" t="str">
            <v>M240704R1</v>
          </cell>
          <cell r="J9440">
            <v>45902</v>
          </cell>
          <cell r="K9440">
            <v>8</v>
          </cell>
        </row>
        <row r="9441">
          <cell r="C9441" t="str">
            <v>許博元</v>
          </cell>
          <cell r="J9441">
            <v>45903</v>
          </cell>
          <cell r="K9441">
            <v>8</v>
          </cell>
        </row>
        <row r="9442">
          <cell r="C9442" t="str">
            <v>許博元</v>
          </cell>
          <cell r="J9442">
            <v>45904</v>
          </cell>
          <cell r="K9442">
            <v>8</v>
          </cell>
        </row>
        <row r="9443">
          <cell r="C9443" t="str">
            <v>許博元</v>
          </cell>
          <cell r="F9443" t="str">
            <v>M250301R1</v>
          </cell>
          <cell r="J9443">
            <v>45905</v>
          </cell>
          <cell r="K9443">
            <v>8</v>
          </cell>
        </row>
        <row r="9444">
          <cell r="C9444" t="str">
            <v>許博元</v>
          </cell>
          <cell r="F9444" t="str">
            <v>M250301R1</v>
          </cell>
          <cell r="J9444">
            <v>45908</v>
          </cell>
          <cell r="K9444">
            <v>9.5</v>
          </cell>
        </row>
        <row r="9445">
          <cell r="C9445" t="str">
            <v>許博元</v>
          </cell>
          <cell r="J9445">
            <v>45909</v>
          </cell>
          <cell r="K9445">
            <v>9</v>
          </cell>
        </row>
        <row r="9446">
          <cell r="C9446" t="str">
            <v>許博元</v>
          </cell>
          <cell r="J9446">
            <v>45910</v>
          </cell>
          <cell r="K9446">
            <v>8</v>
          </cell>
        </row>
        <row r="9447">
          <cell r="C9447" t="str">
            <v>許博元</v>
          </cell>
          <cell r="F9447" t="str">
            <v>M250301C1</v>
          </cell>
          <cell r="J9447">
            <v>45911</v>
          </cell>
          <cell r="K9447">
            <v>8</v>
          </cell>
        </row>
        <row r="9448">
          <cell r="C9448" t="str">
            <v>許博元</v>
          </cell>
          <cell r="J9448">
            <v>45912</v>
          </cell>
          <cell r="K9448">
            <v>8</v>
          </cell>
        </row>
        <row r="9449">
          <cell r="C9449" t="str">
            <v>許博元</v>
          </cell>
          <cell r="F9449" t="str">
            <v>D250702R1</v>
          </cell>
          <cell r="J9449">
            <v>45915</v>
          </cell>
          <cell r="K9449">
            <v>8</v>
          </cell>
        </row>
        <row r="9450">
          <cell r="C9450" t="str">
            <v>許博元</v>
          </cell>
          <cell r="J9450">
            <v>45916</v>
          </cell>
          <cell r="K9450">
            <v>8</v>
          </cell>
        </row>
        <row r="9451">
          <cell r="C9451" t="str">
            <v>許博元</v>
          </cell>
          <cell r="F9451" t="str">
            <v>D250702R1</v>
          </cell>
          <cell r="J9451">
            <v>45917</v>
          </cell>
          <cell r="K9451">
            <v>8</v>
          </cell>
        </row>
        <row r="9452">
          <cell r="C9452" t="str">
            <v>許博元</v>
          </cell>
          <cell r="F9452" t="str">
            <v>D250702R1</v>
          </cell>
          <cell r="J9452">
            <v>45918</v>
          </cell>
          <cell r="K9452">
            <v>8</v>
          </cell>
        </row>
        <row r="9453">
          <cell r="C9453" t="str">
            <v>許博元</v>
          </cell>
          <cell r="F9453" t="str">
            <v>D250702R1</v>
          </cell>
          <cell r="J9453">
            <v>45919</v>
          </cell>
          <cell r="K9453">
            <v>8</v>
          </cell>
        </row>
        <row r="9454">
          <cell r="C9454" t="str">
            <v>許博元</v>
          </cell>
          <cell r="F9454" t="str">
            <v>D250702R1</v>
          </cell>
          <cell r="J9454">
            <v>45922</v>
          </cell>
          <cell r="K9454">
            <v>8</v>
          </cell>
        </row>
        <row r="9455">
          <cell r="C9455" t="str">
            <v>許博元</v>
          </cell>
          <cell r="J9455">
            <v>45923</v>
          </cell>
          <cell r="K9455">
            <v>8</v>
          </cell>
        </row>
        <row r="9456">
          <cell r="C9456" t="str">
            <v>許博元</v>
          </cell>
          <cell r="F9456" t="str">
            <v>M250301C1</v>
          </cell>
          <cell r="J9456">
            <v>45924</v>
          </cell>
          <cell r="K9456">
            <v>8</v>
          </cell>
        </row>
        <row r="9457">
          <cell r="C9457" t="str">
            <v>許博元</v>
          </cell>
          <cell r="F9457" t="str">
            <v>M250301C1</v>
          </cell>
          <cell r="J9457">
            <v>45925</v>
          </cell>
          <cell r="K9457">
            <v>8</v>
          </cell>
        </row>
        <row r="9458">
          <cell r="C9458" t="str">
            <v>許博元</v>
          </cell>
          <cell r="J9458">
            <v>45926</v>
          </cell>
          <cell r="K9458">
            <v>8</v>
          </cell>
        </row>
        <row r="9459">
          <cell r="C9459" t="str">
            <v>許博元</v>
          </cell>
          <cell r="F9459" t="str">
            <v>M250301R1</v>
          </cell>
          <cell r="J9459">
            <v>45930</v>
          </cell>
          <cell r="K9459">
            <v>8</v>
          </cell>
        </row>
        <row r="9460">
          <cell r="C9460" t="str">
            <v>許博元</v>
          </cell>
          <cell r="F9460" t="str">
            <v>M250301R1</v>
          </cell>
          <cell r="J9460">
            <v>45931</v>
          </cell>
          <cell r="K9460">
            <v>8</v>
          </cell>
        </row>
        <row r="9461">
          <cell r="C9461" t="str">
            <v>許博元</v>
          </cell>
          <cell r="J9461">
            <v>45932</v>
          </cell>
          <cell r="K9461">
            <v>8</v>
          </cell>
        </row>
        <row r="9462">
          <cell r="C9462" t="str">
            <v>許博元</v>
          </cell>
          <cell r="F9462" t="str">
            <v>M250301R1</v>
          </cell>
          <cell r="J9462">
            <v>45933</v>
          </cell>
          <cell r="K9462">
            <v>4</v>
          </cell>
        </row>
        <row r="9463">
          <cell r="C9463" t="str">
            <v>許博元</v>
          </cell>
          <cell r="F9463" t="str">
            <v>M250301R1</v>
          </cell>
          <cell r="J9463">
            <v>45937</v>
          </cell>
          <cell r="K9463">
            <v>8</v>
          </cell>
        </row>
        <row r="9464">
          <cell r="C9464" t="str">
            <v>許博元</v>
          </cell>
          <cell r="F9464" t="str">
            <v>D250702R1</v>
          </cell>
          <cell r="J9464">
            <v>45938</v>
          </cell>
          <cell r="K9464">
            <v>8</v>
          </cell>
        </row>
        <row r="9465">
          <cell r="C9465" t="str">
            <v>許博元</v>
          </cell>
          <cell r="F9465" t="str">
            <v>D250803R1</v>
          </cell>
          <cell r="J9465">
            <v>45939</v>
          </cell>
          <cell r="K9465">
            <v>8</v>
          </cell>
        </row>
        <row r="9466">
          <cell r="C9466" t="str">
            <v>許博元</v>
          </cell>
          <cell r="F9466" t="str">
            <v>D250803R1</v>
          </cell>
          <cell r="J9466">
            <v>45943</v>
          </cell>
          <cell r="K9466">
            <v>8</v>
          </cell>
        </row>
        <row r="9467">
          <cell r="C9467" t="str">
            <v>許博元</v>
          </cell>
          <cell r="F9467" t="str">
            <v>D250803R1</v>
          </cell>
          <cell r="J9467">
            <v>45944</v>
          </cell>
          <cell r="K9467">
            <v>8</v>
          </cell>
        </row>
        <row r="9468">
          <cell r="C9468" t="str">
            <v>許博元</v>
          </cell>
          <cell r="F9468" t="str">
            <v>D250803R1</v>
          </cell>
          <cell r="J9468">
            <v>45945</v>
          </cell>
          <cell r="K9468">
            <v>8</v>
          </cell>
        </row>
        <row r="9469">
          <cell r="C9469" t="str">
            <v>許博元</v>
          </cell>
          <cell r="F9469" t="str">
            <v>D250803R1</v>
          </cell>
          <cell r="J9469">
            <v>45946</v>
          </cell>
          <cell r="K9469">
            <v>8</v>
          </cell>
        </row>
        <row r="9470">
          <cell r="C9470" t="str">
            <v>許博元</v>
          </cell>
          <cell r="F9470" t="str">
            <v>M250301R1</v>
          </cell>
          <cell r="J9470">
            <v>45947</v>
          </cell>
          <cell r="K9470">
            <v>8</v>
          </cell>
        </row>
        <row r="9471">
          <cell r="C9471" t="str">
            <v>許博元</v>
          </cell>
          <cell r="F9471" t="str">
            <v>M250301R1</v>
          </cell>
          <cell r="J9471">
            <v>45950</v>
          </cell>
          <cell r="K9471">
            <v>8</v>
          </cell>
        </row>
        <row r="9472">
          <cell r="C9472" t="str">
            <v>許博元</v>
          </cell>
          <cell r="F9472" t="str">
            <v>D250803R1</v>
          </cell>
          <cell r="J9472">
            <v>45951</v>
          </cell>
          <cell r="K9472">
            <v>8</v>
          </cell>
        </row>
        <row r="9473">
          <cell r="C9473" t="str">
            <v>許博元</v>
          </cell>
          <cell r="J9473">
            <v>45952</v>
          </cell>
          <cell r="K9473">
            <v>8</v>
          </cell>
        </row>
        <row r="9474">
          <cell r="C9474" t="str">
            <v>許博元</v>
          </cell>
          <cell r="J9474">
            <v>45953</v>
          </cell>
          <cell r="K9474">
            <v>4</v>
          </cell>
        </row>
        <row r="9475">
          <cell r="C9475" t="str">
            <v>許博元</v>
          </cell>
          <cell r="F9475" t="str">
            <v>D250803R1</v>
          </cell>
          <cell r="J9475">
            <v>45957</v>
          </cell>
          <cell r="K9475">
            <v>8</v>
          </cell>
        </row>
        <row r="9476">
          <cell r="C9476" t="str">
            <v>許博元</v>
          </cell>
          <cell r="F9476" t="str">
            <v>D250803R1</v>
          </cell>
          <cell r="J9476">
            <v>45958</v>
          </cell>
          <cell r="K9476">
            <v>8</v>
          </cell>
        </row>
        <row r="9477">
          <cell r="C9477" t="str">
            <v>許博元</v>
          </cell>
          <cell r="F9477" t="str">
            <v>D250803R1</v>
          </cell>
          <cell r="J9477">
            <v>45959</v>
          </cell>
          <cell r="K9477">
            <v>8</v>
          </cell>
        </row>
        <row r="9478">
          <cell r="C9478" t="str">
            <v>許博元</v>
          </cell>
          <cell r="F9478" t="str">
            <v>D250803R1</v>
          </cell>
          <cell r="J9478">
            <v>45960</v>
          </cell>
          <cell r="K9478">
            <v>8</v>
          </cell>
        </row>
        <row r="9479">
          <cell r="C9479" t="str">
            <v>許博元</v>
          </cell>
          <cell r="F9479" t="str">
            <v>D250803R1</v>
          </cell>
          <cell r="J9479">
            <v>45961</v>
          </cell>
          <cell r="K9479">
            <v>8</v>
          </cell>
        </row>
        <row r="9480">
          <cell r="C9480" t="str">
            <v>許博元</v>
          </cell>
          <cell r="F9480" t="str">
            <v>D250803R1</v>
          </cell>
          <cell r="J9480">
            <v>45964</v>
          </cell>
          <cell r="K9480">
            <v>8</v>
          </cell>
        </row>
        <row r="9481">
          <cell r="C9481" t="str">
            <v>許博元</v>
          </cell>
          <cell r="F9481" t="str">
            <v>D250803R1</v>
          </cell>
          <cell r="J9481">
            <v>45965</v>
          </cell>
          <cell r="K9481">
            <v>8</v>
          </cell>
        </row>
        <row r="9482">
          <cell r="C9482" t="str">
            <v>許博元</v>
          </cell>
          <cell r="F9482" t="str">
            <v>D250803R1</v>
          </cell>
          <cell r="J9482">
            <v>45966</v>
          </cell>
          <cell r="K9482">
            <v>10</v>
          </cell>
        </row>
        <row r="9483">
          <cell r="C9483" t="str">
            <v>許博元</v>
          </cell>
          <cell r="F9483" t="str">
            <v>M250301R1</v>
          </cell>
          <cell r="J9483">
            <v>45967</v>
          </cell>
          <cell r="K9483">
            <v>8</v>
          </cell>
        </row>
        <row r="9484">
          <cell r="C9484" t="str">
            <v>許博元</v>
          </cell>
          <cell r="F9484" t="str">
            <v>M250301R1</v>
          </cell>
          <cell r="J9484">
            <v>45968</v>
          </cell>
          <cell r="K9484">
            <v>8</v>
          </cell>
        </row>
        <row r="9485">
          <cell r="C9485" t="str">
            <v>許博元</v>
          </cell>
          <cell r="F9485" t="str">
            <v>M250301R1</v>
          </cell>
          <cell r="J9485">
            <v>45971</v>
          </cell>
          <cell r="K9485">
            <v>8</v>
          </cell>
        </row>
        <row r="9486">
          <cell r="C9486" t="str">
            <v>許博元</v>
          </cell>
          <cell r="F9486" t="str">
            <v>D250803R1</v>
          </cell>
          <cell r="J9486">
            <v>45972</v>
          </cell>
          <cell r="K9486">
            <v>8</v>
          </cell>
        </row>
        <row r="9487">
          <cell r="C9487" t="str">
            <v>許博元</v>
          </cell>
          <cell r="F9487" t="str">
            <v>D250803R1</v>
          </cell>
          <cell r="J9487">
            <v>45973</v>
          </cell>
          <cell r="K9487">
            <v>9.5</v>
          </cell>
        </row>
        <row r="9488">
          <cell r="C9488" t="str">
            <v>許博元</v>
          </cell>
          <cell r="F9488" t="str">
            <v>D250803R1</v>
          </cell>
          <cell r="J9488">
            <v>45974</v>
          </cell>
          <cell r="K9488">
            <v>4</v>
          </cell>
        </row>
        <row r="9489">
          <cell r="C9489" t="str">
            <v>許博元</v>
          </cell>
          <cell r="F9489" t="str">
            <v>M250301R1</v>
          </cell>
          <cell r="J9489">
            <v>45975</v>
          </cell>
          <cell r="K9489">
            <v>9</v>
          </cell>
        </row>
        <row r="9490">
          <cell r="C9490" t="str">
            <v>許博元</v>
          </cell>
          <cell r="F9490" t="str">
            <v>D250803R1</v>
          </cell>
          <cell r="J9490">
            <v>45978</v>
          </cell>
          <cell r="K9490">
            <v>8</v>
          </cell>
        </row>
        <row r="9491">
          <cell r="C9491" t="str">
            <v>許博元</v>
          </cell>
          <cell r="F9491" t="str">
            <v>D250803R1</v>
          </cell>
          <cell r="J9491">
            <v>45979</v>
          </cell>
          <cell r="K9491">
            <v>8</v>
          </cell>
        </row>
        <row r="9492">
          <cell r="C9492" t="str">
            <v>許博元</v>
          </cell>
          <cell r="F9492" t="str">
            <v>D250803R1</v>
          </cell>
          <cell r="J9492">
            <v>45980</v>
          </cell>
          <cell r="K9492">
            <v>8</v>
          </cell>
        </row>
        <row r="9493">
          <cell r="C9493" t="str">
            <v>許博元</v>
          </cell>
          <cell r="F9493" t="str">
            <v>M250301R1</v>
          </cell>
          <cell r="J9493">
            <v>45981</v>
          </cell>
          <cell r="K9493">
            <v>8</v>
          </cell>
        </row>
        <row r="9494">
          <cell r="C9494" t="str">
            <v>許博元</v>
          </cell>
          <cell r="F9494" t="str">
            <v>M250301R1</v>
          </cell>
          <cell r="J9494">
            <v>45982</v>
          </cell>
          <cell r="K9494">
            <v>8</v>
          </cell>
        </row>
        <row r="9495">
          <cell r="C9495" t="str">
            <v>許博元</v>
          </cell>
          <cell r="J9495">
            <v>45985</v>
          </cell>
          <cell r="K9495">
            <v>0</v>
          </cell>
        </row>
        <row r="9496">
          <cell r="C9496" t="str">
            <v>許博元</v>
          </cell>
          <cell r="F9496" t="str">
            <v>M250301R1</v>
          </cell>
          <cell r="J9496">
            <v>45986</v>
          </cell>
          <cell r="K9496">
            <v>8</v>
          </cell>
        </row>
        <row r="9497">
          <cell r="C9497" t="str">
            <v>許博元</v>
          </cell>
          <cell r="F9497" t="str">
            <v>M250301R1</v>
          </cell>
          <cell r="J9497">
            <v>45987</v>
          </cell>
          <cell r="K9497">
            <v>8</v>
          </cell>
        </row>
        <row r="9498">
          <cell r="C9498" t="str">
            <v>許博元</v>
          </cell>
          <cell r="J9498">
            <v>45988</v>
          </cell>
          <cell r="K9498">
            <v>8</v>
          </cell>
        </row>
        <row r="9499">
          <cell r="C9499" t="str">
            <v>許博元</v>
          </cell>
          <cell r="J9499">
            <v>45989</v>
          </cell>
          <cell r="K9499">
            <v>8</v>
          </cell>
        </row>
        <row r="9500">
          <cell r="C9500" t="str">
            <v>許博元</v>
          </cell>
          <cell r="J9500">
            <v>45992</v>
          </cell>
          <cell r="K9500">
            <v>8</v>
          </cell>
        </row>
        <row r="9501">
          <cell r="C9501" t="str">
            <v>許博元</v>
          </cell>
          <cell r="F9501" t="str">
            <v>M250301R1</v>
          </cell>
          <cell r="J9501">
            <v>45993</v>
          </cell>
          <cell r="K9501">
            <v>8</v>
          </cell>
        </row>
        <row r="9502">
          <cell r="C9502" t="str">
            <v>許博元</v>
          </cell>
          <cell r="F9502" t="str">
            <v>M250301R1</v>
          </cell>
          <cell r="J9502">
            <v>45994</v>
          </cell>
          <cell r="K9502">
            <v>8</v>
          </cell>
        </row>
        <row r="9503">
          <cell r="C9503" t="str">
            <v>許博元</v>
          </cell>
          <cell r="F9503" t="str">
            <v>M250301C1</v>
          </cell>
          <cell r="J9503">
            <v>45995</v>
          </cell>
          <cell r="K9503">
            <v>8</v>
          </cell>
        </row>
        <row r="9504">
          <cell r="C9504" t="str">
            <v>許博元</v>
          </cell>
          <cell r="J9504">
            <v>45996</v>
          </cell>
          <cell r="K9504">
            <v>4</v>
          </cell>
        </row>
        <row r="9505">
          <cell r="C9505" t="str">
            <v>許博元</v>
          </cell>
          <cell r="F9505" t="str">
            <v>M250301C1</v>
          </cell>
          <cell r="J9505">
            <v>45999</v>
          </cell>
          <cell r="K9505">
            <v>8</v>
          </cell>
        </row>
        <row r="9506">
          <cell r="C9506" t="str">
            <v>許博元</v>
          </cell>
          <cell r="F9506" t="str">
            <v>M250301C1</v>
          </cell>
          <cell r="J9506">
            <v>46000</v>
          </cell>
          <cell r="K9506">
            <v>8</v>
          </cell>
        </row>
        <row r="9507">
          <cell r="C9507" t="str">
            <v>許博元</v>
          </cell>
          <cell r="F9507" t="str">
            <v>M250301R1</v>
          </cell>
          <cell r="J9507">
            <v>46001</v>
          </cell>
          <cell r="K9507">
            <v>8</v>
          </cell>
        </row>
        <row r="9508">
          <cell r="C9508" t="str">
            <v>許博元</v>
          </cell>
          <cell r="F9508" t="str">
            <v>M250301C1</v>
          </cell>
          <cell r="J9508">
            <v>46002</v>
          </cell>
          <cell r="K9508">
            <v>8</v>
          </cell>
        </row>
        <row r="9509">
          <cell r="C9509" t="str">
            <v>許博元</v>
          </cell>
          <cell r="F9509" t="str">
            <v>M250301R1</v>
          </cell>
          <cell r="J9509">
            <v>46003</v>
          </cell>
          <cell r="K9509">
            <v>8</v>
          </cell>
        </row>
        <row r="9510">
          <cell r="C9510" t="str">
            <v>許博元</v>
          </cell>
          <cell r="J9510">
            <v>46006</v>
          </cell>
          <cell r="K9510">
            <v>8</v>
          </cell>
        </row>
        <row r="9511">
          <cell r="C9511" t="str">
            <v>許博元</v>
          </cell>
          <cell r="F9511" t="str">
            <v>M250301C1</v>
          </cell>
          <cell r="J9511">
            <v>46007</v>
          </cell>
          <cell r="K9511">
            <v>8</v>
          </cell>
        </row>
        <row r="9512">
          <cell r="C9512" t="str">
            <v>許博元</v>
          </cell>
          <cell r="F9512" t="str">
            <v>M250301C1</v>
          </cell>
          <cell r="J9512">
            <v>46008</v>
          </cell>
          <cell r="K9512">
            <v>8</v>
          </cell>
        </row>
        <row r="9513">
          <cell r="C9513" t="str">
            <v>許博元</v>
          </cell>
          <cell r="F9513" t="str">
            <v>M250301C1</v>
          </cell>
          <cell r="J9513">
            <v>46009</v>
          </cell>
          <cell r="K9513">
            <v>8</v>
          </cell>
        </row>
        <row r="9514">
          <cell r="C9514" t="str">
            <v>許博元</v>
          </cell>
          <cell r="F9514" t="str">
            <v>M250301C1</v>
          </cell>
          <cell r="J9514">
            <v>46010</v>
          </cell>
          <cell r="K9514">
            <v>8</v>
          </cell>
        </row>
        <row r="9515">
          <cell r="C9515" t="str">
            <v>許博元</v>
          </cell>
          <cell r="F9515" t="str">
            <v>M250301R1</v>
          </cell>
          <cell r="J9515">
            <v>46013</v>
          </cell>
          <cell r="K9515">
            <v>8</v>
          </cell>
        </row>
        <row r="9516">
          <cell r="C9516" t="str">
            <v>許博元</v>
          </cell>
          <cell r="F9516" t="str">
            <v>M250301R1</v>
          </cell>
          <cell r="J9516">
            <v>46014</v>
          </cell>
          <cell r="K9516">
            <v>8</v>
          </cell>
        </row>
        <row r="9517">
          <cell r="C9517" t="str">
            <v>許博元</v>
          </cell>
          <cell r="F9517" t="str">
            <v>M250301R1</v>
          </cell>
          <cell r="J9517">
            <v>46015</v>
          </cell>
          <cell r="K9517">
            <v>8</v>
          </cell>
        </row>
        <row r="9518">
          <cell r="C9518" t="str">
            <v>許博元</v>
          </cell>
          <cell r="F9518" t="str">
            <v>M250301C1</v>
          </cell>
          <cell r="J9518">
            <v>46017</v>
          </cell>
          <cell r="K9518">
            <v>8</v>
          </cell>
        </row>
        <row r="9519">
          <cell r="C9519" t="str">
            <v>許博元</v>
          </cell>
          <cell r="F9519" t="str">
            <v>M250301C1</v>
          </cell>
          <cell r="J9519">
            <v>46020</v>
          </cell>
          <cell r="K9519">
            <v>8</v>
          </cell>
        </row>
        <row r="9520">
          <cell r="C9520" t="str">
            <v>許博元</v>
          </cell>
          <cell r="F9520" t="str">
            <v>M250301C1</v>
          </cell>
          <cell r="J9520">
            <v>46021</v>
          </cell>
          <cell r="K9520">
            <v>8</v>
          </cell>
        </row>
        <row r="9521">
          <cell r="C9521" t="str">
            <v>許博元</v>
          </cell>
          <cell r="F9521" t="str">
            <v>M250301C1</v>
          </cell>
          <cell r="J9521">
            <v>46022</v>
          </cell>
          <cell r="K9521">
            <v>8</v>
          </cell>
        </row>
        <row r="9522">
          <cell r="C9522" t="str">
            <v>許博元</v>
          </cell>
          <cell r="F9522" t="str">
            <v>M250301C1</v>
          </cell>
          <cell r="J9522">
            <v>46024</v>
          </cell>
          <cell r="K9522">
            <v>8</v>
          </cell>
        </row>
        <row r="9523">
          <cell r="C9523" t="str">
            <v>許博元</v>
          </cell>
          <cell r="F9523" t="str">
            <v>M250301R1</v>
          </cell>
          <cell r="J9523">
            <v>46027</v>
          </cell>
          <cell r="K9523">
            <v>8</v>
          </cell>
        </row>
        <row r="9524">
          <cell r="C9524" t="str">
            <v>許博元</v>
          </cell>
          <cell r="J9524">
            <v>46028</v>
          </cell>
          <cell r="K9524">
            <v>8</v>
          </cell>
        </row>
        <row r="9525">
          <cell r="C9525" t="str">
            <v>許博元</v>
          </cell>
          <cell r="J9525">
            <v>46029</v>
          </cell>
          <cell r="K9525">
            <v>9</v>
          </cell>
        </row>
        <row r="9526">
          <cell r="C9526" t="str">
            <v>許博元</v>
          </cell>
          <cell r="F9526" t="str">
            <v>M250301C1</v>
          </cell>
          <cell r="J9526">
            <v>46030</v>
          </cell>
          <cell r="K9526">
            <v>8</v>
          </cell>
        </row>
        <row r="9527">
          <cell r="C9527" t="str">
            <v>許博元</v>
          </cell>
          <cell r="F9527" t="str">
            <v>M250301C1</v>
          </cell>
          <cell r="J9527">
            <v>46034</v>
          </cell>
          <cell r="K9527">
            <v>8</v>
          </cell>
        </row>
        <row r="9528">
          <cell r="C9528" t="str">
            <v>許博元</v>
          </cell>
          <cell r="J9528">
            <v>46035</v>
          </cell>
          <cell r="K9528">
            <v>8</v>
          </cell>
        </row>
        <row r="9529">
          <cell r="C9529" t="str">
            <v>許博元</v>
          </cell>
          <cell r="J9529">
            <v>46036</v>
          </cell>
          <cell r="K9529">
            <v>8</v>
          </cell>
        </row>
        <row r="9530">
          <cell r="C9530" t="str">
            <v>許博元</v>
          </cell>
          <cell r="J9530">
            <v>46037</v>
          </cell>
          <cell r="K9530">
            <v>8</v>
          </cell>
        </row>
        <row r="9531">
          <cell r="C9531" t="str">
            <v>許博元</v>
          </cell>
          <cell r="F9531" t="str">
            <v>M250301R1</v>
          </cell>
          <cell r="J9531">
            <v>46038</v>
          </cell>
          <cell r="K9531">
            <v>8</v>
          </cell>
        </row>
        <row r="9532">
          <cell r="C9532" t="str">
            <v>許博元</v>
          </cell>
          <cell r="F9532" t="str">
            <v>M250301C1</v>
          </cell>
          <cell r="J9532">
            <v>46041</v>
          </cell>
          <cell r="K9532">
            <v>8</v>
          </cell>
        </row>
        <row r="9533">
          <cell r="C9533" t="str">
            <v>許博元</v>
          </cell>
          <cell r="F9533" t="str">
            <v>M250301C1</v>
          </cell>
          <cell r="J9533">
            <v>46042</v>
          </cell>
          <cell r="K9533">
            <v>9</v>
          </cell>
        </row>
        <row r="9534">
          <cell r="C9534" t="str">
            <v>許博元</v>
          </cell>
          <cell r="F9534" t="str">
            <v>M250301C1</v>
          </cell>
          <cell r="J9534">
            <v>46043</v>
          </cell>
          <cell r="K9534">
            <v>8</v>
          </cell>
        </row>
        <row r="9535">
          <cell r="C9535" t="str">
            <v>許博元</v>
          </cell>
          <cell r="F9535" t="str">
            <v>M250301R1</v>
          </cell>
          <cell r="J9535">
            <v>46044</v>
          </cell>
          <cell r="K9535">
            <v>8</v>
          </cell>
        </row>
        <row r="9536">
          <cell r="C9536" t="str">
            <v>許博元</v>
          </cell>
          <cell r="F9536" t="str">
            <v>M250301R1</v>
          </cell>
          <cell r="J9536">
            <v>46045</v>
          </cell>
          <cell r="K9536">
            <v>9</v>
          </cell>
        </row>
        <row r="9537">
          <cell r="C9537" t="str">
            <v>許博元</v>
          </cell>
          <cell r="J9537">
            <v>46048</v>
          </cell>
          <cell r="K9537">
            <v>8</v>
          </cell>
        </row>
        <row r="9538">
          <cell r="C9538" t="str">
            <v>許博元</v>
          </cell>
          <cell r="F9538" t="str">
            <v>M250301R1</v>
          </cell>
          <cell r="J9538">
            <v>46049</v>
          </cell>
          <cell r="K9538">
            <v>8</v>
          </cell>
        </row>
        <row r="9539">
          <cell r="C9539" t="str">
            <v>許博元</v>
          </cell>
          <cell r="J9539">
            <v>46050</v>
          </cell>
          <cell r="K9539">
            <v>8</v>
          </cell>
        </row>
        <row r="9540">
          <cell r="C9540" t="str">
            <v>許博元</v>
          </cell>
          <cell r="J9540">
            <v>46051</v>
          </cell>
          <cell r="K9540">
            <v>8</v>
          </cell>
        </row>
        <row r="9541">
          <cell r="C9541" t="str">
            <v>許博元</v>
          </cell>
          <cell r="J9541">
            <v>46052</v>
          </cell>
          <cell r="K9541">
            <v>8</v>
          </cell>
        </row>
        <row r="9542">
          <cell r="C9542" t="str">
            <v>許博元</v>
          </cell>
          <cell r="J9542">
            <v>46055</v>
          </cell>
          <cell r="K9542">
            <v>8</v>
          </cell>
        </row>
        <row r="9543">
          <cell r="C9543" t="str">
            <v>許博元</v>
          </cell>
          <cell r="F9543" t="str">
            <v>M250301C1</v>
          </cell>
          <cell r="J9543">
            <v>46056</v>
          </cell>
          <cell r="K9543">
            <v>8</v>
          </cell>
        </row>
        <row r="9544">
          <cell r="C9544" t="str">
            <v>許博元</v>
          </cell>
          <cell r="J9544">
            <v>46057</v>
          </cell>
          <cell r="K9544">
            <v>8</v>
          </cell>
        </row>
        <row r="9545">
          <cell r="C9545" t="str">
            <v>許博元</v>
          </cell>
          <cell r="J9545">
            <v>46058</v>
          </cell>
          <cell r="K9545">
            <v>8</v>
          </cell>
        </row>
        <row r="9546">
          <cell r="C9546" t="str">
            <v>許博元</v>
          </cell>
          <cell r="F9546" t="str">
            <v>M250301R1</v>
          </cell>
          <cell r="J9546">
            <v>46059</v>
          </cell>
          <cell r="K9546">
            <v>8</v>
          </cell>
        </row>
        <row r="9547">
          <cell r="C9547" t="str">
            <v>許博元</v>
          </cell>
          <cell r="F9547" t="str">
            <v>M250301R1</v>
          </cell>
          <cell r="J9547">
            <v>46062</v>
          </cell>
          <cell r="K9547">
            <v>8</v>
          </cell>
        </row>
        <row r="9548">
          <cell r="C9548" t="str">
            <v>許博元</v>
          </cell>
          <cell r="J9548">
            <v>46063</v>
          </cell>
          <cell r="K9548">
            <v>8</v>
          </cell>
        </row>
        <row r="9549">
          <cell r="C9549" t="str">
            <v>許博元</v>
          </cell>
          <cell r="F9549" t="str">
            <v>M250301C1</v>
          </cell>
          <cell r="J9549">
            <v>46064</v>
          </cell>
          <cell r="K9549">
            <v>8</v>
          </cell>
        </row>
        <row r="9550">
          <cell r="C9550" t="str">
            <v>許博元</v>
          </cell>
          <cell r="F9550" t="str">
            <v>M250301C1</v>
          </cell>
          <cell r="J9550">
            <v>46065</v>
          </cell>
          <cell r="K9550">
            <v>8</v>
          </cell>
        </row>
        <row r="9551">
          <cell r="C9551" t="str">
            <v>許博元</v>
          </cell>
          <cell r="J9551">
            <v>46066</v>
          </cell>
          <cell r="K9551">
            <v>8</v>
          </cell>
        </row>
        <row r="9552">
          <cell r="C9552" t="str">
            <v>許博元</v>
          </cell>
          <cell r="F9552" t="str">
            <v>M250301C1</v>
          </cell>
          <cell r="J9552">
            <v>46076</v>
          </cell>
          <cell r="K9552">
            <v>9</v>
          </cell>
        </row>
        <row r="9553">
          <cell r="C9553" t="str">
            <v>許博元</v>
          </cell>
          <cell r="J9553">
            <v>46077</v>
          </cell>
          <cell r="K9553">
            <v>8</v>
          </cell>
        </row>
        <row r="9554">
          <cell r="C9554" t="str">
            <v>許博元</v>
          </cell>
          <cell r="J9554">
            <v>46078</v>
          </cell>
          <cell r="K9554">
            <v>8</v>
          </cell>
        </row>
        <row r="9555">
          <cell r="C9555" t="str">
            <v>許博元</v>
          </cell>
          <cell r="J9555">
            <v>46079</v>
          </cell>
          <cell r="K9555">
            <v>8</v>
          </cell>
        </row>
        <row r="9556">
          <cell r="C9556" t="str">
            <v>許博元</v>
          </cell>
          <cell r="J9556">
            <v>46083</v>
          </cell>
          <cell r="K9556">
            <v>8</v>
          </cell>
        </row>
        <row r="9557">
          <cell r="C9557" t="str">
            <v>許博元</v>
          </cell>
          <cell r="F9557" t="str">
            <v>K251101R1</v>
          </cell>
          <cell r="J9557">
            <v>46084</v>
          </cell>
          <cell r="K9557">
            <v>8</v>
          </cell>
        </row>
        <row r="9558">
          <cell r="C9558" t="str">
            <v>許博元</v>
          </cell>
          <cell r="F9558" t="str">
            <v>K251101R1</v>
          </cell>
          <cell r="J9558">
            <v>46085</v>
          </cell>
          <cell r="K9558">
            <v>8</v>
          </cell>
        </row>
        <row r="9559">
          <cell r="C9559" t="str">
            <v>許博元</v>
          </cell>
          <cell r="F9559" t="str">
            <v>M250301R1</v>
          </cell>
          <cell r="J9559">
            <v>46086</v>
          </cell>
          <cell r="K9559">
            <v>9</v>
          </cell>
        </row>
        <row r="9560">
          <cell r="C9560" t="str">
            <v>許博元</v>
          </cell>
          <cell r="J9560">
            <v>46087</v>
          </cell>
          <cell r="K9560">
            <v>8</v>
          </cell>
        </row>
        <row r="9561">
          <cell r="C9561" t="str">
            <v>許博元</v>
          </cell>
          <cell r="J9561">
            <v>46090</v>
          </cell>
          <cell r="K9561">
            <v>8</v>
          </cell>
        </row>
        <row r="9562">
          <cell r="C9562" t="str">
            <v>許博元</v>
          </cell>
          <cell r="F9562" t="str">
            <v>K251101R1</v>
          </cell>
          <cell r="J9562">
            <v>46091</v>
          </cell>
          <cell r="K9562">
            <v>8</v>
          </cell>
        </row>
        <row r="9563">
          <cell r="C9563" t="str">
            <v>許博元</v>
          </cell>
          <cell r="F9563" t="str">
            <v>K251101R1</v>
          </cell>
          <cell r="J9563">
            <v>46092</v>
          </cell>
          <cell r="K9563">
            <v>8</v>
          </cell>
        </row>
        <row r="9564">
          <cell r="C9564" t="str">
            <v>許博元</v>
          </cell>
          <cell r="J9564">
            <v>46093</v>
          </cell>
          <cell r="K9564">
            <v>8</v>
          </cell>
        </row>
        <row r="9565">
          <cell r="C9565" t="str">
            <v>許博元</v>
          </cell>
          <cell r="J9565">
            <v>46094</v>
          </cell>
          <cell r="K9565">
            <v>8</v>
          </cell>
        </row>
        <row r="9566">
          <cell r="C9566" t="str">
            <v>許博元</v>
          </cell>
          <cell r="J9566">
            <v>46097</v>
          </cell>
          <cell r="K9566">
            <v>8</v>
          </cell>
        </row>
        <row r="9567">
          <cell r="C9567" t="str">
            <v>許博元</v>
          </cell>
          <cell r="J9567">
            <v>46098</v>
          </cell>
          <cell r="K9567">
            <v>9.5</v>
          </cell>
        </row>
        <row r="9568">
          <cell r="C9568" t="str">
            <v>許博元</v>
          </cell>
          <cell r="J9568">
            <v>46099</v>
          </cell>
          <cell r="K9568">
            <v>8</v>
          </cell>
        </row>
        <row r="9569">
          <cell r="C9569" t="str">
            <v>許博元</v>
          </cell>
          <cell r="J9569">
            <v>46100</v>
          </cell>
          <cell r="K9569">
            <v>8</v>
          </cell>
        </row>
        <row r="9570">
          <cell r="C9570" t="str">
            <v>許博元</v>
          </cell>
          <cell r="J9570">
            <v>46101</v>
          </cell>
          <cell r="K9570">
            <v>8</v>
          </cell>
        </row>
        <row r="9571">
          <cell r="C9571" t="str">
            <v>許博元</v>
          </cell>
          <cell r="F9571" t="str">
            <v>M250301R1</v>
          </cell>
          <cell r="J9571">
            <v>46104</v>
          </cell>
          <cell r="K9571">
            <v>8</v>
          </cell>
        </row>
        <row r="9572">
          <cell r="C9572" t="str">
            <v>許博元</v>
          </cell>
          <cell r="J9572">
            <v>46105</v>
          </cell>
          <cell r="K9572">
            <v>10.5</v>
          </cell>
        </row>
        <row r="9573">
          <cell r="C9573" t="str">
            <v>許博元</v>
          </cell>
          <cell r="J9573">
            <v>46106</v>
          </cell>
          <cell r="K9573">
            <v>11.5</v>
          </cell>
        </row>
        <row r="9574">
          <cell r="C9574" t="str">
            <v>許博元</v>
          </cell>
          <cell r="J9574">
            <v>46107</v>
          </cell>
          <cell r="K9574">
            <v>10</v>
          </cell>
        </row>
        <row r="9575">
          <cell r="C9575" t="str">
            <v>許博元</v>
          </cell>
          <cell r="J9575">
            <v>46108</v>
          </cell>
          <cell r="K9575">
            <v>8</v>
          </cell>
        </row>
        <row r="9576">
          <cell r="C9576" t="str">
            <v>許博元</v>
          </cell>
          <cell r="J9576">
            <v>46111</v>
          </cell>
          <cell r="K9576">
            <v>8</v>
          </cell>
        </row>
        <row r="9577">
          <cell r="C9577" t="str">
            <v>許博元</v>
          </cell>
          <cell r="J9577">
            <v>46112</v>
          </cell>
          <cell r="K9577">
            <v>9.5</v>
          </cell>
        </row>
        <row r="9578">
          <cell r="C9578" t="str">
            <v>許博元</v>
          </cell>
          <cell r="J9578">
            <v>46113</v>
          </cell>
          <cell r="K9578">
            <v>8</v>
          </cell>
        </row>
        <row r="9579">
          <cell r="C9579" t="str">
            <v>許博元</v>
          </cell>
          <cell r="J9579">
            <v>46114</v>
          </cell>
          <cell r="K9579">
            <v>8</v>
          </cell>
        </row>
        <row r="9580">
          <cell r="C9580" t="str">
            <v>許博元</v>
          </cell>
          <cell r="F9580" t="str">
            <v>K251101R1</v>
          </cell>
          <cell r="J9580">
            <v>46119</v>
          </cell>
          <cell r="K9580">
            <v>8</v>
          </cell>
        </row>
        <row r="9581">
          <cell r="C9581" t="str">
            <v>許博元</v>
          </cell>
          <cell r="F9581" t="str">
            <v>K251101R1</v>
          </cell>
          <cell r="J9581">
            <v>46120</v>
          </cell>
          <cell r="K9581">
            <v>8</v>
          </cell>
        </row>
        <row r="9582">
          <cell r="C9582" t="str">
            <v>許博元</v>
          </cell>
          <cell r="F9582" t="str">
            <v>M250301R1</v>
          </cell>
          <cell r="J9582">
            <v>46121</v>
          </cell>
          <cell r="K9582">
            <v>9.5</v>
          </cell>
        </row>
        <row r="9583">
          <cell r="C9583" t="str">
            <v>許博元</v>
          </cell>
          <cell r="F9583" t="str">
            <v>M250301R1</v>
          </cell>
          <cell r="J9583">
            <v>46122</v>
          </cell>
          <cell r="K9583">
            <v>4</v>
          </cell>
        </row>
        <row r="9584">
          <cell r="C9584" t="str">
            <v>許博元</v>
          </cell>
          <cell r="J9584">
            <v>46125</v>
          </cell>
          <cell r="K9584">
            <v>8</v>
          </cell>
        </row>
        <row r="9585">
          <cell r="C9585" t="str">
            <v>許博元</v>
          </cell>
          <cell r="F9585" t="str">
            <v>M250301R1</v>
          </cell>
          <cell r="J9585">
            <v>46126</v>
          </cell>
          <cell r="K9585">
            <v>8</v>
          </cell>
        </row>
        <row r="9586">
          <cell r="C9586" t="str">
            <v>許博元</v>
          </cell>
          <cell r="J9586">
            <v>46127</v>
          </cell>
          <cell r="K9586">
            <v>8</v>
          </cell>
        </row>
        <row r="9587">
          <cell r="C9587" t="str">
            <v>許博元</v>
          </cell>
          <cell r="F9587" t="str">
            <v>K251101R1</v>
          </cell>
          <cell r="J9587">
            <v>46128</v>
          </cell>
          <cell r="K9587">
            <v>8</v>
          </cell>
        </row>
        <row r="9588">
          <cell r="C9588" t="str">
            <v>許博元</v>
          </cell>
          <cell r="F9588" t="str">
            <v>K251101R1</v>
          </cell>
          <cell r="J9588">
            <v>46129</v>
          </cell>
          <cell r="K9588">
            <v>8</v>
          </cell>
        </row>
        <row r="9589">
          <cell r="C9589" t="str">
            <v>許博元</v>
          </cell>
          <cell r="F9589" t="str">
            <v>M250301R1</v>
          </cell>
          <cell r="J9589">
            <v>46136</v>
          </cell>
          <cell r="K9589">
            <v>8</v>
          </cell>
        </row>
        <row r="9590">
          <cell r="C9590" t="str">
            <v>許博元</v>
          </cell>
          <cell r="J9590">
            <v>46139</v>
          </cell>
          <cell r="K9590">
            <v>8</v>
          </cell>
        </row>
        <row r="9591">
          <cell r="C9591" t="str">
            <v>許博元</v>
          </cell>
          <cell r="F9591" t="str">
            <v>M250301R1</v>
          </cell>
          <cell r="J9591">
            <v>46140</v>
          </cell>
          <cell r="K9591">
            <v>8</v>
          </cell>
        </row>
        <row r="9592">
          <cell r="C9592" t="str">
            <v>許博元</v>
          </cell>
          <cell r="F9592" t="str">
            <v>M250301R1</v>
          </cell>
          <cell r="J9592">
            <v>46141</v>
          </cell>
          <cell r="K9592">
            <v>8</v>
          </cell>
        </row>
        <row r="9593">
          <cell r="C9593" t="str">
            <v>許博元</v>
          </cell>
          <cell r="J9593">
            <v>46142</v>
          </cell>
          <cell r="K9593">
            <v>8</v>
          </cell>
        </row>
        <row r="9594">
          <cell r="C9594" t="str">
            <v>許博元</v>
          </cell>
          <cell r="F9594" t="str">
            <v>M250301R1</v>
          </cell>
          <cell r="J9594">
            <v>46146</v>
          </cell>
          <cell r="K9594">
            <v>8</v>
          </cell>
        </row>
        <row r="9595">
          <cell r="C9595" t="str">
            <v>許博元</v>
          </cell>
          <cell r="J9595">
            <v>46147</v>
          </cell>
          <cell r="K9595">
            <v>8</v>
          </cell>
        </row>
        <row r="9596">
          <cell r="C9596" t="str">
            <v>許博元</v>
          </cell>
          <cell r="J9596">
            <v>46148</v>
          </cell>
          <cell r="K9596">
            <v>9</v>
          </cell>
        </row>
        <row r="9597">
          <cell r="C9597" t="str">
            <v>許博元</v>
          </cell>
          <cell r="J9597">
            <v>46149</v>
          </cell>
          <cell r="K9597">
            <v>8</v>
          </cell>
        </row>
        <row r="9598">
          <cell r="C9598" t="str">
            <v>許博元</v>
          </cell>
          <cell r="J9598">
            <v>46150</v>
          </cell>
          <cell r="K9598">
            <v>8</v>
          </cell>
        </row>
        <row r="9599">
          <cell r="C9599" t="str">
            <v>許博元</v>
          </cell>
          <cell r="F9599" t="str">
            <v>M250301R1</v>
          </cell>
          <cell r="J9599">
            <v>46153</v>
          </cell>
          <cell r="K9599">
            <v>8</v>
          </cell>
        </row>
        <row r="9600">
          <cell r="C9600" t="str">
            <v>許博元</v>
          </cell>
          <cell r="F9600" t="str">
            <v>M250301C1</v>
          </cell>
          <cell r="J9600">
            <v>46154</v>
          </cell>
          <cell r="K9600">
            <v>8</v>
          </cell>
        </row>
        <row r="9601">
          <cell r="C9601" t="str">
            <v>許博元</v>
          </cell>
          <cell r="F9601" t="str">
            <v>M250301R1</v>
          </cell>
          <cell r="J9601">
            <v>46155</v>
          </cell>
          <cell r="K9601">
            <v>8</v>
          </cell>
        </row>
        <row r="9602">
          <cell r="C9602" t="str">
            <v>許博元</v>
          </cell>
          <cell r="J9602">
            <v>46156</v>
          </cell>
          <cell r="K9602">
            <v>8</v>
          </cell>
        </row>
        <row r="9603">
          <cell r="C9603" t="str">
            <v>許博元</v>
          </cell>
          <cell r="J9603">
            <v>46157</v>
          </cell>
          <cell r="K9603">
            <v>8</v>
          </cell>
        </row>
        <row r="9604">
          <cell r="C9604" t="str">
            <v>羅震時</v>
          </cell>
          <cell r="J9604">
            <v>45537</v>
          </cell>
          <cell r="K9604">
            <v>8</v>
          </cell>
        </row>
        <row r="9605">
          <cell r="C9605" t="str">
            <v>羅震時</v>
          </cell>
          <cell r="J9605">
            <v>45538</v>
          </cell>
          <cell r="K9605">
            <v>8</v>
          </cell>
        </row>
        <row r="9606">
          <cell r="C9606" t="str">
            <v>羅震時</v>
          </cell>
          <cell r="J9606">
            <v>45539</v>
          </cell>
          <cell r="K9606">
            <v>8</v>
          </cell>
        </row>
        <row r="9607">
          <cell r="C9607" t="str">
            <v>羅震時</v>
          </cell>
          <cell r="J9607">
            <v>45540</v>
          </cell>
          <cell r="K9607">
            <v>8</v>
          </cell>
        </row>
        <row r="9608">
          <cell r="C9608" t="str">
            <v>羅震時</v>
          </cell>
          <cell r="J9608">
            <v>45541</v>
          </cell>
          <cell r="K9608">
            <v>8</v>
          </cell>
        </row>
        <row r="9609">
          <cell r="C9609" t="str">
            <v>羅震時</v>
          </cell>
          <cell r="F9609" t="str">
            <v>M240705R1</v>
          </cell>
          <cell r="J9609">
            <v>45544</v>
          </cell>
          <cell r="K9609">
            <v>8</v>
          </cell>
        </row>
        <row r="9610">
          <cell r="C9610" t="str">
            <v>羅震時</v>
          </cell>
          <cell r="F9610" t="str">
            <v>M240705R1</v>
          </cell>
          <cell r="J9610">
            <v>45545</v>
          </cell>
          <cell r="K9610">
            <v>8</v>
          </cell>
        </row>
        <row r="9611">
          <cell r="C9611" t="str">
            <v>羅震時</v>
          </cell>
          <cell r="F9611" t="str">
            <v>M240705R1</v>
          </cell>
          <cell r="J9611">
            <v>45546</v>
          </cell>
          <cell r="K9611">
            <v>8</v>
          </cell>
        </row>
        <row r="9612">
          <cell r="C9612" t="str">
            <v>羅震時</v>
          </cell>
          <cell r="F9612" t="str">
            <v>M240705R1</v>
          </cell>
          <cell r="J9612">
            <v>45547</v>
          </cell>
          <cell r="K9612">
            <v>8</v>
          </cell>
        </row>
        <row r="9613">
          <cell r="C9613" t="str">
            <v>羅震時</v>
          </cell>
          <cell r="F9613" t="str">
            <v>M240705R1</v>
          </cell>
          <cell r="J9613">
            <v>45548</v>
          </cell>
          <cell r="K9613">
            <v>8</v>
          </cell>
        </row>
        <row r="9614">
          <cell r="C9614" t="str">
            <v>羅震時</v>
          </cell>
          <cell r="F9614" t="str">
            <v>M240705R1</v>
          </cell>
          <cell r="J9614">
            <v>45551</v>
          </cell>
          <cell r="K9614">
            <v>8</v>
          </cell>
        </row>
        <row r="9615">
          <cell r="C9615" t="str">
            <v>羅震時</v>
          </cell>
          <cell r="F9615" t="str">
            <v>M240705R1</v>
          </cell>
          <cell r="J9615">
            <v>45553</v>
          </cell>
          <cell r="K9615">
            <v>8</v>
          </cell>
        </row>
        <row r="9616">
          <cell r="C9616" t="str">
            <v>羅震時</v>
          </cell>
          <cell r="F9616" t="str">
            <v>M240705R1</v>
          </cell>
          <cell r="J9616">
            <v>45554</v>
          </cell>
          <cell r="K9616">
            <v>8</v>
          </cell>
        </row>
        <row r="9617">
          <cell r="C9617" t="str">
            <v>羅震時</v>
          </cell>
          <cell r="F9617" t="str">
            <v>M240705R1</v>
          </cell>
          <cell r="J9617">
            <v>45555</v>
          </cell>
          <cell r="K9617">
            <v>8</v>
          </cell>
        </row>
        <row r="9618">
          <cell r="C9618" t="str">
            <v>羅震時</v>
          </cell>
          <cell r="F9618" t="str">
            <v>M240705R1</v>
          </cell>
          <cell r="J9618">
            <v>45558</v>
          </cell>
          <cell r="K9618">
            <v>8</v>
          </cell>
        </row>
        <row r="9619">
          <cell r="C9619" t="str">
            <v>羅震時</v>
          </cell>
          <cell r="F9619" t="str">
            <v>M240705R1</v>
          </cell>
          <cell r="J9619">
            <v>45559</v>
          </cell>
          <cell r="K9619">
            <v>10</v>
          </cell>
        </row>
        <row r="9620">
          <cell r="C9620" t="str">
            <v>羅震時</v>
          </cell>
          <cell r="F9620" t="str">
            <v>M240705R1</v>
          </cell>
          <cell r="J9620">
            <v>45560</v>
          </cell>
          <cell r="K9620">
            <v>8</v>
          </cell>
        </row>
        <row r="9621">
          <cell r="C9621" t="str">
            <v>羅震時</v>
          </cell>
          <cell r="F9621" t="str">
            <v>M240705R1</v>
          </cell>
          <cell r="J9621">
            <v>45561</v>
          </cell>
          <cell r="K9621">
            <v>8</v>
          </cell>
        </row>
        <row r="9622">
          <cell r="C9622" t="str">
            <v>羅震時</v>
          </cell>
          <cell r="F9622" t="str">
            <v>M240705R1</v>
          </cell>
          <cell r="J9622">
            <v>45562</v>
          </cell>
          <cell r="K9622">
            <v>8</v>
          </cell>
        </row>
        <row r="9623">
          <cell r="C9623" t="str">
            <v>黎育誠</v>
          </cell>
          <cell r="J9623">
            <v>45628</v>
          </cell>
          <cell r="K9623">
            <v>8</v>
          </cell>
        </row>
        <row r="9624">
          <cell r="C9624" t="str">
            <v>黎育誠</v>
          </cell>
          <cell r="J9624">
            <v>45629</v>
          </cell>
          <cell r="K9624">
            <v>8</v>
          </cell>
        </row>
        <row r="9625">
          <cell r="C9625" t="str">
            <v>黎育誠</v>
          </cell>
          <cell r="J9625">
            <v>45630</v>
          </cell>
          <cell r="K9625">
            <v>8</v>
          </cell>
        </row>
        <row r="9626">
          <cell r="C9626" t="str">
            <v>黎育誠</v>
          </cell>
          <cell r="J9626">
            <v>45631</v>
          </cell>
          <cell r="K9626">
            <v>8</v>
          </cell>
        </row>
        <row r="9627">
          <cell r="C9627" t="str">
            <v>黎育誠</v>
          </cell>
          <cell r="J9627">
            <v>45632</v>
          </cell>
          <cell r="K9627">
            <v>8</v>
          </cell>
        </row>
        <row r="9628">
          <cell r="C9628" t="str">
            <v>黎育誠</v>
          </cell>
          <cell r="J9628">
            <v>45635</v>
          </cell>
          <cell r="K9628">
            <v>8</v>
          </cell>
        </row>
        <row r="9629">
          <cell r="C9629" t="str">
            <v>黎育誠</v>
          </cell>
          <cell r="J9629">
            <v>45636</v>
          </cell>
          <cell r="K9629">
            <v>8</v>
          </cell>
        </row>
        <row r="9630">
          <cell r="C9630" t="str">
            <v>黎育誠</v>
          </cell>
          <cell r="J9630">
            <v>45637</v>
          </cell>
          <cell r="K9630">
            <v>8</v>
          </cell>
        </row>
        <row r="9631">
          <cell r="C9631" t="str">
            <v>黎育誠</v>
          </cell>
          <cell r="J9631">
            <v>45638</v>
          </cell>
          <cell r="K9631">
            <v>8</v>
          </cell>
        </row>
        <row r="9632">
          <cell r="C9632" t="str">
            <v>黎育誠</v>
          </cell>
          <cell r="J9632">
            <v>45639</v>
          </cell>
          <cell r="K9632">
            <v>8</v>
          </cell>
        </row>
        <row r="9633">
          <cell r="C9633" t="str">
            <v>黎育誠</v>
          </cell>
          <cell r="J9633">
            <v>45642</v>
          </cell>
          <cell r="K9633">
            <v>8</v>
          </cell>
        </row>
        <row r="9634">
          <cell r="C9634" t="str">
            <v>黎育誠</v>
          </cell>
          <cell r="F9634" t="str">
            <v>M240702R1</v>
          </cell>
          <cell r="J9634">
            <v>45643</v>
          </cell>
          <cell r="K9634">
            <v>8</v>
          </cell>
        </row>
        <row r="9635">
          <cell r="C9635" t="str">
            <v>黎育誠</v>
          </cell>
          <cell r="F9635" t="str">
            <v>M240702R1</v>
          </cell>
          <cell r="J9635">
            <v>45644</v>
          </cell>
          <cell r="K9635">
            <v>8</v>
          </cell>
        </row>
        <row r="9636">
          <cell r="C9636" t="str">
            <v>黎育誠</v>
          </cell>
          <cell r="F9636" t="str">
            <v>M240702R1</v>
          </cell>
          <cell r="J9636">
            <v>45645</v>
          </cell>
          <cell r="K9636">
            <v>8</v>
          </cell>
        </row>
        <row r="9637">
          <cell r="C9637" t="str">
            <v>黎育誠</v>
          </cell>
          <cell r="J9637">
            <v>45646</v>
          </cell>
          <cell r="K9637">
            <v>8</v>
          </cell>
        </row>
        <row r="9638">
          <cell r="C9638" t="str">
            <v>黎育誠</v>
          </cell>
          <cell r="J9638">
            <v>45649</v>
          </cell>
          <cell r="K9638">
            <v>8</v>
          </cell>
        </row>
        <row r="9639">
          <cell r="C9639" t="str">
            <v>黎育誠</v>
          </cell>
          <cell r="J9639">
            <v>45650</v>
          </cell>
          <cell r="K9639">
            <v>8</v>
          </cell>
        </row>
        <row r="9640">
          <cell r="C9640" t="str">
            <v>黎育誠</v>
          </cell>
          <cell r="J9640">
            <v>45651</v>
          </cell>
          <cell r="K9640">
            <v>8</v>
          </cell>
        </row>
        <row r="9641">
          <cell r="C9641" t="str">
            <v>黎育誠</v>
          </cell>
          <cell r="J9641">
            <v>45652</v>
          </cell>
          <cell r="K9641">
            <v>8</v>
          </cell>
        </row>
        <row r="9642">
          <cell r="C9642" t="str">
            <v>黎育誠</v>
          </cell>
          <cell r="J9642">
            <v>45653</v>
          </cell>
          <cell r="K9642">
            <v>8</v>
          </cell>
        </row>
        <row r="9643">
          <cell r="C9643" t="str">
            <v>黎育誠</v>
          </cell>
          <cell r="J9643">
            <v>45656</v>
          </cell>
          <cell r="K9643">
            <v>8</v>
          </cell>
        </row>
        <row r="9644">
          <cell r="C9644" t="str">
            <v>黎育誠</v>
          </cell>
          <cell r="J9644">
            <v>45657</v>
          </cell>
          <cell r="K9644">
            <v>8</v>
          </cell>
        </row>
        <row r="9645">
          <cell r="C9645" t="str">
            <v>黎育誠</v>
          </cell>
          <cell r="J9645">
            <v>45659</v>
          </cell>
          <cell r="K9645">
            <v>8</v>
          </cell>
        </row>
        <row r="9646">
          <cell r="C9646" t="str">
            <v>黎育誠</v>
          </cell>
          <cell r="J9646">
            <v>45660</v>
          </cell>
          <cell r="K9646">
            <v>8</v>
          </cell>
        </row>
        <row r="9647">
          <cell r="C9647" t="str">
            <v>黎育誠</v>
          </cell>
          <cell r="J9647">
            <v>45663</v>
          </cell>
          <cell r="K9647">
            <v>8</v>
          </cell>
        </row>
        <row r="9648">
          <cell r="C9648" t="str">
            <v>黎育誠</v>
          </cell>
          <cell r="J9648">
            <v>45664</v>
          </cell>
          <cell r="K9648">
            <v>8</v>
          </cell>
        </row>
        <row r="9649">
          <cell r="C9649" t="str">
            <v>黎育誠</v>
          </cell>
          <cell r="J9649">
            <v>45665</v>
          </cell>
          <cell r="K9649">
            <v>8</v>
          </cell>
        </row>
        <row r="9650">
          <cell r="C9650" t="str">
            <v>黎育誠</v>
          </cell>
          <cell r="J9650">
            <v>45666</v>
          </cell>
          <cell r="K9650">
            <v>8</v>
          </cell>
        </row>
        <row r="9651">
          <cell r="C9651" t="str">
            <v>黎育誠</v>
          </cell>
          <cell r="J9651">
            <v>45667</v>
          </cell>
          <cell r="K9651">
            <v>8</v>
          </cell>
        </row>
        <row r="9652">
          <cell r="C9652" t="str">
            <v>黎育誠</v>
          </cell>
          <cell r="J9652">
            <v>45670</v>
          </cell>
          <cell r="K9652">
            <v>8</v>
          </cell>
        </row>
        <row r="9653">
          <cell r="C9653" t="str">
            <v>黎育誠</v>
          </cell>
          <cell r="J9653">
            <v>45671</v>
          </cell>
          <cell r="K9653">
            <v>8</v>
          </cell>
        </row>
        <row r="9654">
          <cell r="C9654" t="str">
            <v>黎育誠</v>
          </cell>
          <cell r="J9654">
            <v>45672</v>
          </cell>
          <cell r="K9654">
            <v>8</v>
          </cell>
        </row>
        <row r="9655">
          <cell r="C9655" t="str">
            <v>黎育誠</v>
          </cell>
          <cell r="J9655">
            <v>45673</v>
          </cell>
          <cell r="K9655">
            <v>8</v>
          </cell>
        </row>
        <row r="9656">
          <cell r="C9656" t="str">
            <v>黎育誠</v>
          </cell>
          <cell r="J9656">
            <v>45674</v>
          </cell>
          <cell r="K9656">
            <v>8</v>
          </cell>
        </row>
        <row r="9657">
          <cell r="C9657" t="str">
            <v>黎育誠</v>
          </cell>
          <cell r="J9657">
            <v>45677</v>
          </cell>
          <cell r="K9657">
            <v>8</v>
          </cell>
        </row>
        <row r="9658">
          <cell r="C9658" t="str">
            <v>黎育誠</v>
          </cell>
          <cell r="J9658">
            <v>45678</v>
          </cell>
          <cell r="K9658">
            <v>8</v>
          </cell>
        </row>
        <row r="9659">
          <cell r="C9659" t="str">
            <v>黎育誠</v>
          </cell>
          <cell r="J9659">
            <v>45679</v>
          </cell>
          <cell r="K9659">
            <v>8</v>
          </cell>
        </row>
        <row r="9660">
          <cell r="C9660" t="str">
            <v>黎育誠</v>
          </cell>
          <cell r="J9660">
            <v>45680</v>
          </cell>
          <cell r="K9660">
            <v>8</v>
          </cell>
        </row>
        <row r="9661">
          <cell r="C9661" t="str">
            <v>黎育誠</v>
          </cell>
          <cell r="J9661">
            <v>45681</v>
          </cell>
          <cell r="K9661">
            <v>8</v>
          </cell>
        </row>
        <row r="9662">
          <cell r="C9662" t="str">
            <v>黎育誠</v>
          </cell>
          <cell r="J9662">
            <v>45691</v>
          </cell>
          <cell r="K9662">
            <v>8</v>
          </cell>
        </row>
        <row r="9663">
          <cell r="C9663" t="str">
            <v>黎育誠</v>
          </cell>
          <cell r="J9663">
            <v>45693</v>
          </cell>
          <cell r="K9663">
            <v>8</v>
          </cell>
        </row>
        <row r="9664">
          <cell r="C9664" t="str">
            <v>黎育誠</v>
          </cell>
          <cell r="J9664">
            <v>45694</v>
          </cell>
          <cell r="K9664">
            <v>8</v>
          </cell>
        </row>
        <row r="9665">
          <cell r="C9665" t="str">
            <v>黎育誠</v>
          </cell>
          <cell r="J9665">
            <v>45695</v>
          </cell>
          <cell r="K9665">
            <v>8</v>
          </cell>
        </row>
        <row r="9666">
          <cell r="C9666" t="str">
            <v>黎育誠</v>
          </cell>
          <cell r="J9666">
            <v>45696</v>
          </cell>
          <cell r="K9666">
            <v>8</v>
          </cell>
        </row>
        <row r="9667">
          <cell r="C9667" t="str">
            <v>張政崙</v>
          </cell>
          <cell r="F9667" t="str">
            <v>M221005R2</v>
          </cell>
          <cell r="J9667">
            <v>45481</v>
          </cell>
          <cell r="K9667">
            <v>8</v>
          </cell>
        </row>
        <row r="9668">
          <cell r="C9668" t="str">
            <v>張政崙</v>
          </cell>
          <cell r="F9668" t="str">
            <v>M221005R2</v>
          </cell>
          <cell r="J9668">
            <v>45482</v>
          </cell>
          <cell r="K9668">
            <v>8</v>
          </cell>
        </row>
        <row r="9669">
          <cell r="C9669" t="str">
            <v>張政崙</v>
          </cell>
          <cell r="F9669" t="str">
            <v>M221005R2</v>
          </cell>
          <cell r="J9669">
            <v>45483</v>
          </cell>
          <cell r="K9669">
            <v>8</v>
          </cell>
        </row>
        <row r="9670">
          <cell r="C9670" t="str">
            <v>張政崙</v>
          </cell>
          <cell r="F9670" t="str">
            <v>M221005R2</v>
          </cell>
          <cell r="J9670">
            <v>45484</v>
          </cell>
          <cell r="K9670">
            <v>8</v>
          </cell>
        </row>
        <row r="9671">
          <cell r="C9671" t="str">
            <v>張政崙</v>
          </cell>
          <cell r="F9671" t="str">
            <v>M221005R2</v>
          </cell>
          <cell r="J9671">
            <v>45485</v>
          </cell>
          <cell r="K9671">
            <v>8</v>
          </cell>
        </row>
        <row r="9672">
          <cell r="C9672" t="str">
            <v>張政崙</v>
          </cell>
          <cell r="F9672" t="str">
            <v>M221005R2</v>
          </cell>
          <cell r="J9672">
            <v>45488</v>
          </cell>
          <cell r="K9672">
            <v>8</v>
          </cell>
        </row>
        <row r="9673">
          <cell r="C9673" t="str">
            <v>張政崙</v>
          </cell>
          <cell r="F9673" t="str">
            <v>M221005R2</v>
          </cell>
          <cell r="J9673">
            <v>45489</v>
          </cell>
          <cell r="K9673">
            <v>8</v>
          </cell>
        </row>
        <row r="9674">
          <cell r="C9674" t="str">
            <v>張政崙</v>
          </cell>
          <cell r="F9674" t="str">
            <v>M221005R2</v>
          </cell>
          <cell r="J9674">
            <v>45490</v>
          </cell>
          <cell r="K9674">
            <v>8</v>
          </cell>
        </row>
        <row r="9675">
          <cell r="C9675" t="str">
            <v>張政崙</v>
          </cell>
          <cell r="F9675" t="str">
            <v>M221005R2</v>
          </cell>
          <cell r="J9675">
            <v>45491</v>
          </cell>
          <cell r="K9675">
            <v>3</v>
          </cell>
        </row>
        <row r="9676">
          <cell r="C9676" t="str">
            <v>張政崙</v>
          </cell>
          <cell r="J9676">
            <v>45492</v>
          </cell>
          <cell r="K9676">
            <v>3</v>
          </cell>
        </row>
        <row r="9677">
          <cell r="C9677" t="str">
            <v>張政崙</v>
          </cell>
          <cell r="J9677">
            <v>45495</v>
          </cell>
          <cell r="K9677">
            <v>8</v>
          </cell>
        </row>
        <row r="9678">
          <cell r="C9678" t="str">
            <v>張政崙</v>
          </cell>
          <cell r="J9678">
            <v>45496</v>
          </cell>
          <cell r="K9678">
            <v>8</v>
          </cell>
        </row>
        <row r="9679">
          <cell r="C9679" t="str">
            <v>張政崙</v>
          </cell>
          <cell r="J9679">
            <v>45499</v>
          </cell>
          <cell r="K9679">
            <v>8</v>
          </cell>
        </row>
        <row r="9680">
          <cell r="C9680" t="str">
            <v>張政崙</v>
          </cell>
          <cell r="J9680">
            <v>45502</v>
          </cell>
          <cell r="K9680">
            <v>8</v>
          </cell>
        </row>
        <row r="9681">
          <cell r="C9681" t="str">
            <v>張政崙</v>
          </cell>
          <cell r="J9681">
            <v>45503</v>
          </cell>
          <cell r="K9681">
            <v>8</v>
          </cell>
        </row>
        <row r="9682">
          <cell r="C9682" t="str">
            <v>張政崙</v>
          </cell>
          <cell r="J9682">
            <v>45504</v>
          </cell>
          <cell r="K9682">
            <v>8</v>
          </cell>
        </row>
        <row r="9683">
          <cell r="C9683" t="str">
            <v>張政崙</v>
          </cell>
          <cell r="F9683" t="str">
            <v>K240701R1</v>
          </cell>
          <cell r="J9683">
            <v>45505</v>
          </cell>
          <cell r="K9683">
            <v>8</v>
          </cell>
        </row>
        <row r="9684">
          <cell r="C9684" t="str">
            <v>張政崙</v>
          </cell>
          <cell r="F9684" t="str">
            <v>K240701R1</v>
          </cell>
          <cell r="J9684">
            <v>45506</v>
          </cell>
          <cell r="K9684">
            <v>8</v>
          </cell>
        </row>
        <row r="9685">
          <cell r="C9685" t="str">
            <v>張政崙</v>
          </cell>
          <cell r="F9685" t="str">
            <v>K240701R1</v>
          </cell>
          <cell r="J9685">
            <v>45509</v>
          </cell>
          <cell r="K9685">
            <v>8</v>
          </cell>
        </row>
        <row r="9686">
          <cell r="C9686" t="str">
            <v>張政崙</v>
          </cell>
          <cell r="F9686" t="str">
            <v>K240701R1</v>
          </cell>
          <cell r="J9686">
            <v>45510</v>
          </cell>
          <cell r="K9686">
            <v>8</v>
          </cell>
        </row>
        <row r="9687">
          <cell r="C9687" t="str">
            <v>張政崙</v>
          </cell>
          <cell r="F9687" t="str">
            <v>K240701R1</v>
          </cell>
          <cell r="J9687">
            <v>45511</v>
          </cell>
          <cell r="K9687">
            <v>8</v>
          </cell>
        </row>
        <row r="9688">
          <cell r="C9688" t="str">
            <v>張政崙</v>
          </cell>
          <cell r="F9688" t="str">
            <v>K240701R1</v>
          </cell>
          <cell r="J9688">
            <v>45512</v>
          </cell>
          <cell r="K9688">
            <v>8</v>
          </cell>
        </row>
        <row r="9689">
          <cell r="C9689" t="str">
            <v>張政崙</v>
          </cell>
          <cell r="F9689" t="str">
            <v>K240701R1</v>
          </cell>
          <cell r="J9689">
            <v>45513</v>
          </cell>
          <cell r="K9689">
            <v>8</v>
          </cell>
        </row>
        <row r="9690">
          <cell r="C9690" t="str">
            <v>張政崙</v>
          </cell>
          <cell r="F9690" t="str">
            <v>K240701R1</v>
          </cell>
          <cell r="J9690">
            <v>45516</v>
          </cell>
          <cell r="K9690">
            <v>9</v>
          </cell>
        </row>
        <row r="9691">
          <cell r="C9691" t="str">
            <v>張政崙</v>
          </cell>
          <cell r="F9691" t="str">
            <v>K240701R1</v>
          </cell>
          <cell r="J9691">
            <v>45517</v>
          </cell>
          <cell r="K9691">
            <v>8</v>
          </cell>
        </row>
        <row r="9692">
          <cell r="C9692" t="str">
            <v>張政崙</v>
          </cell>
          <cell r="F9692" t="str">
            <v>K240701R1</v>
          </cell>
          <cell r="J9692">
            <v>45518</v>
          </cell>
          <cell r="K9692">
            <v>8</v>
          </cell>
        </row>
        <row r="9693">
          <cell r="C9693" t="str">
            <v>張政崙</v>
          </cell>
          <cell r="F9693" t="str">
            <v>K240701R1</v>
          </cell>
          <cell r="J9693">
            <v>45519</v>
          </cell>
          <cell r="K9693">
            <v>8</v>
          </cell>
        </row>
        <row r="9694">
          <cell r="C9694" t="str">
            <v>張政崙</v>
          </cell>
          <cell r="F9694" t="str">
            <v>K240701R1</v>
          </cell>
          <cell r="J9694">
            <v>45520</v>
          </cell>
          <cell r="K9694">
            <v>8</v>
          </cell>
        </row>
        <row r="9695">
          <cell r="C9695" t="str">
            <v>張政崙</v>
          </cell>
          <cell r="F9695" t="str">
            <v>K240701R1</v>
          </cell>
          <cell r="J9695">
            <v>45523</v>
          </cell>
          <cell r="K9695">
            <v>8</v>
          </cell>
        </row>
        <row r="9696">
          <cell r="C9696" t="str">
            <v>張政崙</v>
          </cell>
          <cell r="F9696" t="str">
            <v>K240701R1</v>
          </cell>
          <cell r="J9696">
            <v>45524</v>
          </cell>
          <cell r="K9696">
            <v>8</v>
          </cell>
        </row>
        <row r="9697">
          <cell r="C9697" t="str">
            <v>張政崙</v>
          </cell>
          <cell r="F9697" t="str">
            <v>K240701R1</v>
          </cell>
          <cell r="J9697">
            <v>45525</v>
          </cell>
          <cell r="K9697">
            <v>8</v>
          </cell>
        </row>
        <row r="9698">
          <cell r="C9698" t="str">
            <v>張政崙</v>
          </cell>
          <cell r="F9698" t="str">
            <v>K240701R1</v>
          </cell>
          <cell r="J9698">
            <v>45526</v>
          </cell>
          <cell r="K9698">
            <v>8</v>
          </cell>
        </row>
        <row r="9699">
          <cell r="C9699" t="str">
            <v>張政崙</v>
          </cell>
          <cell r="F9699" t="str">
            <v>K240701R1</v>
          </cell>
          <cell r="J9699">
            <v>45527</v>
          </cell>
          <cell r="K9699">
            <v>8</v>
          </cell>
        </row>
        <row r="9700">
          <cell r="C9700" t="str">
            <v>張政崙</v>
          </cell>
          <cell r="F9700" t="str">
            <v>K240701R1</v>
          </cell>
          <cell r="J9700">
            <v>45530</v>
          </cell>
          <cell r="K9700">
            <v>8</v>
          </cell>
        </row>
        <row r="9701">
          <cell r="C9701" t="str">
            <v>張政崙</v>
          </cell>
          <cell r="F9701" t="str">
            <v>K240701R1</v>
          </cell>
          <cell r="J9701">
            <v>45531</v>
          </cell>
          <cell r="K9701">
            <v>8</v>
          </cell>
        </row>
        <row r="9702">
          <cell r="C9702" t="str">
            <v>張政崙</v>
          </cell>
          <cell r="F9702" t="str">
            <v>K240701R1</v>
          </cell>
          <cell r="J9702">
            <v>45532</v>
          </cell>
          <cell r="K9702">
            <v>8</v>
          </cell>
        </row>
        <row r="9703">
          <cell r="C9703" t="str">
            <v>張政崙</v>
          </cell>
          <cell r="F9703" t="str">
            <v>K240701R1</v>
          </cell>
          <cell r="J9703">
            <v>45533</v>
          </cell>
          <cell r="K9703">
            <v>8</v>
          </cell>
        </row>
        <row r="9704">
          <cell r="C9704" t="str">
            <v>張政崙</v>
          </cell>
          <cell r="F9704" t="str">
            <v>K240701R1</v>
          </cell>
          <cell r="J9704">
            <v>45534</v>
          </cell>
          <cell r="K9704">
            <v>8</v>
          </cell>
        </row>
        <row r="9705">
          <cell r="C9705" t="str">
            <v>張政崙</v>
          </cell>
          <cell r="F9705" t="str">
            <v>K240701R1</v>
          </cell>
          <cell r="J9705">
            <v>45537</v>
          </cell>
          <cell r="K9705">
            <v>8</v>
          </cell>
        </row>
        <row r="9706">
          <cell r="C9706" t="str">
            <v>張政崙</v>
          </cell>
          <cell r="F9706" t="str">
            <v>K240701R1</v>
          </cell>
          <cell r="J9706">
            <v>45538</v>
          </cell>
          <cell r="K9706">
            <v>8</v>
          </cell>
        </row>
        <row r="9707">
          <cell r="C9707" t="str">
            <v>張政崙</v>
          </cell>
          <cell r="F9707" t="str">
            <v>K240701R1</v>
          </cell>
          <cell r="J9707">
            <v>45539</v>
          </cell>
          <cell r="K9707">
            <v>8</v>
          </cell>
        </row>
        <row r="9708">
          <cell r="C9708" t="str">
            <v>張政崙</v>
          </cell>
          <cell r="F9708" t="str">
            <v>K240701R1</v>
          </cell>
          <cell r="J9708">
            <v>45540</v>
          </cell>
          <cell r="K9708">
            <v>8</v>
          </cell>
        </row>
        <row r="9709">
          <cell r="C9709" t="str">
            <v>張政崙</v>
          </cell>
          <cell r="F9709" t="str">
            <v>M240704R1</v>
          </cell>
          <cell r="J9709">
            <v>45541</v>
          </cell>
          <cell r="K9709">
            <v>8</v>
          </cell>
        </row>
        <row r="9710">
          <cell r="C9710" t="str">
            <v>張政崙</v>
          </cell>
          <cell r="F9710" t="str">
            <v>M240704R1</v>
          </cell>
          <cell r="J9710">
            <v>45544</v>
          </cell>
          <cell r="K9710">
            <v>8</v>
          </cell>
        </row>
        <row r="9711">
          <cell r="C9711" t="str">
            <v>張政崙</v>
          </cell>
          <cell r="F9711" t="str">
            <v>M240704R1</v>
          </cell>
          <cell r="J9711">
            <v>45545</v>
          </cell>
          <cell r="K9711">
            <v>8</v>
          </cell>
        </row>
        <row r="9712">
          <cell r="C9712" t="str">
            <v>張政崙</v>
          </cell>
          <cell r="F9712" t="str">
            <v>M240704R1</v>
          </cell>
          <cell r="J9712">
            <v>45546</v>
          </cell>
          <cell r="K9712">
            <v>8</v>
          </cell>
        </row>
        <row r="9713">
          <cell r="C9713" t="str">
            <v>張政崙</v>
          </cell>
          <cell r="F9713" t="str">
            <v>M240704R1</v>
          </cell>
          <cell r="J9713">
            <v>45547</v>
          </cell>
          <cell r="K9713">
            <v>8</v>
          </cell>
        </row>
        <row r="9714">
          <cell r="C9714" t="str">
            <v>張政崙</v>
          </cell>
          <cell r="F9714" t="str">
            <v>M240704R1</v>
          </cell>
          <cell r="J9714">
            <v>45548</v>
          </cell>
          <cell r="K9714">
            <v>8</v>
          </cell>
        </row>
        <row r="9715">
          <cell r="C9715" t="str">
            <v>張政崙</v>
          </cell>
          <cell r="F9715" t="str">
            <v>M240704R1</v>
          </cell>
          <cell r="J9715">
            <v>45551</v>
          </cell>
          <cell r="K9715">
            <v>8</v>
          </cell>
        </row>
        <row r="9716">
          <cell r="C9716" t="str">
            <v>張政崙</v>
          </cell>
          <cell r="J9716">
            <v>45552</v>
          </cell>
          <cell r="K9716">
            <v>8</v>
          </cell>
        </row>
        <row r="9717">
          <cell r="C9717" t="str">
            <v>張政崙</v>
          </cell>
          <cell r="F9717" t="str">
            <v>M240704R1</v>
          </cell>
          <cell r="J9717">
            <v>45553</v>
          </cell>
          <cell r="K9717">
            <v>8</v>
          </cell>
        </row>
        <row r="9718">
          <cell r="C9718" t="str">
            <v>張政崙</v>
          </cell>
          <cell r="F9718" t="str">
            <v>M240704R1</v>
          </cell>
          <cell r="J9718">
            <v>45554</v>
          </cell>
          <cell r="K9718">
            <v>3</v>
          </cell>
        </row>
        <row r="9719">
          <cell r="C9719" t="str">
            <v>張政崙</v>
          </cell>
          <cell r="J9719">
            <v>45554</v>
          </cell>
          <cell r="K9719">
            <v>5</v>
          </cell>
        </row>
        <row r="9720">
          <cell r="C9720" t="str">
            <v>張政崙</v>
          </cell>
          <cell r="J9720">
            <v>45555</v>
          </cell>
          <cell r="K9720">
            <v>1</v>
          </cell>
        </row>
        <row r="9721">
          <cell r="C9721" t="str">
            <v>張政崙</v>
          </cell>
          <cell r="J9721">
            <v>45555</v>
          </cell>
          <cell r="K9721">
            <v>1.5</v>
          </cell>
        </row>
        <row r="9722">
          <cell r="C9722" t="str">
            <v>張政崙</v>
          </cell>
          <cell r="F9722" t="str">
            <v>M240704R1</v>
          </cell>
          <cell r="J9722">
            <v>45555</v>
          </cell>
          <cell r="K9722">
            <v>5.5</v>
          </cell>
        </row>
        <row r="9723">
          <cell r="C9723" t="str">
            <v>張政崙</v>
          </cell>
          <cell r="F9723" t="str">
            <v>M240704R1</v>
          </cell>
          <cell r="J9723">
            <v>45558</v>
          </cell>
          <cell r="K9723">
            <v>8</v>
          </cell>
        </row>
        <row r="9724">
          <cell r="C9724" t="str">
            <v>張政崙</v>
          </cell>
          <cell r="J9724">
            <v>45559</v>
          </cell>
          <cell r="K9724">
            <v>3.5</v>
          </cell>
        </row>
        <row r="9725">
          <cell r="C9725" t="str">
            <v>張政崙</v>
          </cell>
          <cell r="F9725" t="str">
            <v>M240704R1</v>
          </cell>
          <cell r="J9725">
            <v>45559</v>
          </cell>
          <cell r="K9725">
            <v>4.5</v>
          </cell>
        </row>
        <row r="9726">
          <cell r="C9726" t="str">
            <v>張政崙</v>
          </cell>
          <cell r="F9726" t="str">
            <v>M240704R1</v>
          </cell>
          <cell r="J9726">
            <v>45560</v>
          </cell>
          <cell r="K9726">
            <v>8</v>
          </cell>
        </row>
        <row r="9727">
          <cell r="C9727" t="str">
            <v>張政崙</v>
          </cell>
          <cell r="F9727" t="str">
            <v>M240704R1</v>
          </cell>
          <cell r="J9727">
            <v>45561</v>
          </cell>
          <cell r="K9727">
            <v>8</v>
          </cell>
        </row>
        <row r="9728">
          <cell r="C9728" t="str">
            <v>張政崙</v>
          </cell>
          <cell r="F9728" t="str">
            <v>M240704R1</v>
          </cell>
          <cell r="J9728">
            <v>45562</v>
          </cell>
          <cell r="K9728">
            <v>7</v>
          </cell>
        </row>
        <row r="9729">
          <cell r="C9729" t="str">
            <v>張政崙</v>
          </cell>
          <cell r="J9729">
            <v>45562</v>
          </cell>
          <cell r="K9729">
            <v>1</v>
          </cell>
        </row>
        <row r="9730">
          <cell r="C9730" t="str">
            <v>張政崙</v>
          </cell>
          <cell r="F9730" t="str">
            <v>M240704R1</v>
          </cell>
          <cell r="J9730">
            <v>45565</v>
          </cell>
          <cell r="K9730">
            <v>8</v>
          </cell>
        </row>
        <row r="9731">
          <cell r="C9731" t="str">
            <v>張政崙</v>
          </cell>
          <cell r="F9731" t="str">
            <v>M240704R1</v>
          </cell>
          <cell r="J9731">
            <v>45566</v>
          </cell>
          <cell r="K9731">
            <v>8</v>
          </cell>
        </row>
        <row r="9732">
          <cell r="C9732" t="str">
            <v>張政崙</v>
          </cell>
          <cell r="J9732">
            <v>45567</v>
          </cell>
          <cell r="K9732">
            <v>8</v>
          </cell>
        </row>
        <row r="9733">
          <cell r="C9733" t="str">
            <v>張政崙</v>
          </cell>
          <cell r="J9733">
            <v>45568</v>
          </cell>
          <cell r="K9733">
            <v>8</v>
          </cell>
        </row>
        <row r="9734">
          <cell r="C9734" t="str">
            <v>張政崙</v>
          </cell>
          <cell r="F9734" t="str">
            <v>M240704R1</v>
          </cell>
          <cell r="J9734">
            <v>45569</v>
          </cell>
          <cell r="K9734">
            <v>8</v>
          </cell>
        </row>
        <row r="9735">
          <cell r="C9735" t="str">
            <v>張政崙</v>
          </cell>
          <cell r="F9735" t="str">
            <v>M240704R1</v>
          </cell>
          <cell r="J9735">
            <v>45572</v>
          </cell>
          <cell r="K9735">
            <v>8</v>
          </cell>
        </row>
        <row r="9736">
          <cell r="C9736" t="str">
            <v>張政崙</v>
          </cell>
          <cell r="F9736" t="str">
            <v>M240704R1</v>
          </cell>
          <cell r="J9736">
            <v>45573</v>
          </cell>
          <cell r="K9736">
            <v>8</v>
          </cell>
        </row>
        <row r="9737">
          <cell r="C9737" t="str">
            <v>張政崙</v>
          </cell>
          <cell r="F9737" t="str">
            <v>M240704R1</v>
          </cell>
          <cell r="J9737">
            <v>45574</v>
          </cell>
          <cell r="K9737">
            <v>8</v>
          </cell>
        </row>
        <row r="9738">
          <cell r="C9738" t="str">
            <v>張政崙</v>
          </cell>
          <cell r="J9738">
            <v>45575</v>
          </cell>
          <cell r="K9738">
            <v>8</v>
          </cell>
        </row>
        <row r="9739">
          <cell r="C9739" t="str">
            <v>張政崙</v>
          </cell>
          <cell r="F9739" t="str">
            <v>M240704R1</v>
          </cell>
          <cell r="J9739">
            <v>45576</v>
          </cell>
          <cell r="K9739">
            <v>8</v>
          </cell>
        </row>
        <row r="9740">
          <cell r="C9740" t="str">
            <v>張政崙</v>
          </cell>
          <cell r="F9740" t="str">
            <v>M240704R1</v>
          </cell>
          <cell r="J9740">
            <v>45579</v>
          </cell>
          <cell r="K9740">
            <v>8</v>
          </cell>
        </row>
        <row r="9741">
          <cell r="C9741" t="str">
            <v>張政崙</v>
          </cell>
          <cell r="F9741" t="str">
            <v>M240704R1</v>
          </cell>
          <cell r="J9741">
            <v>45580</v>
          </cell>
          <cell r="K9741">
            <v>8</v>
          </cell>
        </row>
        <row r="9742">
          <cell r="C9742" t="str">
            <v>張政崙</v>
          </cell>
          <cell r="F9742" t="str">
            <v>M240704R1</v>
          </cell>
          <cell r="J9742">
            <v>45581</v>
          </cell>
          <cell r="K9742">
            <v>8</v>
          </cell>
        </row>
        <row r="9743">
          <cell r="C9743" t="str">
            <v>張政崙</v>
          </cell>
          <cell r="F9743" t="str">
            <v>M240704R1</v>
          </cell>
          <cell r="J9743">
            <v>45582</v>
          </cell>
          <cell r="K9743">
            <v>8</v>
          </cell>
        </row>
        <row r="9744">
          <cell r="C9744" t="str">
            <v>張政崙</v>
          </cell>
          <cell r="F9744" t="str">
            <v>M240704R1</v>
          </cell>
          <cell r="J9744">
            <v>45583</v>
          </cell>
          <cell r="K9744">
            <v>8</v>
          </cell>
        </row>
        <row r="9745">
          <cell r="C9745" t="str">
            <v>張政崙</v>
          </cell>
          <cell r="F9745" t="str">
            <v>M240704R1</v>
          </cell>
          <cell r="J9745">
            <v>45586</v>
          </cell>
          <cell r="K9745">
            <v>8</v>
          </cell>
        </row>
        <row r="9746">
          <cell r="C9746" t="str">
            <v>張政崙</v>
          </cell>
          <cell r="F9746" t="str">
            <v>M240704R1</v>
          </cell>
          <cell r="J9746">
            <v>45587</v>
          </cell>
          <cell r="K9746">
            <v>8</v>
          </cell>
        </row>
        <row r="9747">
          <cell r="C9747" t="str">
            <v>張政崙</v>
          </cell>
          <cell r="F9747" t="str">
            <v>M240704R1</v>
          </cell>
          <cell r="J9747">
            <v>45588</v>
          </cell>
          <cell r="K9747">
            <v>8</v>
          </cell>
        </row>
        <row r="9748">
          <cell r="C9748" t="str">
            <v>張政崙</v>
          </cell>
          <cell r="F9748" t="str">
            <v>M240704R1</v>
          </cell>
          <cell r="J9748">
            <v>45589</v>
          </cell>
          <cell r="K9748">
            <v>8</v>
          </cell>
        </row>
        <row r="9749">
          <cell r="C9749" t="str">
            <v>張政崙</v>
          </cell>
          <cell r="F9749" t="str">
            <v>M240704R1</v>
          </cell>
          <cell r="J9749">
            <v>45590</v>
          </cell>
          <cell r="K9749">
            <v>8</v>
          </cell>
        </row>
        <row r="9750">
          <cell r="C9750" t="str">
            <v>張政崙</v>
          </cell>
          <cell r="F9750" t="str">
            <v>M240704R1</v>
          </cell>
          <cell r="J9750">
            <v>45593</v>
          </cell>
          <cell r="K9750">
            <v>8</v>
          </cell>
        </row>
        <row r="9751">
          <cell r="C9751" t="str">
            <v>張政崙</v>
          </cell>
          <cell r="F9751" t="str">
            <v>M240704R1</v>
          </cell>
          <cell r="J9751">
            <v>45594</v>
          </cell>
          <cell r="K9751">
            <v>8</v>
          </cell>
        </row>
        <row r="9752">
          <cell r="C9752" t="str">
            <v>張政崙</v>
          </cell>
          <cell r="F9752" t="str">
            <v>M240704R1</v>
          </cell>
          <cell r="J9752">
            <v>45595</v>
          </cell>
          <cell r="K9752">
            <v>8</v>
          </cell>
        </row>
        <row r="9753">
          <cell r="C9753" t="str">
            <v>張政崙</v>
          </cell>
          <cell r="J9753">
            <v>45596</v>
          </cell>
          <cell r="K9753">
            <v>8</v>
          </cell>
        </row>
        <row r="9754">
          <cell r="C9754" t="str">
            <v>張政崙</v>
          </cell>
          <cell r="F9754" t="str">
            <v>M240704R1</v>
          </cell>
          <cell r="J9754">
            <v>45597</v>
          </cell>
          <cell r="K9754">
            <v>8</v>
          </cell>
        </row>
        <row r="9755">
          <cell r="C9755" t="str">
            <v>張政崙</v>
          </cell>
          <cell r="F9755" t="str">
            <v>M240704R1</v>
          </cell>
          <cell r="J9755">
            <v>45600</v>
          </cell>
          <cell r="K9755">
            <v>8</v>
          </cell>
        </row>
        <row r="9756">
          <cell r="C9756" t="str">
            <v>張政崙</v>
          </cell>
          <cell r="F9756" t="str">
            <v>M240704R1</v>
          </cell>
          <cell r="J9756">
            <v>45601</v>
          </cell>
          <cell r="K9756">
            <v>8</v>
          </cell>
        </row>
        <row r="9757">
          <cell r="C9757" t="str">
            <v>張政崙</v>
          </cell>
          <cell r="F9757" t="str">
            <v>M240704R1</v>
          </cell>
          <cell r="J9757">
            <v>45602</v>
          </cell>
          <cell r="K9757">
            <v>8</v>
          </cell>
        </row>
        <row r="9758">
          <cell r="C9758" t="str">
            <v>張政崙</v>
          </cell>
          <cell r="F9758" t="str">
            <v>M240704R1</v>
          </cell>
          <cell r="J9758">
            <v>45603</v>
          </cell>
          <cell r="K9758">
            <v>8</v>
          </cell>
        </row>
        <row r="9759">
          <cell r="C9759" t="str">
            <v>張政崙</v>
          </cell>
          <cell r="F9759" t="str">
            <v>M240704R1</v>
          </cell>
          <cell r="J9759">
            <v>45604</v>
          </cell>
          <cell r="K9759">
            <v>4</v>
          </cell>
        </row>
        <row r="9760">
          <cell r="C9760" t="str">
            <v>張政崙</v>
          </cell>
          <cell r="J9760">
            <v>45604</v>
          </cell>
          <cell r="K9760">
            <v>4</v>
          </cell>
        </row>
        <row r="9761">
          <cell r="C9761" t="str">
            <v>張政崙</v>
          </cell>
          <cell r="F9761" t="str">
            <v>M240704R1</v>
          </cell>
          <cell r="J9761">
            <v>45607</v>
          </cell>
          <cell r="K9761">
            <v>8</v>
          </cell>
        </row>
        <row r="9762">
          <cell r="C9762" t="str">
            <v>張政崙</v>
          </cell>
          <cell r="F9762" t="str">
            <v>M240704R1</v>
          </cell>
          <cell r="J9762">
            <v>45608</v>
          </cell>
          <cell r="K9762">
            <v>6</v>
          </cell>
        </row>
        <row r="9763">
          <cell r="C9763" t="str">
            <v>張政崙</v>
          </cell>
          <cell r="J9763">
            <v>45608</v>
          </cell>
          <cell r="K9763">
            <v>2</v>
          </cell>
        </row>
        <row r="9764">
          <cell r="C9764" t="str">
            <v>張政崙</v>
          </cell>
          <cell r="F9764" t="str">
            <v>M240704R1</v>
          </cell>
          <cell r="J9764">
            <v>45609</v>
          </cell>
          <cell r="K9764">
            <v>8</v>
          </cell>
        </row>
        <row r="9765">
          <cell r="C9765" t="str">
            <v>張政崙</v>
          </cell>
          <cell r="F9765" t="str">
            <v>M240704R1</v>
          </cell>
          <cell r="J9765">
            <v>45610</v>
          </cell>
          <cell r="K9765">
            <v>8</v>
          </cell>
        </row>
        <row r="9766">
          <cell r="C9766" t="str">
            <v>張政崙</v>
          </cell>
          <cell r="F9766" t="str">
            <v>M240704R1</v>
          </cell>
          <cell r="J9766">
            <v>45611</v>
          </cell>
          <cell r="K9766">
            <v>8</v>
          </cell>
        </row>
        <row r="9767">
          <cell r="C9767" t="str">
            <v>張政崙</v>
          </cell>
          <cell r="F9767" t="str">
            <v>M240704R1</v>
          </cell>
          <cell r="J9767">
            <v>45614</v>
          </cell>
          <cell r="K9767">
            <v>8</v>
          </cell>
        </row>
        <row r="9768">
          <cell r="C9768" t="str">
            <v>張政崙</v>
          </cell>
          <cell r="F9768" t="str">
            <v>M240704R1</v>
          </cell>
          <cell r="J9768">
            <v>45615</v>
          </cell>
          <cell r="K9768">
            <v>8</v>
          </cell>
        </row>
        <row r="9769">
          <cell r="C9769" t="str">
            <v>張政崙</v>
          </cell>
          <cell r="F9769" t="str">
            <v>M240704R1</v>
          </cell>
          <cell r="J9769">
            <v>45616</v>
          </cell>
          <cell r="K9769">
            <v>8</v>
          </cell>
        </row>
        <row r="9770">
          <cell r="C9770" t="str">
            <v>張政崙</v>
          </cell>
          <cell r="F9770" t="str">
            <v>M240704R1</v>
          </cell>
          <cell r="J9770">
            <v>45617</v>
          </cell>
          <cell r="K9770">
            <v>8</v>
          </cell>
        </row>
        <row r="9771">
          <cell r="C9771" t="str">
            <v>張政崙</v>
          </cell>
          <cell r="F9771" t="str">
            <v>M240704R1</v>
          </cell>
          <cell r="J9771">
            <v>45618</v>
          </cell>
          <cell r="K9771">
            <v>8</v>
          </cell>
        </row>
        <row r="9772">
          <cell r="C9772" t="str">
            <v>張政崙</v>
          </cell>
          <cell r="F9772" t="str">
            <v>M240704R1</v>
          </cell>
          <cell r="J9772">
            <v>45621</v>
          </cell>
          <cell r="K9772">
            <v>8</v>
          </cell>
        </row>
        <row r="9773">
          <cell r="C9773" t="str">
            <v>張政崙</v>
          </cell>
          <cell r="F9773" t="str">
            <v>M240704R1</v>
          </cell>
          <cell r="J9773">
            <v>45622</v>
          </cell>
          <cell r="K9773">
            <v>8</v>
          </cell>
        </row>
        <row r="9774">
          <cell r="C9774" t="str">
            <v>張政崙</v>
          </cell>
          <cell r="F9774" t="str">
            <v>M240704R1</v>
          </cell>
          <cell r="J9774">
            <v>45623</v>
          </cell>
          <cell r="K9774">
            <v>8</v>
          </cell>
        </row>
        <row r="9775">
          <cell r="C9775" t="str">
            <v>張政崙</v>
          </cell>
          <cell r="F9775" t="str">
            <v>M240704R1</v>
          </cell>
          <cell r="J9775">
            <v>45624</v>
          </cell>
          <cell r="K9775">
            <v>8</v>
          </cell>
        </row>
        <row r="9776">
          <cell r="C9776" t="str">
            <v>張政崙</v>
          </cell>
          <cell r="F9776" t="str">
            <v>M240704R1</v>
          </cell>
          <cell r="J9776">
            <v>45625</v>
          </cell>
          <cell r="K9776">
            <v>8</v>
          </cell>
        </row>
        <row r="9777">
          <cell r="C9777" t="str">
            <v>張政崙</v>
          </cell>
          <cell r="J9777">
            <v>45628</v>
          </cell>
          <cell r="K9777">
            <v>8</v>
          </cell>
        </row>
        <row r="9778">
          <cell r="C9778" t="str">
            <v>張政崙</v>
          </cell>
          <cell r="J9778">
            <v>45629</v>
          </cell>
          <cell r="K9778">
            <v>2</v>
          </cell>
        </row>
        <row r="9779">
          <cell r="C9779" t="str">
            <v>張政崙</v>
          </cell>
          <cell r="F9779" t="str">
            <v>M240704R1</v>
          </cell>
          <cell r="J9779">
            <v>45629</v>
          </cell>
          <cell r="K9779">
            <v>6</v>
          </cell>
        </row>
        <row r="9780">
          <cell r="C9780" t="str">
            <v>張政崙</v>
          </cell>
          <cell r="F9780" t="str">
            <v>M240704R1</v>
          </cell>
          <cell r="J9780">
            <v>45630</v>
          </cell>
          <cell r="K9780">
            <v>8</v>
          </cell>
        </row>
        <row r="9781">
          <cell r="C9781" t="str">
            <v>張政崙</v>
          </cell>
          <cell r="F9781" t="str">
            <v>M240704R1</v>
          </cell>
          <cell r="J9781">
            <v>45631</v>
          </cell>
          <cell r="K9781">
            <v>8</v>
          </cell>
        </row>
        <row r="9782">
          <cell r="C9782" t="str">
            <v>張政崙</v>
          </cell>
          <cell r="F9782" t="str">
            <v>M240704R1</v>
          </cell>
          <cell r="J9782">
            <v>45632</v>
          </cell>
          <cell r="K9782">
            <v>8</v>
          </cell>
        </row>
        <row r="9783">
          <cell r="C9783" t="str">
            <v>張政崙</v>
          </cell>
          <cell r="F9783" t="str">
            <v>M240704R1</v>
          </cell>
          <cell r="J9783">
            <v>45635</v>
          </cell>
          <cell r="K9783">
            <v>8</v>
          </cell>
        </row>
        <row r="9784">
          <cell r="C9784" t="str">
            <v>張政崙</v>
          </cell>
          <cell r="F9784" t="str">
            <v>M240704R1</v>
          </cell>
          <cell r="J9784">
            <v>45636</v>
          </cell>
          <cell r="K9784">
            <v>8</v>
          </cell>
        </row>
        <row r="9785">
          <cell r="C9785" t="str">
            <v>張政崙</v>
          </cell>
          <cell r="F9785" t="str">
            <v>M240704R1</v>
          </cell>
          <cell r="J9785">
            <v>45637</v>
          </cell>
          <cell r="K9785">
            <v>8</v>
          </cell>
        </row>
        <row r="9786">
          <cell r="C9786" t="str">
            <v>張政崙</v>
          </cell>
          <cell r="F9786" t="str">
            <v>M240704R1</v>
          </cell>
          <cell r="J9786">
            <v>45638</v>
          </cell>
          <cell r="K9786">
            <v>8</v>
          </cell>
        </row>
        <row r="9787">
          <cell r="C9787" t="str">
            <v>張政崙</v>
          </cell>
          <cell r="F9787" t="str">
            <v>M240704R1</v>
          </cell>
          <cell r="J9787">
            <v>45639</v>
          </cell>
          <cell r="K9787">
            <v>8</v>
          </cell>
        </row>
        <row r="9788">
          <cell r="C9788" t="str">
            <v>張政崙</v>
          </cell>
          <cell r="F9788" t="str">
            <v>M240704R1</v>
          </cell>
          <cell r="J9788">
            <v>45642</v>
          </cell>
          <cell r="K9788">
            <v>8</v>
          </cell>
        </row>
        <row r="9789">
          <cell r="C9789" t="str">
            <v>張政崙</v>
          </cell>
          <cell r="F9789" t="str">
            <v>M240704R1</v>
          </cell>
          <cell r="J9789">
            <v>45643</v>
          </cell>
          <cell r="K9789">
            <v>8</v>
          </cell>
        </row>
        <row r="9790">
          <cell r="C9790" t="str">
            <v>張政崙</v>
          </cell>
          <cell r="F9790" t="str">
            <v>M240704R1</v>
          </cell>
          <cell r="J9790">
            <v>45644</v>
          </cell>
          <cell r="K9790">
            <v>8</v>
          </cell>
        </row>
        <row r="9791">
          <cell r="C9791" t="str">
            <v>張政崙</v>
          </cell>
          <cell r="F9791" t="str">
            <v>M240704R1</v>
          </cell>
          <cell r="J9791">
            <v>45645</v>
          </cell>
          <cell r="K9791">
            <v>8</v>
          </cell>
        </row>
        <row r="9792">
          <cell r="C9792" t="str">
            <v>張政崙</v>
          </cell>
          <cell r="J9792">
            <v>45646</v>
          </cell>
          <cell r="K9792">
            <v>1</v>
          </cell>
        </row>
        <row r="9793">
          <cell r="C9793" t="str">
            <v>張政崙</v>
          </cell>
          <cell r="F9793" t="str">
            <v>M240704R1</v>
          </cell>
          <cell r="J9793">
            <v>45646</v>
          </cell>
          <cell r="K9793">
            <v>7</v>
          </cell>
        </row>
        <row r="9794">
          <cell r="C9794" t="str">
            <v>張政崙</v>
          </cell>
          <cell r="F9794" t="str">
            <v>M240704R1</v>
          </cell>
          <cell r="J9794">
            <v>45649</v>
          </cell>
          <cell r="K9794">
            <v>8</v>
          </cell>
        </row>
        <row r="9795">
          <cell r="C9795" t="str">
            <v>張政崙</v>
          </cell>
          <cell r="F9795" t="str">
            <v>M240704R1</v>
          </cell>
          <cell r="J9795">
            <v>45650</v>
          </cell>
          <cell r="K9795">
            <v>8</v>
          </cell>
        </row>
        <row r="9796">
          <cell r="C9796" t="str">
            <v>張政崙</v>
          </cell>
          <cell r="J9796">
            <v>45651</v>
          </cell>
          <cell r="K9796">
            <v>1</v>
          </cell>
        </row>
        <row r="9797">
          <cell r="C9797" t="str">
            <v>張政崙</v>
          </cell>
          <cell r="F9797" t="str">
            <v>M240704R1</v>
          </cell>
          <cell r="J9797">
            <v>45651</v>
          </cell>
          <cell r="K9797">
            <v>7</v>
          </cell>
        </row>
        <row r="9798">
          <cell r="C9798" t="str">
            <v>張政崙</v>
          </cell>
          <cell r="F9798" t="str">
            <v>M240704R1</v>
          </cell>
          <cell r="J9798">
            <v>45652</v>
          </cell>
          <cell r="K9798">
            <v>8</v>
          </cell>
        </row>
        <row r="9799">
          <cell r="C9799" t="str">
            <v>張政崙</v>
          </cell>
          <cell r="F9799" t="str">
            <v>M240704R1</v>
          </cell>
          <cell r="J9799">
            <v>45653</v>
          </cell>
          <cell r="K9799">
            <v>8</v>
          </cell>
        </row>
        <row r="9800">
          <cell r="C9800" t="str">
            <v>張政崙</v>
          </cell>
          <cell r="F9800" t="str">
            <v>M240704R1</v>
          </cell>
          <cell r="J9800">
            <v>45656</v>
          </cell>
          <cell r="K9800">
            <v>8</v>
          </cell>
        </row>
        <row r="9801">
          <cell r="C9801" t="str">
            <v>張政崙</v>
          </cell>
          <cell r="F9801" t="str">
            <v>M240704R1</v>
          </cell>
          <cell r="J9801">
            <v>45657</v>
          </cell>
          <cell r="K9801">
            <v>8</v>
          </cell>
        </row>
        <row r="9802">
          <cell r="C9802" t="str">
            <v>張政崙</v>
          </cell>
          <cell r="J9802">
            <v>45658</v>
          </cell>
          <cell r="K9802">
            <v>8</v>
          </cell>
        </row>
        <row r="9803">
          <cell r="C9803" t="str">
            <v>張政崙</v>
          </cell>
          <cell r="F9803" t="str">
            <v>M240704R1</v>
          </cell>
          <cell r="J9803">
            <v>45659</v>
          </cell>
          <cell r="K9803">
            <v>8</v>
          </cell>
        </row>
        <row r="9804">
          <cell r="C9804" t="str">
            <v>張政崙</v>
          </cell>
          <cell r="F9804" t="str">
            <v>M240704R1</v>
          </cell>
          <cell r="J9804">
            <v>45660</v>
          </cell>
          <cell r="K9804">
            <v>8</v>
          </cell>
        </row>
        <row r="9805">
          <cell r="C9805" t="str">
            <v>張政崙</v>
          </cell>
          <cell r="F9805" t="str">
            <v>M240704R1</v>
          </cell>
          <cell r="J9805">
            <v>45663</v>
          </cell>
          <cell r="K9805">
            <v>8</v>
          </cell>
        </row>
        <row r="9806">
          <cell r="C9806" t="str">
            <v>張政崙</v>
          </cell>
          <cell r="F9806" t="str">
            <v>M240704R1</v>
          </cell>
          <cell r="J9806">
            <v>45664</v>
          </cell>
          <cell r="K9806">
            <v>8</v>
          </cell>
        </row>
        <row r="9807">
          <cell r="C9807" t="str">
            <v>張政崙</v>
          </cell>
          <cell r="F9807" t="str">
            <v>M240704R1</v>
          </cell>
          <cell r="J9807">
            <v>45665</v>
          </cell>
          <cell r="K9807">
            <v>8</v>
          </cell>
        </row>
        <row r="9808">
          <cell r="C9808" t="str">
            <v>張政崙</v>
          </cell>
          <cell r="F9808" t="str">
            <v>M240704R1</v>
          </cell>
          <cell r="J9808">
            <v>45666</v>
          </cell>
          <cell r="K9808">
            <v>8</v>
          </cell>
        </row>
        <row r="9809">
          <cell r="C9809" t="str">
            <v>張政崙</v>
          </cell>
          <cell r="F9809" t="str">
            <v>M240704R1</v>
          </cell>
          <cell r="J9809">
            <v>45667</v>
          </cell>
          <cell r="K9809">
            <v>6</v>
          </cell>
        </row>
        <row r="9810">
          <cell r="C9810" t="str">
            <v>張政崙</v>
          </cell>
          <cell r="J9810">
            <v>45667</v>
          </cell>
          <cell r="K9810">
            <v>2</v>
          </cell>
        </row>
        <row r="9811">
          <cell r="C9811" t="str">
            <v>張政崙</v>
          </cell>
          <cell r="F9811" t="str">
            <v>M240704R1</v>
          </cell>
          <cell r="J9811">
            <v>45670</v>
          </cell>
          <cell r="K9811">
            <v>4</v>
          </cell>
        </row>
        <row r="9812">
          <cell r="C9812" t="str">
            <v>張政崙</v>
          </cell>
          <cell r="J9812">
            <v>45670</v>
          </cell>
          <cell r="K9812">
            <v>4</v>
          </cell>
        </row>
        <row r="9813">
          <cell r="C9813" t="str">
            <v>張政崙</v>
          </cell>
          <cell r="J9813">
            <v>45671</v>
          </cell>
          <cell r="K9813">
            <v>1</v>
          </cell>
        </row>
        <row r="9814">
          <cell r="C9814" t="str">
            <v>張政崙</v>
          </cell>
          <cell r="F9814" t="str">
            <v>M240704R1</v>
          </cell>
          <cell r="J9814">
            <v>45671</v>
          </cell>
          <cell r="K9814">
            <v>7</v>
          </cell>
        </row>
        <row r="9815">
          <cell r="C9815" t="str">
            <v>張政崙</v>
          </cell>
          <cell r="J9815">
            <v>45672</v>
          </cell>
          <cell r="K9815">
            <v>3</v>
          </cell>
        </row>
        <row r="9816">
          <cell r="C9816" t="str">
            <v>張政崙</v>
          </cell>
          <cell r="F9816" t="str">
            <v>M240704R1</v>
          </cell>
          <cell r="J9816">
            <v>45672</v>
          </cell>
          <cell r="K9816">
            <v>5</v>
          </cell>
        </row>
        <row r="9817">
          <cell r="C9817" t="str">
            <v>張政崙</v>
          </cell>
          <cell r="F9817" t="str">
            <v>M240704R1</v>
          </cell>
          <cell r="J9817">
            <v>45673</v>
          </cell>
          <cell r="K9817">
            <v>8</v>
          </cell>
        </row>
        <row r="9818">
          <cell r="C9818" t="str">
            <v>張政崙</v>
          </cell>
          <cell r="J9818">
            <v>45674</v>
          </cell>
          <cell r="K9818">
            <v>2</v>
          </cell>
        </row>
        <row r="9819">
          <cell r="C9819" t="str">
            <v>張政崙</v>
          </cell>
          <cell r="F9819" t="str">
            <v>M240704R1</v>
          </cell>
          <cell r="J9819">
            <v>45674</v>
          </cell>
          <cell r="K9819">
            <v>6</v>
          </cell>
        </row>
        <row r="9820">
          <cell r="C9820" t="str">
            <v>張政崙</v>
          </cell>
          <cell r="F9820" t="str">
            <v>M240704R1</v>
          </cell>
          <cell r="J9820">
            <v>45677</v>
          </cell>
          <cell r="K9820">
            <v>4</v>
          </cell>
        </row>
        <row r="9821">
          <cell r="C9821" t="str">
            <v>張政崙</v>
          </cell>
          <cell r="J9821">
            <v>45677</v>
          </cell>
          <cell r="K9821">
            <v>4</v>
          </cell>
        </row>
        <row r="9822">
          <cell r="C9822" t="str">
            <v>張政崙</v>
          </cell>
          <cell r="J9822">
            <v>45678</v>
          </cell>
          <cell r="K9822">
            <v>4</v>
          </cell>
        </row>
        <row r="9823">
          <cell r="C9823" t="str">
            <v>張政崙</v>
          </cell>
          <cell r="F9823" t="str">
            <v>M240704R1</v>
          </cell>
          <cell r="J9823">
            <v>45678</v>
          </cell>
          <cell r="K9823">
            <v>4</v>
          </cell>
        </row>
        <row r="9824">
          <cell r="C9824" t="str">
            <v>張政崙</v>
          </cell>
          <cell r="J9824">
            <v>45679</v>
          </cell>
          <cell r="K9824">
            <v>8</v>
          </cell>
        </row>
        <row r="9825">
          <cell r="C9825" t="str">
            <v>張政崙</v>
          </cell>
          <cell r="J9825">
            <v>45680</v>
          </cell>
          <cell r="K9825">
            <v>5</v>
          </cell>
        </row>
        <row r="9826">
          <cell r="C9826" t="str">
            <v>張政崙</v>
          </cell>
          <cell r="F9826" t="str">
            <v>D250101R1</v>
          </cell>
          <cell r="J9826">
            <v>45680</v>
          </cell>
          <cell r="K9826">
            <v>3</v>
          </cell>
        </row>
        <row r="9827">
          <cell r="C9827" t="str">
            <v>張政崙</v>
          </cell>
          <cell r="J9827">
            <v>45681</v>
          </cell>
          <cell r="K9827">
            <v>2</v>
          </cell>
        </row>
        <row r="9828">
          <cell r="C9828" t="str">
            <v>張政崙</v>
          </cell>
          <cell r="F9828" t="str">
            <v>D250101R1</v>
          </cell>
          <cell r="J9828">
            <v>45681</v>
          </cell>
          <cell r="K9828">
            <v>3</v>
          </cell>
        </row>
        <row r="9829">
          <cell r="C9829" t="str">
            <v>張政崙</v>
          </cell>
          <cell r="J9829">
            <v>45681</v>
          </cell>
          <cell r="K9829">
            <v>2.5</v>
          </cell>
        </row>
        <row r="9830">
          <cell r="C9830" t="str">
            <v>張政崙</v>
          </cell>
          <cell r="J9830">
            <v>45681</v>
          </cell>
          <cell r="K9830">
            <v>0.5</v>
          </cell>
        </row>
        <row r="9831">
          <cell r="C9831" t="str">
            <v>張政崙</v>
          </cell>
          <cell r="F9831" t="str">
            <v>D250101R1</v>
          </cell>
          <cell r="J9831">
            <v>45691</v>
          </cell>
          <cell r="K9831">
            <v>3</v>
          </cell>
        </row>
        <row r="9832">
          <cell r="C9832" t="str">
            <v>張政崙</v>
          </cell>
          <cell r="J9832">
            <v>45691</v>
          </cell>
          <cell r="K9832">
            <v>5</v>
          </cell>
        </row>
        <row r="9833">
          <cell r="C9833" t="str">
            <v>張政崙</v>
          </cell>
          <cell r="F9833" t="str">
            <v>M240704R1</v>
          </cell>
          <cell r="J9833">
            <v>45692</v>
          </cell>
          <cell r="K9833">
            <v>2</v>
          </cell>
        </row>
        <row r="9834">
          <cell r="C9834" t="str">
            <v>張政崙</v>
          </cell>
          <cell r="F9834" t="str">
            <v>D250101R1</v>
          </cell>
          <cell r="J9834">
            <v>45692</v>
          </cell>
          <cell r="K9834">
            <v>6</v>
          </cell>
        </row>
        <row r="9835">
          <cell r="C9835" t="str">
            <v>張政崙</v>
          </cell>
          <cell r="F9835" t="str">
            <v>D250101R1</v>
          </cell>
          <cell r="J9835">
            <v>45693</v>
          </cell>
          <cell r="K9835">
            <v>4</v>
          </cell>
        </row>
        <row r="9836">
          <cell r="C9836" t="str">
            <v>張政崙</v>
          </cell>
          <cell r="F9836" t="str">
            <v>M240704R1</v>
          </cell>
          <cell r="J9836">
            <v>45693</v>
          </cell>
          <cell r="K9836">
            <v>4</v>
          </cell>
        </row>
        <row r="9837">
          <cell r="C9837" t="str">
            <v>張政崙</v>
          </cell>
          <cell r="F9837" t="str">
            <v>M240704R1</v>
          </cell>
          <cell r="J9837">
            <v>45694</v>
          </cell>
          <cell r="K9837">
            <v>4</v>
          </cell>
        </row>
        <row r="9838">
          <cell r="C9838" t="str">
            <v>張政崙</v>
          </cell>
          <cell r="F9838" t="str">
            <v>D250101R1</v>
          </cell>
          <cell r="J9838">
            <v>45694</v>
          </cell>
          <cell r="K9838">
            <v>4</v>
          </cell>
        </row>
        <row r="9839">
          <cell r="C9839" t="str">
            <v>張政崙</v>
          </cell>
          <cell r="F9839" t="str">
            <v>M240704R1</v>
          </cell>
          <cell r="J9839">
            <v>45695</v>
          </cell>
          <cell r="K9839">
            <v>3</v>
          </cell>
        </row>
        <row r="9840">
          <cell r="C9840" t="str">
            <v>張政崙</v>
          </cell>
          <cell r="F9840" t="str">
            <v>D250101R1</v>
          </cell>
          <cell r="J9840">
            <v>45695</v>
          </cell>
          <cell r="K9840">
            <v>5</v>
          </cell>
        </row>
        <row r="9841">
          <cell r="C9841" t="str">
            <v>張政崙</v>
          </cell>
          <cell r="F9841" t="str">
            <v>M240704R1</v>
          </cell>
          <cell r="J9841">
            <v>45698</v>
          </cell>
          <cell r="K9841">
            <v>4</v>
          </cell>
        </row>
        <row r="9842">
          <cell r="C9842" t="str">
            <v>張政崙</v>
          </cell>
          <cell r="F9842" t="str">
            <v>D250101R1</v>
          </cell>
          <cell r="J9842">
            <v>45698</v>
          </cell>
          <cell r="K9842">
            <v>4</v>
          </cell>
        </row>
        <row r="9843">
          <cell r="C9843" t="str">
            <v>張政崙</v>
          </cell>
          <cell r="F9843" t="str">
            <v>M240704R1</v>
          </cell>
          <cell r="J9843">
            <v>45699</v>
          </cell>
          <cell r="K9843">
            <v>8</v>
          </cell>
        </row>
        <row r="9844">
          <cell r="C9844" t="str">
            <v>張政崙</v>
          </cell>
          <cell r="F9844" t="str">
            <v>M240704R1</v>
          </cell>
          <cell r="J9844">
            <v>45700</v>
          </cell>
          <cell r="K9844">
            <v>8</v>
          </cell>
        </row>
        <row r="9845">
          <cell r="C9845" t="str">
            <v>張政崙</v>
          </cell>
          <cell r="F9845" t="str">
            <v>M240704R1</v>
          </cell>
          <cell r="J9845">
            <v>45701</v>
          </cell>
          <cell r="K9845">
            <v>8</v>
          </cell>
        </row>
        <row r="9846">
          <cell r="C9846" t="str">
            <v>張政崙</v>
          </cell>
          <cell r="F9846" t="str">
            <v>M240704R1</v>
          </cell>
          <cell r="J9846">
            <v>45702</v>
          </cell>
          <cell r="K9846">
            <v>8</v>
          </cell>
        </row>
        <row r="9847">
          <cell r="C9847" t="str">
            <v>張政崙</v>
          </cell>
          <cell r="F9847" t="str">
            <v>M240704R1</v>
          </cell>
          <cell r="J9847">
            <v>45705</v>
          </cell>
          <cell r="K9847">
            <v>8</v>
          </cell>
        </row>
        <row r="9848">
          <cell r="C9848" t="str">
            <v>張政崙</v>
          </cell>
          <cell r="F9848" t="str">
            <v>M240704R1</v>
          </cell>
          <cell r="J9848">
            <v>45706</v>
          </cell>
          <cell r="K9848">
            <v>8</v>
          </cell>
        </row>
        <row r="9849">
          <cell r="C9849" t="str">
            <v>張政崙</v>
          </cell>
          <cell r="F9849" t="str">
            <v>M240704R1</v>
          </cell>
          <cell r="J9849">
            <v>45707</v>
          </cell>
          <cell r="K9849">
            <v>8</v>
          </cell>
        </row>
        <row r="9850">
          <cell r="C9850" t="str">
            <v>張政崙</v>
          </cell>
          <cell r="F9850" t="str">
            <v>M240704R1</v>
          </cell>
          <cell r="J9850">
            <v>45708</v>
          </cell>
          <cell r="K9850">
            <v>8</v>
          </cell>
        </row>
        <row r="9851">
          <cell r="C9851" t="str">
            <v>張政崙</v>
          </cell>
          <cell r="F9851" t="str">
            <v>M240704R1</v>
          </cell>
          <cell r="J9851">
            <v>45709</v>
          </cell>
          <cell r="K9851">
            <v>3</v>
          </cell>
        </row>
        <row r="9852">
          <cell r="C9852" t="str">
            <v>張政崙</v>
          </cell>
          <cell r="J9852">
            <v>45709</v>
          </cell>
          <cell r="K9852">
            <v>5</v>
          </cell>
        </row>
        <row r="9853">
          <cell r="C9853" t="str">
            <v>張政崙</v>
          </cell>
          <cell r="F9853" t="str">
            <v>M240704R1</v>
          </cell>
          <cell r="J9853">
            <v>45712</v>
          </cell>
          <cell r="K9853">
            <v>8</v>
          </cell>
        </row>
        <row r="9854">
          <cell r="C9854" t="str">
            <v>張政崙</v>
          </cell>
          <cell r="F9854" t="str">
            <v>M240704R1</v>
          </cell>
          <cell r="J9854">
            <v>45713</v>
          </cell>
          <cell r="K9854">
            <v>8</v>
          </cell>
        </row>
        <row r="9855">
          <cell r="C9855" t="str">
            <v>張政崙</v>
          </cell>
          <cell r="F9855" t="str">
            <v>M240704R1</v>
          </cell>
          <cell r="J9855">
            <v>45714</v>
          </cell>
          <cell r="K9855">
            <v>8</v>
          </cell>
        </row>
        <row r="9856">
          <cell r="C9856" t="str">
            <v>張政崙</v>
          </cell>
          <cell r="F9856" t="str">
            <v>M240704R1</v>
          </cell>
          <cell r="J9856">
            <v>45715</v>
          </cell>
          <cell r="K9856">
            <v>8</v>
          </cell>
        </row>
        <row r="9857">
          <cell r="C9857" t="str">
            <v>張政崙</v>
          </cell>
          <cell r="F9857" t="str">
            <v>M240704R1</v>
          </cell>
          <cell r="J9857">
            <v>45719</v>
          </cell>
          <cell r="K9857">
            <v>8</v>
          </cell>
        </row>
        <row r="9858">
          <cell r="C9858" t="str">
            <v>張政崙</v>
          </cell>
          <cell r="F9858" t="str">
            <v>M240704R1</v>
          </cell>
          <cell r="J9858">
            <v>45720</v>
          </cell>
          <cell r="K9858">
            <v>8</v>
          </cell>
        </row>
        <row r="9859">
          <cell r="C9859" t="str">
            <v>張政崙</v>
          </cell>
          <cell r="F9859" t="str">
            <v>M240704R1</v>
          </cell>
          <cell r="J9859">
            <v>45721</v>
          </cell>
          <cell r="K9859">
            <v>8</v>
          </cell>
        </row>
        <row r="9860">
          <cell r="C9860" t="str">
            <v>張政崙</v>
          </cell>
          <cell r="F9860" t="str">
            <v>M240704R1</v>
          </cell>
          <cell r="J9860">
            <v>45722</v>
          </cell>
          <cell r="K9860">
            <v>8</v>
          </cell>
        </row>
        <row r="9861">
          <cell r="C9861" t="str">
            <v>張政崙</v>
          </cell>
          <cell r="J9861">
            <v>45723</v>
          </cell>
          <cell r="K9861">
            <v>5</v>
          </cell>
        </row>
        <row r="9862">
          <cell r="C9862" t="str">
            <v>張政崙</v>
          </cell>
          <cell r="F9862" t="str">
            <v>M240704R1</v>
          </cell>
          <cell r="J9862">
            <v>45723</v>
          </cell>
          <cell r="K9862">
            <v>3</v>
          </cell>
        </row>
        <row r="9863">
          <cell r="C9863" t="str">
            <v>張政崙</v>
          </cell>
          <cell r="F9863" t="str">
            <v>M240704R1</v>
          </cell>
          <cell r="J9863">
            <v>45726</v>
          </cell>
          <cell r="K9863">
            <v>8</v>
          </cell>
        </row>
        <row r="9864">
          <cell r="C9864" t="str">
            <v>張政崙</v>
          </cell>
          <cell r="F9864" t="str">
            <v>M240704R1</v>
          </cell>
          <cell r="J9864">
            <v>45727</v>
          </cell>
          <cell r="K9864">
            <v>8</v>
          </cell>
        </row>
        <row r="9865">
          <cell r="C9865" t="str">
            <v>張政崙</v>
          </cell>
          <cell r="F9865" t="str">
            <v>M240704R1</v>
          </cell>
          <cell r="J9865">
            <v>45728</v>
          </cell>
          <cell r="K9865">
            <v>8</v>
          </cell>
        </row>
        <row r="9866">
          <cell r="C9866" t="str">
            <v>張政崙</v>
          </cell>
          <cell r="F9866" t="str">
            <v>M240704R1</v>
          </cell>
          <cell r="J9866">
            <v>45729</v>
          </cell>
          <cell r="K9866">
            <v>8</v>
          </cell>
        </row>
        <row r="9867">
          <cell r="C9867" t="str">
            <v>張政崙</v>
          </cell>
          <cell r="F9867" t="str">
            <v>M240704R1</v>
          </cell>
          <cell r="J9867">
            <v>45730</v>
          </cell>
          <cell r="K9867">
            <v>8</v>
          </cell>
        </row>
        <row r="9868">
          <cell r="C9868" t="str">
            <v>張政崙</v>
          </cell>
          <cell r="F9868" t="str">
            <v>M240704R1</v>
          </cell>
          <cell r="J9868">
            <v>45733</v>
          </cell>
          <cell r="K9868">
            <v>8</v>
          </cell>
        </row>
        <row r="9869">
          <cell r="C9869" t="str">
            <v>張政崙</v>
          </cell>
          <cell r="F9869" t="str">
            <v>M240704R1</v>
          </cell>
          <cell r="J9869">
            <v>45734</v>
          </cell>
          <cell r="K9869">
            <v>8</v>
          </cell>
        </row>
        <row r="9870">
          <cell r="C9870" t="str">
            <v>張政崙</v>
          </cell>
          <cell r="F9870" t="str">
            <v>M240704R1</v>
          </cell>
          <cell r="J9870">
            <v>45735</v>
          </cell>
          <cell r="K9870">
            <v>8</v>
          </cell>
        </row>
        <row r="9871">
          <cell r="C9871" t="str">
            <v>張政崙</v>
          </cell>
          <cell r="F9871" t="str">
            <v>M240704R1</v>
          </cell>
          <cell r="J9871">
            <v>45736</v>
          </cell>
          <cell r="K9871">
            <v>8</v>
          </cell>
        </row>
        <row r="9872">
          <cell r="C9872" t="str">
            <v>張政崙</v>
          </cell>
          <cell r="F9872" t="str">
            <v>M240704R1</v>
          </cell>
          <cell r="J9872">
            <v>45737</v>
          </cell>
          <cell r="K9872">
            <v>8</v>
          </cell>
        </row>
        <row r="9873">
          <cell r="C9873" t="str">
            <v>張政崙</v>
          </cell>
          <cell r="F9873" t="str">
            <v>M240704R1</v>
          </cell>
          <cell r="J9873">
            <v>45740</v>
          </cell>
          <cell r="K9873">
            <v>8</v>
          </cell>
        </row>
        <row r="9874">
          <cell r="C9874" t="str">
            <v>張政崙</v>
          </cell>
          <cell r="F9874" t="str">
            <v>M240704R1</v>
          </cell>
          <cell r="J9874">
            <v>45741</v>
          </cell>
          <cell r="K9874">
            <v>8</v>
          </cell>
        </row>
        <row r="9875">
          <cell r="C9875" t="str">
            <v>張政崙</v>
          </cell>
          <cell r="F9875" t="str">
            <v>M240704R1</v>
          </cell>
          <cell r="J9875">
            <v>45742</v>
          </cell>
          <cell r="K9875">
            <v>8</v>
          </cell>
        </row>
        <row r="9876">
          <cell r="C9876" t="str">
            <v>張政崙</v>
          </cell>
          <cell r="F9876" t="str">
            <v>M240704R1</v>
          </cell>
          <cell r="J9876">
            <v>45743</v>
          </cell>
          <cell r="K9876">
            <v>8</v>
          </cell>
        </row>
        <row r="9877">
          <cell r="C9877" t="str">
            <v>張政崙</v>
          </cell>
          <cell r="F9877" t="str">
            <v>M240704R1</v>
          </cell>
          <cell r="J9877">
            <v>45744</v>
          </cell>
          <cell r="K9877">
            <v>8</v>
          </cell>
        </row>
        <row r="9878">
          <cell r="C9878" t="str">
            <v>張政崙</v>
          </cell>
          <cell r="F9878" t="str">
            <v>M240704R1</v>
          </cell>
          <cell r="J9878">
            <v>45747</v>
          </cell>
          <cell r="K9878">
            <v>8</v>
          </cell>
        </row>
        <row r="9879">
          <cell r="C9879" t="str">
            <v>張政崙</v>
          </cell>
          <cell r="F9879" t="str">
            <v>M240704R1</v>
          </cell>
          <cell r="J9879">
            <v>45748</v>
          </cell>
          <cell r="K9879">
            <v>8</v>
          </cell>
        </row>
        <row r="9880">
          <cell r="C9880" t="str">
            <v>張政崙</v>
          </cell>
          <cell r="F9880" t="str">
            <v>M240704R1</v>
          </cell>
          <cell r="J9880">
            <v>45749</v>
          </cell>
          <cell r="K9880">
            <v>8</v>
          </cell>
        </row>
        <row r="9881">
          <cell r="C9881" t="str">
            <v>張政崙</v>
          </cell>
          <cell r="F9881" t="str">
            <v>M240704R1</v>
          </cell>
          <cell r="J9881">
            <v>45754</v>
          </cell>
          <cell r="K9881">
            <v>8</v>
          </cell>
        </row>
        <row r="9882">
          <cell r="C9882" t="str">
            <v>張政崙</v>
          </cell>
          <cell r="F9882" t="str">
            <v>M240704R1</v>
          </cell>
          <cell r="J9882">
            <v>45755</v>
          </cell>
          <cell r="K9882">
            <v>6</v>
          </cell>
        </row>
        <row r="9883">
          <cell r="C9883" t="str">
            <v>張政崙</v>
          </cell>
          <cell r="F9883" t="str">
            <v>K231101R1</v>
          </cell>
          <cell r="J9883">
            <v>45755</v>
          </cell>
          <cell r="K9883">
            <v>2</v>
          </cell>
        </row>
        <row r="9884">
          <cell r="C9884" t="str">
            <v>張政崙</v>
          </cell>
          <cell r="F9884" t="str">
            <v>M240704R1</v>
          </cell>
          <cell r="J9884">
            <v>45756</v>
          </cell>
          <cell r="K9884">
            <v>8</v>
          </cell>
        </row>
        <row r="9885">
          <cell r="C9885" t="str">
            <v>張政崙</v>
          </cell>
          <cell r="F9885" t="str">
            <v>M240704R1</v>
          </cell>
          <cell r="J9885">
            <v>45757</v>
          </cell>
          <cell r="K9885">
            <v>8</v>
          </cell>
        </row>
        <row r="9886">
          <cell r="C9886" t="str">
            <v>張政崙</v>
          </cell>
          <cell r="F9886" t="str">
            <v>M240704R1</v>
          </cell>
          <cell r="J9886">
            <v>45758</v>
          </cell>
          <cell r="K9886">
            <v>2</v>
          </cell>
        </row>
        <row r="9887">
          <cell r="C9887" t="str">
            <v>張政崙</v>
          </cell>
          <cell r="J9887">
            <v>45758</v>
          </cell>
          <cell r="K9887">
            <v>6</v>
          </cell>
        </row>
        <row r="9888">
          <cell r="C9888" t="str">
            <v>張政崙</v>
          </cell>
          <cell r="F9888" t="str">
            <v>M240704R1</v>
          </cell>
          <cell r="J9888">
            <v>45761</v>
          </cell>
          <cell r="K9888">
            <v>8</v>
          </cell>
        </row>
        <row r="9889">
          <cell r="C9889" t="str">
            <v>張政崙</v>
          </cell>
          <cell r="F9889" t="str">
            <v>M240704R1</v>
          </cell>
          <cell r="J9889">
            <v>45762</v>
          </cell>
          <cell r="K9889">
            <v>4</v>
          </cell>
        </row>
        <row r="9890">
          <cell r="C9890" t="str">
            <v>張政崙</v>
          </cell>
          <cell r="F9890" t="str">
            <v>K231101R1</v>
          </cell>
          <cell r="J9890">
            <v>45762</v>
          </cell>
          <cell r="K9890">
            <v>4</v>
          </cell>
        </row>
        <row r="9891">
          <cell r="C9891" t="str">
            <v>張政崙</v>
          </cell>
          <cell r="F9891" t="str">
            <v>K231101R1</v>
          </cell>
          <cell r="J9891">
            <v>45763</v>
          </cell>
          <cell r="K9891">
            <v>8</v>
          </cell>
        </row>
        <row r="9892">
          <cell r="C9892" t="str">
            <v>張政崙</v>
          </cell>
          <cell r="F9892" t="str">
            <v>K231101R1</v>
          </cell>
          <cell r="J9892">
            <v>45764</v>
          </cell>
          <cell r="K9892">
            <v>8</v>
          </cell>
        </row>
        <row r="9893">
          <cell r="C9893" t="str">
            <v>張政崙</v>
          </cell>
          <cell r="F9893" t="str">
            <v>K231101R1</v>
          </cell>
          <cell r="J9893">
            <v>45765</v>
          </cell>
          <cell r="K9893">
            <v>8</v>
          </cell>
        </row>
        <row r="9894">
          <cell r="C9894" t="str">
            <v>張政崙</v>
          </cell>
          <cell r="F9894" t="str">
            <v>K231101R1</v>
          </cell>
          <cell r="J9894">
            <v>45768</v>
          </cell>
          <cell r="K9894">
            <v>8</v>
          </cell>
        </row>
        <row r="9895">
          <cell r="C9895" t="str">
            <v>張政崙</v>
          </cell>
          <cell r="F9895" t="str">
            <v>K231101R1</v>
          </cell>
          <cell r="J9895">
            <v>45769</v>
          </cell>
          <cell r="K9895">
            <v>8</v>
          </cell>
        </row>
        <row r="9896">
          <cell r="C9896" t="str">
            <v>張政崙</v>
          </cell>
          <cell r="F9896" t="str">
            <v>K231101R1</v>
          </cell>
          <cell r="J9896">
            <v>45770</v>
          </cell>
          <cell r="K9896">
            <v>8</v>
          </cell>
        </row>
        <row r="9897">
          <cell r="C9897" t="str">
            <v>張政崙</v>
          </cell>
          <cell r="J9897">
            <v>45771</v>
          </cell>
          <cell r="K9897">
            <v>8</v>
          </cell>
        </row>
        <row r="9898">
          <cell r="C9898" t="str">
            <v>張政崙</v>
          </cell>
          <cell r="F9898" t="str">
            <v>K231101R1</v>
          </cell>
          <cell r="J9898">
            <v>45772</v>
          </cell>
          <cell r="K9898">
            <v>8</v>
          </cell>
        </row>
        <row r="9899">
          <cell r="C9899" t="str">
            <v>張政崙</v>
          </cell>
          <cell r="F9899" t="str">
            <v>K231101R1</v>
          </cell>
          <cell r="J9899">
            <v>45775</v>
          </cell>
          <cell r="K9899">
            <v>2</v>
          </cell>
        </row>
        <row r="9900">
          <cell r="C9900" t="str">
            <v>張政崙</v>
          </cell>
          <cell r="F9900" t="str">
            <v>M240704R1</v>
          </cell>
          <cell r="J9900">
            <v>45775</v>
          </cell>
          <cell r="K9900">
            <v>6</v>
          </cell>
        </row>
        <row r="9901">
          <cell r="C9901" t="str">
            <v>張政崙</v>
          </cell>
          <cell r="F9901" t="str">
            <v>M240704R1</v>
          </cell>
          <cell r="J9901">
            <v>45776</v>
          </cell>
          <cell r="K9901">
            <v>8</v>
          </cell>
        </row>
        <row r="9902">
          <cell r="C9902" t="str">
            <v>張政崙</v>
          </cell>
          <cell r="F9902" t="str">
            <v>M240704R1</v>
          </cell>
          <cell r="J9902">
            <v>45777</v>
          </cell>
          <cell r="K9902">
            <v>8</v>
          </cell>
        </row>
        <row r="9903">
          <cell r="C9903" t="str">
            <v>張政崙</v>
          </cell>
          <cell r="F9903" t="str">
            <v>M240704R1</v>
          </cell>
          <cell r="J9903">
            <v>45779</v>
          </cell>
          <cell r="K9903">
            <v>8</v>
          </cell>
        </row>
        <row r="9904">
          <cell r="C9904" t="str">
            <v>張政崙</v>
          </cell>
          <cell r="F9904" t="str">
            <v>M240704R1</v>
          </cell>
          <cell r="J9904">
            <v>45782</v>
          </cell>
          <cell r="K9904">
            <v>8</v>
          </cell>
        </row>
        <row r="9905">
          <cell r="C9905" t="str">
            <v>張政崙</v>
          </cell>
          <cell r="F9905" t="str">
            <v>M240704R1</v>
          </cell>
          <cell r="J9905">
            <v>45783</v>
          </cell>
          <cell r="K9905">
            <v>8</v>
          </cell>
        </row>
        <row r="9906">
          <cell r="C9906" t="str">
            <v>張政崙</v>
          </cell>
          <cell r="F9906" t="str">
            <v>K231101R1</v>
          </cell>
          <cell r="J9906">
            <v>45784</v>
          </cell>
          <cell r="K9906">
            <v>5</v>
          </cell>
        </row>
        <row r="9907">
          <cell r="C9907" t="str">
            <v>張政崙</v>
          </cell>
          <cell r="F9907" t="str">
            <v>M240704R1</v>
          </cell>
          <cell r="J9907">
            <v>45784</v>
          </cell>
          <cell r="K9907">
            <v>3</v>
          </cell>
        </row>
        <row r="9908">
          <cell r="C9908" t="str">
            <v>張政崙</v>
          </cell>
          <cell r="F9908" t="str">
            <v>K231101R1</v>
          </cell>
          <cell r="J9908">
            <v>45785</v>
          </cell>
          <cell r="K9908">
            <v>8</v>
          </cell>
        </row>
        <row r="9909">
          <cell r="C9909" t="str">
            <v>張政崙</v>
          </cell>
          <cell r="F9909" t="str">
            <v>K231101R1</v>
          </cell>
          <cell r="J9909">
            <v>45786</v>
          </cell>
          <cell r="K9909">
            <v>8</v>
          </cell>
        </row>
        <row r="9910">
          <cell r="C9910" t="str">
            <v>張政崙</v>
          </cell>
          <cell r="F9910" t="str">
            <v>K231101R1</v>
          </cell>
          <cell r="J9910">
            <v>45789</v>
          </cell>
          <cell r="K9910">
            <v>8</v>
          </cell>
        </row>
        <row r="9911">
          <cell r="C9911" t="str">
            <v>張政崙</v>
          </cell>
          <cell r="F9911" t="str">
            <v>M240704R1</v>
          </cell>
          <cell r="J9911">
            <v>45790</v>
          </cell>
          <cell r="K9911">
            <v>5</v>
          </cell>
        </row>
        <row r="9912">
          <cell r="C9912" t="str">
            <v>張政崙</v>
          </cell>
          <cell r="F9912" t="str">
            <v>K231101R1</v>
          </cell>
          <cell r="J9912">
            <v>45790</v>
          </cell>
          <cell r="K9912">
            <v>3</v>
          </cell>
        </row>
        <row r="9913">
          <cell r="C9913" t="str">
            <v>張政崙</v>
          </cell>
          <cell r="F9913" t="str">
            <v>K231101R1</v>
          </cell>
          <cell r="J9913">
            <v>45791</v>
          </cell>
          <cell r="K9913">
            <v>2</v>
          </cell>
        </row>
        <row r="9914">
          <cell r="C9914" t="str">
            <v>張政崙</v>
          </cell>
          <cell r="F9914" t="str">
            <v>M240704R1</v>
          </cell>
          <cell r="J9914">
            <v>45791</v>
          </cell>
          <cell r="K9914">
            <v>6</v>
          </cell>
        </row>
        <row r="9915">
          <cell r="C9915" t="str">
            <v>張政崙</v>
          </cell>
          <cell r="F9915" t="str">
            <v>M240704R1</v>
          </cell>
          <cell r="J9915">
            <v>45792</v>
          </cell>
          <cell r="K9915">
            <v>5</v>
          </cell>
        </row>
        <row r="9916">
          <cell r="C9916" t="str">
            <v>張政崙</v>
          </cell>
          <cell r="F9916" t="str">
            <v>K231101R1</v>
          </cell>
          <cell r="J9916">
            <v>45792</v>
          </cell>
          <cell r="K9916">
            <v>3</v>
          </cell>
        </row>
        <row r="9917">
          <cell r="C9917" t="str">
            <v>張政崙</v>
          </cell>
          <cell r="F9917" t="str">
            <v>K231101R1</v>
          </cell>
          <cell r="J9917">
            <v>45793</v>
          </cell>
          <cell r="K9917">
            <v>2</v>
          </cell>
        </row>
        <row r="9918">
          <cell r="C9918" t="str">
            <v>張政崙</v>
          </cell>
          <cell r="F9918" t="str">
            <v>M240704R1</v>
          </cell>
          <cell r="J9918">
            <v>45793</v>
          </cell>
          <cell r="K9918">
            <v>6</v>
          </cell>
        </row>
        <row r="9919">
          <cell r="C9919" t="str">
            <v>張政崙</v>
          </cell>
          <cell r="F9919" t="str">
            <v>M240704R1</v>
          </cell>
          <cell r="J9919">
            <v>45796</v>
          </cell>
          <cell r="K9919">
            <v>8</v>
          </cell>
        </row>
        <row r="9920">
          <cell r="C9920" t="str">
            <v>張政崙</v>
          </cell>
          <cell r="F9920" t="str">
            <v>M240704R1</v>
          </cell>
          <cell r="J9920">
            <v>45797</v>
          </cell>
          <cell r="K9920">
            <v>8</v>
          </cell>
        </row>
        <row r="9921">
          <cell r="C9921" t="str">
            <v>張政崙</v>
          </cell>
          <cell r="F9921" t="str">
            <v>K231101R1</v>
          </cell>
          <cell r="J9921">
            <v>45798</v>
          </cell>
          <cell r="K9921">
            <v>2</v>
          </cell>
        </row>
        <row r="9922">
          <cell r="C9922" t="str">
            <v>張政崙</v>
          </cell>
          <cell r="F9922" t="str">
            <v>M240704R1</v>
          </cell>
          <cell r="J9922">
            <v>45798</v>
          </cell>
          <cell r="K9922">
            <v>6</v>
          </cell>
        </row>
        <row r="9923">
          <cell r="C9923" t="str">
            <v>張政崙</v>
          </cell>
          <cell r="F9923" t="str">
            <v>K231101R1</v>
          </cell>
          <cell r="J9923">
            <v>45799</v>
          </cell>
          <cell r="K9923">
            <v>8</v>
          </cell>
        </row>
        <row r="9924">
          <cell r="C9924" t="str">
            <v>張政崙</v>
          </cell>
          <cell r="F9924" t="str">
            <v>M240704R1</v>
          </cell>
          <cell r="J9924">
            <v>45803</v>
          </cell>
          <cell r="K9924">
            <v>8</v>
          </cell>
        </row>
        <row r="9925">
          <cell r="C9925" t="str">
            <v>張政崙</v>
          </cell>
          <cell r="F9925" t="str">
            <v>M240704R1</v>
          </cell>
          <cell r="J9925">
            <v>45804</v>
          </cell>
          <cell r="K9925">
            <v>8</v>
          </cell>
        </row>
        <row r="9926">
          <cell r="C9926" t="str">
            <v>張政崙</v>
          </cell>
          <cell r="F9926" t="str">
            <v>K231101R1</v>
          </cell>
          <cell r="J9926">
            <v>45805</v>
          </cell>
          <cell r="K9926">
            <v>8</v>
          </cell>
        </row>
        <row r="9927">
          <cell r="C9927" t="str">
            <v>張政崙</v>
          </cell>
          <cell r="F9927" t="str">
            <v>K231101R1</v>
          </cell>
          <cell r="J9927">
            <v>45806</v>
          </cell>
          <cell r="K9927">
            <v>8</v>
          </cell>
        </row>
        <row r="9928">
          <cell r="C9928" t="str">
            <v>張政崙</v>
          </cell>
          <cell r="F9928" t="str">
            <v>K231101R1</v>
          </cell>
          <cell r="J9928">
            <v>45810</v>
          </cell>
          <cell r="K9928">
            <v>4.5</v>
          </cell>
        </row>
        <row r="9929">
          <cell r="C9929" t="str">
            <v>張政崙</v>
          </cell>
          <cell r="F9929" t="str">
            <v>M240704R1</v>
          </cell>
          <cell r="J9929">
            <v>45810</v>
          </cell>
          <cell r="K9929">
            <v>3.5</v>
          </cell>
        </row>
        <row r="9930">
          <cell r="C9930" t="str">
            <v>張政崙</v>
          </cell>
          <cell r="F9930" t="str">
            <v>M240704R1</v>
          </cell>
          <cell r="J9930">
            <v>45811</v>
          </cell>
          <cell r="K9930">
            <v>8</v>
          </cell>
        </row>
        <row r="9931">
          <cell r="C9931" t="str">
            <v>張政崙</v>
          </cell>
          <cell r="F9931" t="str">
            <v>M240704R1</v>
          </cell>
          <cell r="J9931">
            <v>45812</v>
          </cell>
          <cell r="K9931">
            <v>8</v>
          </cell>
        </row>
        <row r="9932">
          <cell r="C9932" t="str">
            <v>張政崙</v>
          </cell>
          <cell r="F9932" t="str">
            <v>M240704R1</v>
          </cell>
          <cell r="J9932">
            <v>45813</v>
          </cell>
          <cell r="K9932">
            <v>6</v>
          </cell>
        </row>
        <row r="9933">
          <cell r="C9933" t="str">
            <v>張政崙</v>
          </cell>
          <cell r="F9933" t="str">
            <v>K231101R1</v>
          </cell>
          <cell r="J9933">
            <v>45813</v>
          </cell>
          <cell r="K9933">
            <v>2</v>
          </cell>
        </row>
        <row r="9934">
          <cell r="C9934" t="str">
            <v>張政崙</v>
          </cell>
          <cell r="F9934" t="str">
            <v>M240704R1</v>
          </cell>
          <cell r="J9934">
            <v>45814</v>
          </cell>
          <cell r="K9934">
            <v>6</v>
          </cell>
        </row>
        <row r="9935">
          <cell r="C9935" t="str">
            <v>張政崙</v>
          </cell>
          <cell r="F9935" t="str">
            <v>D250101R1</v>
          </cell>
          <cell r="J9935">
            <v>45814</v>
          </cell>
          <cell r="K9935">
            <v>2</v>
          </cell>
        </row>
        <row r="9936">
          <cell r="C9936" t="str">
            <v>張政崙</v>
          </cell>
          <cell r="F9936" t="str">
            <v>M240704R1</v>
          </cell>
          <cell r="J9936">
            <v>45817</v>
          </cell>
          <cell r="K9936">
            <v>5</v>
          </cell>
        </row>
        <row r="9937">
          <cell r="C9937" t="str">
            <v>張政崙</v>
          </cell>
          <cell r="F9937" t="str">
            <v>D250101R1</v>
          </cell>
          <cell r="J9937">
            <v>45817</v>
          </cell>
          <cell r="K9937">
            <v>3</v>
          </cell>
        </row>
        <row r="9938">
          <cell r="C9938" t="str">
            <v>張政崙</v>
          </cell>
          <cell r="F9938" t="str">
            <v>M240704R1</v>
          </cell>
          <cell r="J9938">
            <v>45818</v>
          </cell>
          <cell r="K9938">
            <v>5</v>
          </cell>
        </row>
        <row r="9939">
          <cell r="C9939" t="str">
            <v>張政崙</v>
          </cell>
          <cell r="F9939" t="str">
            <v>D250101R1</v>
          </cell>
          <cell r="J9939">
            <v>45818</v>
          </cell>
          <cell r="K9939">
            <v>3</v>
          </cell>
        </row>
        <row r="9940">
          <cell r="C9940" t="str">
            <v>張政崙</v>
          </cell>
          <cell r="F9940" t="str">
            <v>M240704R1</v>
          </cell>
          <cell r="J9940">
            <v>45819</v>
          </cell>
          <cell r="K9940">
            <v>8</v>
          </cell>
        </row>
        <row r="9941">
          <cell r="C9941" t="str">
            <v>張政崙</v>
          </cell>
          <cell r="F9941" t="str">
            <v>M240704R1</v>
          </cell>
          <cell r="J9941">
            <v>45820</v>
          </cell>
          <cell r="K9941">
            <v>3</v>
          </cell>
        </row>
        <row r="9942">
          <cell r="C9942" t="str">
            <v>張政崙</v>
          </cell>
          <cell r="F9942" t="str">
            <v>D250101R1</v>
          </cell>
          <cell r="J9942">
            <v>45820</v>
          </cell>
          <cell r="K9942">
            <v>5</v>
          </cell>
        </row>
        <row r="9943">
          <cell r="C9943" t="str">
            <v>張政崙</v>
          </cell>
          <cell r="F9943" t="str">
            <v>D250101R1</v>
          </cell>
          <cell r="J9943">
            <v>45821</v>
          </cell>
          <cell r="K9943">
            <v>8</v>
          </cell>
        </row>
        <row r="9944">
          <cell r="C9944" t="str">
            <v>張政崙</v>
          </cell>
          <cell r="F9944" t="str">
            <v>D250101R1</v>
          </cell>
          <cell r="J9944">
            <v>45824</v>
          </cell>
          <cell r="K9944">
            <v>8</v>
          </cell>
        </row>
        <row r="9945">
          <cell r="C9945" t="str">
            <v>張政崙</v>
          </cell>
          <cell r="F9945" t="str">
            <v>D250101R1</v>
          </cell>
          <cell r="J9945">
            <v>45825</v>
          </cell>
          <cell r="K9945">
            <v>8</v>
          </cell>
        </row>
        <row r="9946">
          <cell r="C9946" t="str">
            <v>張政崙</v>
          </cell>
          <cell r="F9946" t="str">
            <v>M240704R1</v>
          </cell>
          <cell r="J9946">
            <v>45826</v>
          </cell>
          <cell r="K9946">
            <v>8</v>
          </cell>
        </row>
        <row r="9947">
          <cell r="C9947" t="str">
            <v>張政崙</v>
          </cell>
          <cell r="F9947" t="str">
            <v>K231101R1</v>
          </cell>
          <cell r="J9947">
            <v>45827</v>
          </cell>
          <cell r="K9947">
            <v>2</v>
          </cell>
        </row>
        <row r="9948">
          <cell r="C9948" t="str">
            <v>張政崙</v>
          </cell>
          <cell r="F9948" t="str">
            <v>M240704R1</v>
          </cell>
          <cell r="J9948">
            <v>45827</v>
          </cell>
          <cell r="K9948">
            <v>6</v>
          </cell>
        </row>
        <row r="9949">
          <cell r="C9949" t="str">
            <v>張政崙</v>
          </cell>
          <cell r="F9949" t="str">
            <v>K231101R1</v>
          </cell>
          <cell r="J9949">
            <v>45828</v>
          </cell>
          <cell r="K9949">
            <v>4</v>
          </cell>
        </row>
        <row r="9950">
          <cell r="C9950" t="str">
            <v>張政崙</v>
          </cell>
          <cell r="F9950" t="str">
            <v>M240704R1</v>
          </cell>
          <cell r="J9950">
            <v>45828</v>
          </cell>
          <cell r="K9950">
            <v>4</v>
          </cell>
        </row>
        <row r="9951">
          <cell r="C9951" t="str">
            <v>張政崙</v>
          </cell>
          <cell r="F9951" t="str">
            <v>K231101R1</v>
          </cell>
          <cell r="J9951">
            <v>45831</v>
          </cell>
          <cell r="K9951">
            <v>2</v>
          </cell>
        </row>
        <row r="9952">
          <cell r="C9952" t="str">
            <v>張政崙</v>
          </cell>
          <cell r="F9952" t="str">
            <v>M240704R1</v>
          </cell>
          <cell r="J9952">
            <v>45831</v>
          </cell>
          <cell r="K9952">
            <v>6</v>
          </cell>
        </row>
        <row r="9953">
          <cell r="C9953" t="str">
            <v>張政崙</v>
          </cell>
          <cell r="F9953" t="str">
            <v>M240704R1</v>
          </cell>
          <cell r="J9953">
            <v>45832</v>
          </cell>
          <cell r="K9953">
            <v>8</v>
          </cell>
        </row>
        <row r="9954">
          <cell r="C9954" t="str">
            <v>張政崙</v>
          </cell>
          <cell r="F9954" t="str">
            <v>M240704R1</v>
          </cell>
          <cell r="J9954">
            <v>45833</v>
          </cell>
          <cell r="K9954">
            <v>8</v>
          </cell>
        </row>
        <row r="9955">
          <cell r="C9955" t="str">
            <v>張政崙</v>
          </cell>
          <cell r="F9955" t="str">
            <v>M240704R1</v>
          </cell>
          <cell r="J9955">
            <v>45834</v>
          </cell>
          <cell r="K9955">
            <v>8</v>
          </cell>
        </row>
        <row r="9956">
          <cell r="C9956" t="str">
            <v>張政崙</v>
          </cell>
          <cell r="F9956" t="str">
            <v>M240704R1</v>
          </cell>
          <cell r="J9956">
            <v>45835</v>
          </cell>
          <cell r="K9956">
            <v>8</v>
          </cell>
        </row>
        <row r="9957">
          <cell r="C9957" t="str">
            <v>張政崙</v>
          </cell>
          <cell r="F9957" t="str">
            <v>M240704R1</v>
          </cell>
          <cell r="J9957">
            <v>45838</v>
          </cell>
          <cell r="K9957">
            <v>8</v>
          </cell>
        </row>
        <row r="9958">
          <cell r="C9958" t="str">
            <v>張政崙</v>
          </cell>
          <cell r="F9958" t="str">
            <v>M240704R1</v>
          </cell>
          <cell r="J9958">
            <v>45839</v>
          </cell>
          <cell r="K9958">
            <v>8</v>
          </cell>
        </row>
        <row r="9959">
          <cell r="C9959" t="str">
            <v>張政崙</v>
          </cell>
          <cell r="F9959" t="str">
            <v>M240704R1</v>
          </cell>
          <cell r="J9959">
            <v>45840</v>
          </cell>
          <cell r="K9959">
            <v>8</v>
          </cell>
        </row>
        <row r="9960">
          <cell r="C9960" t="str">
            <v>張政崙</v>
          </cell>
          <cell r="F9960" t="str">
            <v>M240704R1</v>
          </cell>
          <cell r="J9960">
            <v>45841</v>
          </cell>
          <cell r="K9960">
            <v>8</v>
          </cell>
        </row>
        <row r="9961">
          <cell r="C9961" t="str">
            <v>張政崙</v>
          </cell>
          <cell r="F9961" t="str">
            <v>M240704R1</v>
          </cell>
          <cell r="J9961">
            <v>45842</v>
          </cell>
          <cell r="K9961">
            <v>8</v>
          </cell>
        </row>
        <row r="9962">
          <cell r="C9962" t="str">
            <v>張政崙</v>
          </cell>
          <cell r="F9962" t="str">
            <v>M240704R1</v>
          </cell>
          <cell r="J9962">
            <v>45845</v>
          </cell>
          <cell r="K9962">
            <v>8</v>
          </cell>
        </row>
        <row r="9963">
          <cell r="C9963" t="str">
            <v>張政崙</v>
          </cell>
          <cell r="F9963" t="str">
            <v>M240704R1</v>
          </cell>
          <cell r="J9963">
            <v>45846</v>
          </cell>
          <cell r="K9963">
            <v>8</v>
          </cell>
        </row>
        <row r="9964">
          <cell r="C9964" t="str">
            <v>張政崙</v>
          </cell>
          <cell r="F9964" t="str">
            <v>M240704R1</v>
          </cell>
          <cell r="J9964">
            <v>45847</v>
          </cell>
          <cell r="K9964">
            <v>8</v>
          </cell>
        </row>
        <row r="9965">
          <cell r="C9965" t="str">
            <v>張政崙</v>
          </cell>
          <cell r="F9965" t="str">
            <v>M240704R1</v>
          </cell>
          <cell r="J9965">
            <v>45848</v>
          </cell>
          <cell r="K9965">
            <v>8</v>
          </cell>
        </row>
        <row r="9966">
          <cell r="C9966" t="str">
            <v>張政崙</v>
          </cell>
          <cell r="F9966" t="str">
            <v>M240704R1</v>
          </cell>
          <cell r="J9966">
            <v>45849</v>
          </cell>
          <cell r="K9966">
            <v>8</v>
          </cell>
        </row>
        <row r="9967">
          <cell r="C9967" t="str">
            <v>張政崙</v>
          </cell>
          <cell r="F9967" t="str">
            <v>M240704R1</v>
          </cell>
          <cell r="J9967">
            <v>45852</v>
          </cell>
          <cell r="K9967">
            <v>8</v>
          </cell>
        </row>
        <row r="9968">
          <cell r="C9968" t="str">
            <v>張政崙</v>
          </cell>
          <cell r="F9968" t="str">
            <v>M240704R1</v>
          </cell>
          <cell r="J9968">
            <v>45853</v>
          </cell>
          <cell r="K9968">
            <v>8</v>
          </cell>
        </row>
        <row r="9969">
          <cell r="C9969" t="str">
            <v>張政崙</v>
          </cell>
          <cell r="F9969" t="str">
            <v>M240704R1</v>
          </cell>
          <cell r="J9969">
            <v>45854</v>
          </cell>
          <cell r="K9969">
            <v>8</v>
          </cell>
        </row>
        <row r="9970">
          <cell r="C9970" t="str">
            <v>張政崙</v>
          </cell>
          <cell r="F9970" t="str">
            <v>M240704R1</v>
          </cell>
          <cell r="J9970">
            <v>45855</v>
          </cell>
          <cell r="K9970">
            <v>8</v>
          </cell>
        </row>
        <row r="9971">
          <cell r="C9971" t="str">
            <v>張政崙</v>
          </cell>
          <cell r="F9971" t="str">
            <v>M240704R1</v>
          </cell>
          <cell r="J9971">
            <v>45856</v>
          </cell>
          <cell r="K9971">
            <v>8</v>
          </cell>
        </row>
        <row r="9972">
          <cell r="C9972" t="str">
            <v>張政崙</v>
          </cell>
          <cell r="F9972" t="str">
            <v>M240704R1</v>
          </cell>
          <cell r="J9972">
            <v>45859</v>
          </cell>
          <cell r="K9972">
            <v>8</v>
          </cell>
        </row>
        <row r="9973">
          <cell r="C9973" t="str">
            <v>張政崙</v>
          </cell>
          <cell r="F9973" t="str">
            <v>M240704R1</v>
          </cell>
          <cell r="J9973">
            <v>45860</v>
          </cell>
          <cell r="K9973">
            <v>8</v>
          </cell>
        </row>
        <row r="9974">
          <cell r="C9974" t="str">
            <v>張政崙</v>
          </cell>
          <cell r="F9974" t="str">
            <v>M240704R1</v>
          </cell>
          <cell r="J9974">
            <v>45861</v>
          </cell>
          <cell r="K9974">
            <v>8</v>
          </cell>
        </row>
        <row r="9975">
          <cell r="C9975" t="str">
            <v>張政崙</v>
          </cell>
          <cell r="F9975" t="str">
            <v>M240704R1</v>
          </cell>
          <cell r="J9975">
            <v>45862</v>
          </cell>
          <cell r="K9975">
            <v>8</v>
          </cell>
        </row>
        <row r="9976">
          <cell r="C9976" t="str">
            <v>張政崙</v>
          </cell>
          <cell r="J9976">
            <v>45863</v>
          </cell>
          <cell r="K9976">
            <v>8</v>
          </cell>
        </row>
        <row r="9977">
          <cell r="C9977" t="str">
            <v>張政崙</v>
          </cell>
          <cell r="F9977" t="str">
            <v>M240704R1</v>
          </cell>
          <cell r="J9977">
            <v>45866</v>
          </cell>
          <cell r="K9977">
            <v>8</v>
          </cell>
        </row>
        <row r="9978">
          <cell r="C9978" t="str">
            <v>張政崙</v>
          </cell>
          <cell r="F9978" t="str">
            <v>M240704R1</v>
          </cell>
          <cell r="J9978">
            <v>45867</v>
          </cell>
          <cell r="K9978">
            <v>8</v>
          </cell>
        </row>
        <row r="9979">
          <cell r="C9979" t="str">
            <v>張政崙</v>
          </cell>
          <cell r="F9979" t="str">
            <v>M240704R1</v>
          </cell>
          <cell r="J9979">
            <v>45868</v>
          </cell>
          <cell r="K9979">
            <v>8</v>
          </cell>
        </row>
        <row r="9980">
          <cell r="C9980" t="str">
            <v>張政崙</v>
          </cell>
          <cell r="F9980" t="str">
            <v>M240704R1</v>
          </cell>
          <cell r="J9980">
            <v>45869</v>
          </cell>
          <cell r="K9980">
            <v>8</v>
          </cell>
        </row>
        <row r="9981">
          <cell r="C9981" t="str">
            <v>張政崙</v>
          </cell>
          <cell r="J9981">
            <v>45870</v>
          </cell>
          <cell r="K9981">
            <v>8</v>
          </cell>
        </row>
        <row r="9982">
          <cell r="C9982" t="str">
            <v>張政崙</v>
          </cell>
          <cell r="F9982" t="str">
            <v>M240704R1</v>
          </cell>
          <cell r="J9982">
            <v>45873</v>
          </cell>
          <cell r="K9982">
            <v>8</v>
          </cell>
        </row>
        <row r="9983">
          <cell r="C9983" t="str">
            <v>張政崙</v>
          </cell>
          <cell r="F9983" t="str">
            <v>M240704R1</v>
          </cell>
          <cell r="J9983">
            <v>45874</v>
          </cell>
          <cell r="K9983">
            <v>8</v>
          </cell>
        </row>
        <row r="9984">
          <cell r="C9984" t="str">
            <v>張政崙</v>
          </cell>
          <cell r="F9984" t="str">
            <v>M240704R1</v>
          </cell>
          <cell r="J9984">
            <v>45875</v>
          </cell>
          <cell r="K9984">
            <v>8</v>
          </cell>
        </row>
        <row r="9985">
          <cell r="C9985" t="str">
            <v>張政崙</v>
          </cell>
          <cell r="J9985">
            <v>45876</v>
          </cell>
          <cell r="K9985">
            <v>4</v>
          </cell>
        </row>
        <row r="9986">
          <cell r="C9986" t="str">
            <v>張政崙</v>
          </cell>
          <cell r="F9986" t="str">
            <v>M240704R1</v>
          </cell>
          <cell r="J9986">
            <v>45876</v>
          </cell>
          <cell r="K9986">
            <v>4</v>
          </cell>
        </row>
        <row r="9987">
          <cell r="C9987" t="str">
            <v>張政崙</v>
          </cell>
          <cell r="F9987" t="str">
            <v>M240704R1</v>
          </cell>
          <cell r="J9987">
            <v>45877</v>
          </cell>
          <cell r="K9987">
            <v>8</v>
          </cell>
        </row>
        <row r="9988">
          <cell r="C9988" t="str">
            <v>張政崙</v>
          </cell>
          <cell r="J9988">
            <v>45880</v>
          </cell>
          <cell r="K9988">
            <v>4</v>
          </cell>
        </row>
        <row r="9989">
          <cell r="C9989" t="str">
            <v>張政崙</v>
          </cell>
          <cell r="F9989" t="str">
            <v>M240704R1</v>
          </cell>
          <cell r="J9989">
            <v>45880</v>
          </cell>
          <cell r="K9989">
            <v>4</v>
          </cell>
        </row>
        <row r="9990">
          <cell r="C9990" t="str">
            <v>張政崙</v>
          </cell>
          <cell r="F9990" t="str">
            <v>M240704R1</v>
          </cell>
          <cell r="J9990">
            <v>45881</v>
          </cell>
          <cell r="K9990">
            <v>8</v>
          </cell>
        </row>
        <row r="9991">
          <cell r="C9991" t="str">
            <v>張政崙</v>
          </cell>
          <cell r="F9991" t="str">
            <v>M240704R1</v>
          </cell>
          <cell r="J9991">
            <v>45882</v>
          </cell>
          <cell r="K9991">
            <v>8</v>
          </cell>
        </row>
        <row r="9992">
          <cell r="C9992" t="str">
            <v>張政崙</v>
          </cell>
          <cell r="F9992" t="str">
            <v>M240704R1</v>
          </cell>
          <cell r="J9992">
            <v>45883</v>
          </cell>
          <cell r="K9992">
            <v>8</v>
          </cell>
        </row>
        <row r="9993">
          <cell r="C9993" t="str">
            <v>張政崙</v>
          </cell>
          <cell r="F9993" t="str">
            <v>M240704R1</v>
          </cell>
          <cell r="J9993">
            <v>45884</v>
          </cell>
          <cell r="K9993">
            <v>8</v>
          </cell>
        </row>
        <row r="9994">
          <cell r="C9994" t="str">
            <v>張政崙</v>
          </cell>
          <cell r="F9994" t="str">
            <v>M240704R1</v>
          </cell>
          <cell r="J9994">
            <v>45887</v>
          </cell>
          <cell r="K9994">
            <v>8</v>
          </cell>
        </row>
        <row r="9995">
          <cell r="C9995" t="str">
            <v>張政崙</v>
          </cell>
          <cell r="F9995" t="str">
            <v>M240704R1</v>
          </cell>
          <cell r="J9995">
            <v>45888</v>
          </cell>
          <cell r="K9995">
            <v>8</v>
          </cell>
        </row>
        <row r="9996">
          <cell r="C9996" t="str">
            <v>張政崙</v>
          </cell>
          <cell r="F9996" t="str">
            <v>M240704R1</v>
          </cell>
          <cell r="J9996">
            <v>45889</v>
          </cell>
          <cell r="K9996">
            <v>4</v>
          </cell>
        </row>
        <row r="9997">
          <cell r="C9997" t="str">
            <v>張政崙</v>
          </cell>
          <cell r="F9997" t="str">
            <v>D250101R1</v>
          </cell>
          <cell r="J9997">
            <v>45889</v>
          </cell>
          <cell r="K9997">
            <v>4</v>
          </cell>
        </row>
        <row r="9998">
          <cell r="C9998" t="str">
            <v>張政崙</v>
          </cell>
          <cell r="F9998" t="str">
            <v>M240704R1</v>
          </cell>
          <cell r="J9998">
            <v>45890</v>
          </cell>
          <cell r="K9998">
            <v>8</v>
          </cell>
        </row>
        <row r="9999">
          <cell r="C9999" t="str">
            <v>張政崙</v>
          </cell>
          <cell r="F9999" t="str">
            <v>M240704R1</v>
          </cell>
          <cell r="J9999">
            <v>45891</v>
          </cell>
          <cell r="K9999">
            <v>8</v>
          </cell>
        </row>
        <row r="10000">
          <cell r="C10000" t="str">
            <v>張政崙</v>
          </cell>
          <cell r="F10000" t="str">
            <v>M240704R1</v>
          </cell>
          <cell r="J10000">
            <v>45894</v>
          </cell>
          <cell r="K10000">
            <v>8</v>
          </cell>
        </row>
        <row r="10001">
          <cell r="C10001" t="str">
            <v>張政崙</v>
          </cell>
          <cell r="J10001">
            <v>45895</v>
          </cell>
          <cell r="K10001">
            <v>4</v>
          </cell>
        </row>
        <row r="10002">
          <cell r="C10002" t="str">
            <v>張政崙</v>
          </cell>
          <cell r="F10002" t="str">
            <v>M240704R1</v>
          </cell>
          <cell r="J10002">
            <v>45895</v>
          </cell>
          <cell r="K10002">
            <v>4</v>
          </cell>
        </row>
        <row r="10003">
          <cell r="C10003" t="str">
            <v>張政崙</v>
          </cell>
          <cell r="J10003">
            <v>45896</v>
          </cell>
          <cell r="K10003">
            <v>1</v>
          </cell>
        </row>
        <row r="10004">
          <cell r="C10004" t="str">
            <v>張政崙</v>
          </cell>
          <cell r="F10004" t="str">
            <v>M240704R1</v>
          </cell>
          <cell r="J10004">
            <v>45896</v>
          </cell>
          <cell r="K10004">
            <v>6</v>
          </cell>
        </row>
        <row r="10005">
          <cell r="C10005" t="str">
            <v>張政崙</v>
          </cell>
          <cell r="F10005" t="str">
            <v>D250101R1</v>
          </cell>
          <cell r="J10005">
            <v>45896</v>
          </cell>
          <cell r="K10005">
            <v>1</v>
          </cell>
        </row>
        <row r="10006">
          <cell r="C10006" t="str">
            <v>張政崙</v>
          </cell>
          <cell r="F10006" t="str">
            <v>M240704R1</v>
          </cell>
          <cell r="J10006">
            <v>45897</v>
          </cell>
          <cell r="K10006">
            <v>8</v>
          </cell>
        </row>
        <row r="10007">
          <cell r="C10007" t="str">
            <v>張政崙</v>
          </cell>
          <cell r="F10007" t="str">
            <v>M240704R1</v>
          </cell>
          <cell r="J10007">
            <v>45898</v>
          </cell>
          <cell r="K10007">
            <v>8</v>
          </cell>
        </row>
        <row r="10008">
          <cell r="C10008" t="str">
            <v>張政崙</v>
          </cell>
          <cell r="F10008" t="str">
            <v>M240704R1</v>
          </cell>
          <cell r="J10008">
            <v>45901</v>
          </cell>
          <cell r="K10008">
            <v>8</v>
          </cell>
        </row>
        <row r="10009">
          <cell r="C10009" t="str">
            <v>張政崙</v>
          </cell>
          <cell r="F10009" t="str">
            <v>M240704R1</v>
          </cell>
          <cell r="J10009">
            <v>45902</v>
          </cell>
          <cell r="K10009">
            <v>8</v>
          </cell>
        </row>
        <row r="10010">
          <cell r="C10010" t="str">
            <v>張政崙</v>
          </cell>
          <cell r="F10010" t="str">
            <v>M240704R1</v>
          </cell>
          <cell r="J10010">
            <v>45903</v>
          </cell>
          <cell r="K10010">
            <v>8</v>
          </cell>
        </row>
        <row r="10011">
          <cell r="C10011" t="str">
            <v>張政崙</v>
          </cell>
          <cell r="F10011" t="str">
            <v>M240704R1</v>
          </cell>
          <cell r="J10011">
            <v>45904</v>
          </cell>
          <cell r="K10011">
            <v>8</v>
          </cell>
        </row>
        <row r="10012">
          <cell r="C10012" t="str">
            <v>張政崙</v>
          </cell>
          <cell r="F10012" t="str">
            <v>K231101R1</v>
          </cell>
          <cell r="J10012">
            <v>45905</v>
          </cell>
          <cell r="K10012">
            <v>8</v>
          </cell>
        </row>
        <row r="10013">
          <cell r="C10013" t="str">
            <v>張政崙</v>
          </cell>
          <cell r="J10013">
            <v>45908</v>
          </cell>
          <cell r="K10013">
            <v>1.5</v>
          </cell>
        </row>
        <row r="10014">
          <cell r="C10014" t="str">
            <v>張政崙</v>
          </cell>
          <cell r="F10014" t="str">
            <v>M240704R1</v>
          </cell>
          <cell r="J10014">
            <v>45908</v>
          </cell>
          <cell r="K10014">
            <v>4</v>
          </cell>
        </row>
        <row r="10015">
          <cell r="C10015" t="str">
            <v>張政崙</v>
          </cell>
          <cell r="F10015" t="str">
            <v>K231101R1</v>
          </cell>
          <cell r="J10015">
            <v>45908</v>
          </cell>
          <cell r="K10015">
            <v>2.5</v>
          </cell>
        </row>
        <row r="10016">
          <cell r="C10016" t="str">
            <v>張政崙</v>
          </cell>
          <cell r="F10016" t="str">
            <v>M240704R1</v>
          </cell>
          <cell r="J10016">
            <v>45909</v>
          </cell>
          <cell r="K10016">
            <v>5</v>
          </cell>
        </row>
        <row r="10017">
          <cell r="C10017" t="str">
            <v>張政崙</v>
          </cell>
          <cell r="F10017" t="str">
            <v>K231101R1</v>
          </cell>
          <cell r="J10017">
            <v>45909</v>
          </cell>
          <cell r="K10017">
            <v>3</v>
          </cell>
        </row>
        <row r="10018">
          <cell r="C10018" t="str">
            <v>張政崙</v>
          </cell>
          <cell r="J10018">
            <v>45910</v>
          </cell>
          <cell r="K10018">
            <v>1</v>
          </cell>
        </row>
        <row r="10019">
          <cell r="C10019" t="str">
            <v>張政崙</v>
          </cell>
          <cell r="F10019" t="str">
            <v>M240704R1</v>
          </cell>
          <cell r="J10019">
            <v>45910</v>
          </cell>
          <cell r="K10019">
            <v>7</v>
          </cell>
        </row>
        <row r="10020">
          <cell r="C10020" t="str">
            <v>張政崙</v>
          </cell>
          <cell r="F10020" t="str">
            <v>M240704R1</v>
          </cell>
          <cell r="J10020">
            <v>45911</v>
          </cell>
          <cell r="K10020">
            <v>8</v>
          </cell>
        </row>
        <row r="10021">
          <cell r="C10021" t="str">
            <v>張政崙</v>
          </cell>
          <cell r="F10021" t="str">
            <v>M240704R1</v>
          </cell>
          <cell r="J10021">
            <v>45912</v>
          </cell>
          <cell r="K10021">
            <v>8</v>
          </cell>
        </row>
        <row r="10022">
          <cell r="C10022" t="str">
            <v>張政崙</v>
          </cell>
          <cell r="F10022" t="str">
            <v>M240704R1</v>
          </cell>
          <cell r="J10022">
            <v>45915</v>
          </cell>
          <cell r="K10022">
            <v>8</v>
          </cell>
        </row>
        <row r="10023">
          <cell r="C10023" t="str">
            <v>張政崙</v>
          </cell>
          <cell r="F10023" t="str">
            <v>M240704R1</v>
          </cell>
          <cell r="J10023">
            <v>45916</v>
          </cell>
          <cell r="K10023">
            <v>8</v>
          </cell>
        </row>
        <row r="10024">
          <cell r="C10024" t="str">
            <v>張政崙</v>
          </cell>
          <cell r="F10024" t="str">
            <v>M240704R1</v>
          </cell>
          <cell r="J10024">
            <v>45917</v>
          </cell>
          <cell r="K10024">
            <v>8</v>
          </cell>
        </row>
        <row r="10025">
          <cell r="C10025" t="str">
            <v>張政崙</v>
          </cell>
          <cell r="F10025" t="str">
            <v>M240704R1</v>
          </cell>
          <cell r="J10025">
            <v>45918</v>
          </cell>
          <cell r="K10025">
            <v>8</v>
          </cell>
        </row>
        <row r="10026">
          <cell r="C10026" t="str">
            <v>張政崙</v>
          </cell>
          <cell r="F10026" t="str">
            <v>M240704R1</v>
          </cell>
          <cell r="J10026">
            <v>45919</v>
          </cell>
          <cell r="K10026">
            <v>8</v>
          </cell>
        </row>
        <row r="10027">
          <cell r="C10027" t="str">
            <v>張政崙</v>
          </cell>
          <cell r="F10027" t="str">
            <v>M240704R1</v>
          </cell>
          <cell r="J10027">
            <v>45922</v>
          </cell>
          <cell r="K10027">
            <v>8</v>
          </cell>
        </row>
        <row r="10028">
          <cell r="C10028" t="str">
            <v>張政崙</v>
          </cell>
          <cell r="F10028" t="str">
            <v>M240704R1</v>
          </cell>
          <cell r="J10028">
            <v>45923</v>
          </cell>
          <cell r="K10028">
            <v>8</v>
          </cell>
        </row>
        <row r="10029">
          <cell r="C10029" t="str">
            <v>張政崙</v>
          </cell>
          <cell r="F10029" t="str">
            <v>M240704R1</v>
          </cell>
          <cell r="J10029">
            <v>45924</v>
          </cell>
          <cell r="K10029">
            <v>8</v>
          </cell>
        </row>
        <row r="10030">
          <cell r="C10030" t="str">
            <v>張政崙</v>
          </cell>
          <cell r="F10030" t="str">
            <v>M240704R1</v>
          </cell>
          <cell r="J10030">
            <v>45925</v>
          </cell>
          <cell r="K10030">
            <v>8</v>
          </cell>
        </row>
        <row r="10031">
          <cell r="C10031" t="str">
            <v>張政崙</v>
          </cell>
          <cell r="F10031" t="str">
            <v>M240704R1</v>
          </cell>
          <cell r="J10031">
            <v>45926</v>
          </cell>
          <cell r="K10031">
            <v>8</v>
          </cell>
        </row>
        <row r="10032">
          <cell r="C10032" t="str">
            <v>張政崙</v>
          </cell>
          <cell r="F10032" t="str">
            <v>M240704R1</v>
          </cell>
          <cell r="J10032">
            <v>45930</v>
          </cell>
          <cell r="K10032">
            <v>8</v>
          </cell>
        </row>
        <row r="10033">
          <cell r="C10033" t="str">
            <v>張政崙</v>
          </cell>
          <cell r="F10033" t="str">
            <v>M240704R1</v>
          </cell>
          <cell r="J10033">
            <v>45931</v>
          </cell>
          <cell r="K10033">
            <v>8</v>
          </cell>
        </row>
        <row r="10034">
          <cell r="C10034" t="str">
            <v>張政崙</v>
          </cell>
          <cell r="F10034" t="str">
            <v>M240704R1</v>
          </cell>
          <cell r="J10034">
            <v>45932</v>
          </cell>
          <cell r="K10034">
            <v>8</v>
          </cell>
        </row>
        <row r="10035">
          <cell r="C10035" t="str">
            <v>張政崙</v>
          </cell>
          <cell r="F10035" t="str">
            <v>M240704R1</v>
          </cell>
          <cell r="J10035">
            <v>45933</v>
          </cell>
          <cell r="K10035">
            <v>8</v>
          </cell>
        </row>
        <row r="10036">
          <cell r="C10036" t="str">
            <v>張政崙</v>
          </cell>
          <cell r="F10036" t="str">
            <v>M240704R1</v>
          </cell>
          <cell r="J10036">
            <v>45937</v>
          </cell>
          <cell r="K10036">
            <v>8</v>
          </cell>
        </row>
        <row r="10037">
          <cell r="C10037" t="str">
            <v>張政崙</v>
          </cell>
          <cell r="J10037">
            <v>45938</v>
          </cell>
          <cell r="K10037">
            <v>1.5</v>
          </cell>
        </row>
        <row r="10038">
          <cell r="C10038" t="str">
            <v>張政崙</v>
          </cell>
          <cell r="F10038" t="str">
            <v>M240704R1</v>
          </cell>
          <cell r="J10038">
            <v>45938</v>
          </cell>
          <cell r="K10038">
            <v>6.5</v>
          </cell>
        </row>
        <row r="10039">
          <cell r="C10039" t="str">
            <v>張政崙</v>
          </cell>
          <cell r="F10039" t="str">
            <v>M240704R1</v>
          </cell>
          <cell r="J10039">
            <v>45939</v>
          </cell>
          <cell r="K10039">
            <v>8</v>
          </cell>
        </row>
        <row r="10040">
          <cell r="C10040" t="str">
            <v>張政崙</v>
          </cell>
          <cell r="F10040" t="str">
            <v>M240704R1</v>
          </cell>
          <cell r="J10040">
            <v>45943</v>
          </cell>
          <cell r="K10040">
            <v>8</v>
          </cell>
        </row>
        <row r="10041">
          <cell r="C10041" t="str">
            <v>張政崙</v>
          </cell>
          <cell r="F10041" t="str">
            <v>K231101R1</v>
          </cell>
          <cell r="J10041">
            <v>45944</v>
          </cell>
          <cell r="K10041">
            <v>4</v>
          </cell>
        </row>
        <row r="10042">
          <cell r="C10042" t="str">
            <v>張政崙</v>
          </cell>
          <cell r="J10042">
            <v>45944</v>
          </cell>
          <cell r="K10042">
            <v>4</v>
          </cell>
        </row>
        <row r="10043">
          <cell r="C10043" t="str">
            <v>張政崙</v>
          </cell>
          <cell r="J10043">
            <v>45945</v>
          </cell>
          <cell r="K10043">
            <v>8</v>
          </cell>
        </row>
        <row r="10044">
          <cell r="C10044" t="str">
            <v>張政崙</v>
          </cell>
          <cell r="J10044">
            <v>45946</v>
          </cell>
          <cell r="K10044">
            <v>8</v>
          </cell>
        </row>
        <row r="10045">
          <cell r="C10045" t="str">
            <v>張政崙</v>
          </cell>
          <cell r="J10045">
            <v>45947</v>
          </cell>
          <cell r="K10045">
            <v>1.5</v>
          </cell>
        </row>
        <row r="10046">
          <cell r="C10046" t="str">
            <v>張政崙</v>
          </cell>
          <cell r="J10046">
            <v>45947</v>
          </cell>
          <cell r="K10046">
            <v>6.5</v>
          </cell>
        </row>
        <row r="10047">
          <cell r="C10047" t="str">
            <v>張政崙</v>
          </cell>
          <cell r="J10047">
            <v>45950</v>
          </cell>
          <cell r="K10047">
            <v>8</v>
          </cell>
        </row>
        <row r="10048">
          <cell r="C10048" t="str">
            <v>張政崙</v>
          </cell>
          <cell r="J10048">
            <v>45951</v>
          </cell>
          <cell r="K10048">
            <v>8</v>
          </cell>
        </row>
        <row r="10049">
          <cell r="C10049" t="str">
            <v>張政崙</v>
          </cell>
          <cell r="J10049">
            <v>45952</v>
          </cell>
          <cell r="K10049">
            <v>8</v>
          </cell>
        </row>
        <row r="10050">
          <cell r="C10050" t="str">
            <v>張政崙</v>
          </cell>
          <cell r="J10050">
            <v>45953</v>
          </cell>
          <cell r="K10050">
            <v>8</v>
          </cell>
        </row>
        <row r="10051">
          <cell r="C10051" t="str">
            <v>張政崙</v>
          </cell>
          <cell r="J10051">
            <v>45957</v>
          </cell>
          <cell r="K10051">
            <v>8</v>
          </cell>
        </row>
        <row r="10052">
          <cell r="C10052" t="str">
            <v>張政崙</v>
          </cell>
          <cell r="J10052">
            <v>45958</v>
          </cell>
          <cell r="K10052">
            <v>8</v>
          </cell>
        </row>
        <row r="10053">
          <cell r="C10053" t="str">
            <v>張政崙</v>
          </cell>
          <cell r="J10053">
            <v>45959</v>
          </cell>
          <cell r="K10053">
            <v>8</v>
          </cell>
        </row>
        <row r="10054">
          <cell r="C10054" t="str">
            <v>張政崙</v>
          </cell>
          <cell r="J10054">
            <v>45960</v>
          </cell>
          <cell r="K10054">
            <v>1</v>
          </cell>
        </row>
        <row r="10055">
          <cell r="C10055" t="str">
            <v>張政崙</v>
          </cell>
          <cell r="J10055">
            <v>45960</v>
          </cell>
          <cell r="K10055">
            <v>4</v>
          </cell>
        </row>
        <row r="10056">
          <cell r="C10056" t="str">
            <v>張政崙</v>
          </cell>
          <cell r="F10056" t="str">
            <v>M240704R1</v>
          </cell>
          <cell r="J10056">
            <v>45960</v>
          </cell>
          <cell r="K10056">
            <v>3</v>
          </cell>
        </row>
        <row r="10057">
          <cell r="C10057" t="str">
            <v>張政崙</v>
          </cell>
          <cell r="F10057" t="str">
            <v>K231101P1</v>
          </cell>
          <cell r="J10057">
            <v>45961</v>
          </cell>
          <cell r="K10057">
            <v>8</v>
          </cell>
        </row>
        <row r="10058">
          <cell r="C10058" t="str">
            <v>張政崙</v>
          </cell>
          <cell r="F10058" t="str">
            <v>M240704R1</v>
          </cell>
          <cell r="J10058">
            <v>45964</v>
          </cell>
          <cell r="K10058">
            <v>8</v>
          </cell>
        </row>
        <row r="10059">
          <cell r="C10059" t="str">
            <v>張政崙</v>
          </cell>
          <cell r="J10059">
            <v>45965</v>
          </cell>
          <cell r="K10059">
            <v>5</v>
          </cell>
        </row>
        <row r="10060">
          <cell r="C10060" t="str">
            <v>張政崙</v>
          </cell>
          <cell r="F10060" t="str">
            <v>M240704R1</v>
          </cell>
          <cell r="J10060">
            <v>45965</v>
          </cell>
          <cell r="K10060">
            <v>3</v>
          </cell>
        </row>
        <row r="10061">
          <cell r="C10061" t="str">
            <v>張政崙</v>
          </cell>
          <cell r="J10061">
            <v>45966</v>
          </cell>
          <cell r="K10061">
            <v>6</v>
          </cell>
        </row>
        <row r="10062">
          <cell r="C10062" t="str">
            <v>張政崙</v>
          </cell>
          <cell r="F10062" t="str">
            <v>M240704R1</v>
          </cell>
          <cell r="J10062">
            <v>45966</v>
          </cell>
          <cell r="K10062">
            <v>2</v>
          </cell>
        </row>
        <row r="10063">
          <cell r="C10063" t="str">
            <v>張政崙</v>
          </cell>
          <cell r="J10063">
            <v>45967</v>
          </cell>
          <cell r="K10063">
            <v>3</v>
          </cell>
        </row>
        <row r="10064">
          <cell r="C10064" t="str">
            <v>張政崙</v>
          </cell>
          <cell r="J10064">
            <v>45967</v>
          </cell>
          <cell r="K10064">
            <v>2</v>
          </cell>
        </row>
        <row r="10065">
          <cell r="C10065" t="str">
            <v>張政崙</v>
          </cell>
          <cell r="J10065">
            <v>45967</v>
          </cell>
          <cell r="K10065">
            <v>3</v>
          </cell>
        </row>
        <row r="10066">
          <cell r="C10066" t="str">
            <v>張政崙</v>
          </cell>
          <cell r="J10066">
            <v>45968</v>
          </cell>
          <cell r="K10066">
            <v>8</v>
          </cell>
        </row>
        <row r="10067">
          <cell r="C10067" t="str">
            <v>張政崙</v>
          </cell>
          <cell r="J10067">
            <v>45971</v>
          </cell>
          <cell r="K10067">
            <v>7</v>
          </cell>
        </row>
        <row r="10068">
          <cell r="C10068" t="str">
            <v>張政崙</v>
          </cell>
          <cell r="F10068" t="str">
            <v>M240704R1</v>
          </cell>
          <cell r="J10068">
            <v>45971</v>
          </cell>
          <cell r="K10068">
            <v>1</v>
          </cell>
        </row>
        <row r="10069">
          <cell r="C10069" t="str">
            <v>張政崙</v>
          </cell>
          <cell r="F10069" t="str">
            <v>K231101R1</v>
          </cell>
          <cell r="J10069">
            <v>45972</v>
          </cell>
          <cell r="K10069">
            <v>8</v>
          </cell>
        </row>
        <row r="10070">
          <cell r="C10070" t="str">
            <v>張政崙</v>
          </cell>
          <cell r="J10070">
            <v>45973</v>
          </cell>
          <cell r="K10070">
            <v>4</v>
          </cell>
        </row>
        <row r="10071">
          <cell r="C10071" t="str">
            <v>張政崙</v>
          </cell>
          <cell r="F10071" t="str">
            <v>K231101R1</v>
          </cell>
          <cell r="J10071">
            <v>45973</v>
          </cell>
          <cell r="K10071">
            <v>4</v>
          </cell>
        </row>
        <row r="10072">
          <cell r="C10072" t="str">
            <v>張政崙</v>
          </cell>
          <cell r="J10072">
            <v>45974</v>
          </cell>
          <cell r="K10072">
            <v>5</v>
          </cell>
        </row>
        <row r="10073">
          <cell r="C10073" t="str">
            <v>張政崙</v>
          </cell>
          <cell r="J10073">
            <v>45974</v>
          </cell>
          <cell r="K10073">
            <v>3</v>
          </cell>
        </row>
        <row r="10074">
          <cell r="C10074" t="str">
            <v>張政崙</v>
          </cell>
          <cell r="J10074">
            <v>45975</v>
          </cell>
          <cell r="K10074">
            <v>6</v>
          </cell>
        </row>
        <row r="10075">
          <cell r="C10075" t="str">
            <v>張政崙</v>
          </cell>
          <cell r="F10075" t="str">
            <v>M240704R1</v>
          </cell>
          <cell r="J10075">
            <v>45975</v>
          </cell>
          <cell r="K10075">
            <v>2</v>
          </cell>
        </row>
        <row r="10076">
          <cell r="C10076" t="str">
            <v>張政崙</v>
          </cell>
          <cell r="J10076">
            <v>45978</v>
          </cell>
          <cell r="K10076">
            <v>2</v>
          </cell>
        </row>
        <row r="10077">
          <cell r="C10077" t="str">
            <v>張政崙</v>
          </cell>
          <cell r="J10077">
            <v>45978</v>
          </cell>
          <cell r="K10077">
            <v>3</v>
          </cell>
        </row>
        <row r="10078">
          <cell r="C10078" t="str">
            <v>張政崙</v>
          </cell>
          <cell r="F10078" t="str">
            <v>M240704R1</v>
          </cell>
          <cell r="J10078">
            <v>45978</v>
          </cell>
          <cell r="K10078">
            <v>3</v>
          </cell>
        </row>
        <row r="10079">
          <cell r="C10079" t="str">
            <v>張政崙</v>
          </cell>
          <cell r="J10079">
            <v>45979</v>
          </cell>
          <cell r="K10079">
            <v>2</v>
          </cell>
        </row>
        <row r="10080">
          <cell r="C10080" t="str">
            <v>張政崙</v>
          </cell>
          <cell r="J10080">
            <v>45979</v>
          </cell>
          <cell r="K10080">
            <v>3</v>
          </cell>
        </row>
        <row r="10081">
          <cell r="C10081" t="str">
            <v>張政崙</v>
          </cell>
          <cell r="F10081" t="str">
            <v>K231101R1</v>
          </cell>
          <cell r="J10081">
            <v>45979</v>
          </cell>
          <cell r="K10081">
            <v>3</v>
          </cell>
        </row>
        <row r="10082">
          <cell r="C10082" t="str">
            <v>張政崙</v>
          </cell>
          <cell r="J10082">
            <v>45980</v>
          </cell>
          <cell r="K10082">
            <v>1</v>
          </cell>
        </row>
        <row r="10083">
          <cell r="C10083" t="str">
            <v>張政崙</v>
          </cell>
          <cell r="J10083">
            <v>45980</v>
          </cell>
          <cell r="K10083">
            <v>4</v>
          </cell>
        </row>
        <row r="10084">
          <cell r="C10084" t="str">
            <v>張政崙</v>
          </cell>
          <cell r="J10084">
            <v>45980</v>
          </cell>
          <cell r="K10084">
            <v>3</v>
          </cell>
        </row>
        <row r="10085">
          <cell r="C10085" t="str">
            <v>張政崙</v>
          </cell>
          <cell r="J10085">
            <v>45981</v>
          </cell>
          <cell r="K10085">
            <v>1.5</v>
          </cell>
        </row>
        <row r="10086">
          <cell r="C10086" t="str">
            <v>張政崙</v>
          </cell>
          <cell r="J10086">
            <v>45981</v>
          </cell>
          <cell r="K10086">
            <v>1</v>
          </cell>
        </row>
        <row r="10087">
          <cell r="C10087" t="str">
            <v>張政崙</v>
          </cell>
          <cell r="J10087">
            <v>45981</v>
          </cell>
          <cell r="K10087">
            <v>2.5</v>
          </cell>
        </row>
        <row r="10088">
          <cell r="C10088" t="str">
            <v>張政崙</v>
          </cell>
          <cell r="F10088" t="str">
            <v>K231101R1</v>
          </cell>
          <cell r="J10088">
            <v>45981</v>
          </cell>
          <cell r="K10088">
            <v>3</v>
          </cell>
        </row>
        <row r="10089">
          <cell r="C10089" t="str">
            <v>張政崙</v>
          </cell>
          <cell r="J10089">
            <v>45982</v>
          </cell>
          <cell r="K10089">
            <v>5</v>
          </cell>
        </row>
        <row r="10090">
          <cell r="C10090" t="str">
            <v>張政崙</v>
          </cell>
          <cell r="J10090">
            <v>45982</v>
          </cell>
          <cell r="K10090">
            <v>3</v>
          </cell>
        </row>
        <row r="10091">
          <cell r="C10091" t="str">
            <v>張政崙</v>
          </cell>
          <cell r="J10091">
            <v>45985</v>
          </cell>
          <cell r="K10091">
            <v>40</v>
          </cell>
        </row>
        <row r="10092">
          <cell r="C10092" t="str">
            <v>張政崙</v>
          </cell>
          <cell r="J10092">
            <v>45992</v>
          </cell>
          <cell r="K10092">
            <v>8</v>
          </cell>
        </row>
        <row r="10093">
          <cell r="C10093" t="str">
            <v>張政崙</v>
          </cell>
          <cell r="J10093">
            <v>45993</v>
          </cell>
          <cell r="K10093">
            <v>8</v>
          </cell>
        </row>
        <row r="10094">
          <cell r="C10094" t="str">
            <v>張政崙</v>
          </cell>
          <cell r="J10094">
            <v>45994</v>
          </cell>
          <cell r="K10094">
            <v>8</v>
          </cell>
        </row>
        <row r="10095">
          <cell r="C10095" t="str">
            <v>張政崙</v>
          </cell>
          <cell r="J10095">
            <v>45995</v>
          </cell>
          <cell r="K10095">
            <v>6.5</v>
          </cell>
        </row>
        <row r="10096">
          <cell r="C10096" t="str">
            <v>張政崙</v>
          </cell>
          <cell r="J10096">
            <v>45995</v>
          </cell>
          <cell r="K10096">
            <v>1.5</v>
          </cell>
        </row>
        <row r="10097">
          <cell r="C10097" t="str">
            <v>張政崙</v>
          </cell>
          <cell r="J10097">
            <v>46083</v>
          </cell>
          <cell r="K10097">
            <v>4</v>
          </cell>
        </row>
        <row r="10098">
          <cell r="C10098" t="str">
            <v>張政崙</v>
          </cell>
          <cell r="F10098" t="str">
            <v>K231101R1</v>
          </cell>
          <cell r="J10098">
            <v>46083</v>
          </cell>
          <cell r="K10098">
            <v>4</v>
          </cell>
        </row>
        <row r="10099">
          <cell r="C10099" t="str">
            <v>張政崙</v>
          </cell>
          <cell r="F10099" t="str">
            <v>K231101R1</v>
          </cell>
          <cell r="J10099">
            <v>46084</v>
          </cell>
          <cell r="K10099">
            <v>8</v>
          </cell>
        </row>
        <row r="10100">
          <cell r="C10100" t="str">
            <v>張政崙</v>
          </cell>
          <cell r="J10100">
            <v>46085</v>
          </cell>
          <cell r="K10100">
            <v>3</v>
          </cell>
        </row>
        <row r="10101">
          <cell r="C10101" t="str">
            <v>張政崙</v>
          </cell>
          <cell r="J10101">
            <v>46085</v>
          </cell>
          <cell r="K10101">
            <v>2</v>
          </cell>
        </row>
        <row r="10102">
          <cell r="C10102" t="str">
            <v>張政崙</v>
          </cell>
          <cell r="F10102" t="str">
            <v>K231101R1</v>
          </cell>
          <cell r="J10102">
            <v>46085</v>
          </cell>
          <cell r="K10102">
            <v>3</v>
          </cell>
        </row>
        <row r="10103">
          <cell r="C10103" t="str">
            <v>張政崙</v>
          </cell>
          <cell r="F10103" t="str">
            <v>K231101R1</v>
          </cell>
          <cell r="J10103">
            <v>46086</v>
          </cell>
          <cell r="K10103">
            <v>8</v>
          </cell>
        </row>
        <row r="10104">
          <cell r="C10104" t="str">
            <v>張政崙</v>
          </cell>
          <cell r="F10104" t="str">
            <v>K231101R1</v>
          </cell>
          <cell r="J10104">
            <v>46090</v>
          </cell>
          <cell r="K10104">
            <v>8</v>
          </cell>
        </row>
        <row r="10105">
          <cell r="C10105" t="str">
            <v>張政崙</v>
          </cell>
          <cell r="J10105">
            <v>46091</v>
          </cell>
          <cell r="K10105">
            <v>8</v>
          </cell>
        </row>
        <row r="10106">
          <cell r="C10106" t="str">
            <v>張政崙</v>
          </cell>
          <cell r="J10106">
            <v>46092</v>
          </cell>
          <cell r="K10106">
            <v>8</v>
          </cell>
        </row>
        <row r="10107">
          <cell r="C10107" t="str">
            <v>張政崙</v>
          </cell>
          <cell r="J10107">
            <v>46093</v>
          </cell>
          <cell r="K10107">
            <v>8</v>
          </cell>
        </row>
        <row r="10108">
          <cell r="C10108" t="str">
            <v>張政崙</v>
          </cell>
          <cell r="J10108">
            <v>46094</v>
          </cell>
          <cell r="K10108">
            <v>8</v>
          </cell>
        </row>
        <row r="10109">
          <cell r="C10109" t="str">
            <v>張政崙</v>
          </cell>
          <cell r="J10109">
            <v>46097</v>
          </cell>
          <cell r="K10109">
            <v>8</v>
          </cell>
        </row>
        <row r="10110">
          <cell r="C10110" t="str">
            <v>張政崙</v>
          </cell>
          <cell r="J10110">
            <v>46098</v>
          </cell>
          <cell r="K10110">
            <v>8</v>
          </cell>
        </row>
        <row r="10111">
          <cell r="C10111" t="str">
            <v>張政崙</v>
          </cell>
          <cell r="J10111">
            <v>46099</v>
          </cell>
          <cell r="K10111">
            <v>8</v>
          </cell>
        </row>
        <row r="10112">
          <cell r="C10112" t="str">
            <v>張政崙</v>
          </cell>
          <cell r="J10112">
            <v>46100</v>
          </cell>
          <cell r="K10112">
            <v>8</v>
          </cell>
        </row>
        <row r="10113">
          <cell r="C10113" t="str">
            <v>張政崙</v>
          </cell>
          <cell r="J10113">
            <v>46101</v>
          </cell>
          <cell r="K10113">
            <v>8</v>
          </cell>
        </row>
        <row r="10114">
          <cell r="C10114" t="str">
            <v>張政崙</v>
          </cell>
          <cell r="J10114">
            <v>46104</v>
          </cell>
          <cell r="K10114">
            <v>8</v>
          </cell>
        </row>
        <row r="10115">
          <cell r="C10115" t="str">
            <v>張政崙</v>
          </cell>
          <cell r="F10115" t="str">
            <v>D260102R1</v>
          </cell>
          <cell r="J10115">
            <v>46105</v>
          </cell>
          <cell r="K10115">
            <v>8</v>
          </cell>
        </row>
        <row r="10116">
          <cell r="C10116" t="str">
            <v>張政崙</v>
          </cell>
          <cell r="F10116" t="str">
            <v>D260102R1</v>
          </cell>
          <cell r="J10116">
            <v>46106</v>
          </cell>
          <cell r="K10116">
            <v>8</v>
          </cell>
        </row>
        <row r="10117">
          <cell r="C10117" t="str">
            <v>張政崙</v>
          </cell>
          <cell r="F10117" t="str">
            <v>D260102R1</v>
          </cell>
          <cell r="J10117">
            <v>46107</v>
          </cell>
          <cell r="K10117">
            <v>8</v>
          </cell>
        </row>
        <row r="10118">
          <cell r="C10118" t="str">
            <v>張政崙</v>
          </cell>
          <cell r="J10118">
            <v>46108</v>
          </cell>
          <cell r="K10118">
            <v>8</v>
          </cell>
        </row>
        <row r="10119">
          <cell r="C10119" t="str">
            <v>張政崙</v>
          </cell>
          <cell r="F10119" t="str">
            <v>D260102R1</v>
          </cell>
          <cell r="J10119">
            <v>46111</v>
          </cell>
          <cell r="K10119">
            <v>8</v>
          </cell>
        </row>
        <row r="10120">
          <cell r="C10120" t="str">
            <v>張政崙</v>
          </cell>
          <cell r="F10120" t="str">
            <v>D260102R1</v>
          </cell>
          <cell r="J10120">
            <v>46112</v>
          </cell>
          <cell r="K10120">
            <v>8</v>
          </cell>
        </row>
        <row r="10121">
          <cell r="C10121" t="str">
            <v>張政崙</v>
          </cell>
          <cell r="J10121">
            <v>46113</v>
          </cell>
          <cell r="K10121">
            <v>2</v>
          </cell>
        </row>
        <row r="10122">
          <cell r="C10122" t="str">
            <v>張政崙</v>
          </cell>
          <cell r="F10122" t="str">
            <v>D260102R1</v>
          </cell>
          <cell r="J10122">
            <v>46113</v>
          </cell>
          <cell r="K10122">
            <v>3</v>
          </cell>
        </row>
        <row r="10123">
          <cell r="C10123" t="str">
            <v>張政崙</v>
          </cell>
          <cell r="F10123" t="str">
            <v>M240704R1</v>
          </cell>
          <cell r="J10123">
            <v>46113</v>
          </cell>
          <cell r="K10123">
            <v>3</v>
          </cell>
        </row>
        <row r="10124">
          <cell r="C10124" t="str">
            <v>張政崙</v>
          </cell>
          <cell r="J10124">
            <v>46114</v>
          </cell>
          <cell r="K10124">
            <v>8</v>
          </cell>
        </row>
        <row r="10125">
          <cell r="C10125" t="str">
            <v>張政崙</v>
          </cell>
          <cell r="J10125">
            <v>46119</v>
          </cell>
          <cell r="K10125">
            <v>6</v>
          </cell>
        </row>
        <row r="10126">
          <cell r="C10126" t="str">
            <v>張政崙</v>
          </cell>
          <cell r="F10126" t="str">
            <v>D260102R1</v>
          </cell>
          <cell r="J10126">
            <v>46119</v>
          </cell>
          <cell r="K10126">
            <v>2</v>
          </cell>
        </row>
        <row r="10127">
          <cell r="C10127" t="str">
            <v>張政崙</v>
          </cell>
          <cell r="J10127">
            <v>46120</v>
          </cell>
          <cell r="K10127">
            <v>8</v>
          </cell>
        </row>
        <row r="10128">
          <cell r="C10128" t="str">
            <v>張政崙</v>
          </cell>
          <cell r="J10128">
            <v>46121</v>
          </cell>
          <cell r="K10128">
            <v>8</v>
          </cell>
        </row>
        <row r="10129">
          <cell r="C10129" t="str">
            <v>張政崙</v>
          </cell>
          <cell r="F10129" t="str">
            <v>D260102R1</v>
          </cell>
          <cell r="J10129">
            <v>46122</v>
          </cell>
          <cell r="K10129">
            <v>8</v>
          </cell>
        </row>
        <row r="10130">
          <cell r="C10130" t="str">
            <v>張政崙</v>
          </cell>
          <cell r="F10130" t="str">
            <v>D260102R1</v>
          </cell>
          <cell r="J10130">
            <v>46125</v>
          </cell>
          <cell r="K10130">
            <v>8</v>
          </cell>
        </row>
        <row r="10131">
          <cell r="C10131" t="str">
            <v>張政崙</v>
          </cell>
          <cell r="F10131" t="str">
            <v>D260102R1</v>
          </cell>
          <cell r="J10131">
            <v>46126</v>
          </cell>
          <cell r="K10131">
            <v>8</v>
          </cell>
        </row>
        <row r="10132">
          <cell r="C10132" t="str">
            <v>張政崙</v>
          </cell>
          <cell r="F10132" t="str">
            <v>D260102R1</v>
          </cell>
          <cell r="J10132">
            <v>46127</v>
          </cell>
          <cell r="K10132">
            <v>8</v>
          </cell>
        </row>
        <row r="10133">
          <cell r="C10133" t="str">
            <v>張政崙</v>
          </cell>
          <cell r="F10133" t="str">
            <v>D260102R1</v>
          </cell>
          <cell r="J10133">
            <v>46128</v>
          </cell>
          <cell r="K10133">
            <v>8</v>
          </cell>
        </row>
        <row r="10134">
          <cell r="C10134" t="str">
            <v>張政崙</v>
          </cell>
          <cell r="F10134" t="str">
            <v>D260102R1</v>
          </cell>
          <cell r="J10134">
            <v>46129</v>
          </cell>
          <cell r="K10134">
            <v>5</v>
          </cell>
        </row>
        <row r="10135">
          <cell r="C10135" t="str">
            <v>張政崙</v>
          </cell>
          <cell r="F10135" t="str">
            <v>K231101R1</v>
          </cell>
          <cell r="J10135">
            <v>46129</v>
          </cell>
          <cell r="K10135">
            <v>3</v>
          </cell>
        </row>
        <row r="10136">
          <cell r="C10136" t="str">
            <v>張政崙</v>
          </cell>
          <cell r="F10136" t="str">
            <v>K231101R1</v>
          </cell>
          <cell r="J10136">
            <v>46132</v>
          </cell>
          <cell r="K10136">
            <v>8</v>
          </cell>
        </row>
        <row r="10137">
          <cell r="C10137" t="str">
            <v>張政崙</v>
          </cell>
          <cell r="J10137">
            <v>46133</v>
          </cell>
          <cell r="K10137">
            <v>8</v>
          </cell>
        </row>
        <row r="10138">
          <cell r="C10138" t="str">
            <v>張政崙</v>
          </cell>
          <cell r="F10138" t="str">
            <v>K231101R1</v>
          </cell>
          <cell r="J10138">
            <v>46134</v>
          </cell>
          <cell r="K10138">
            <v>8</v>
          </cell>
        </row>
        <row r="10139">
          <cell r="C10139" t="str">
            <v>張政崙</v>
          </cell>
          <cell r="F10139" t="str">
            <v>K231101R1</v>
          </cell>
          <cell r="J10139">
            <v>46135</v>
          </cell>
          <cell r="K10139">
            <v>8</v>
          </cell>
        </row>
        <row r="10140">
          <cell r="C10140" t="str">
            <v>張政崙</v>
          </cell>
          <cell r="F10140" t="str">
            <v>K231101R1</v>
          </cell>
          <cell r="J10140">
            <v>46136</v>
          </cell>
          <cell r="K10140">
            <v>8</v>
          </cell>
        </row>
        <row r="10141">
          <cell r="C10141" t="str">
            <v>張政崙</v>
          </cell>
          <cell r="F10141" t="str">
            <v>K231101R1</v>
          </cell>
          <cell r="J10141">
            <v>46139</v>
          </cell>
          <cell r="K10141">
            <v>8</v>
          </cell>
        </row>
        <row r="10142">
          <cell r="C10142" t="str">
            <v>張政崙</v>
          </cell>
          <cell r="F10142" t="str">
            <v>K231101R1</v>
          </cell>
          <cell r="J10142">
            <v>46140</v>
          </cell>
          <cell r="K10142">
            <v>8</v>
          </cell>
        </row>
        <row r="10143">
          <cell r="C10143" t="str">
            <v>張政崙</v>
          </cell>
          <cell r="J10143">
            <v>46141</v>
          </cell>
          <cell r="K10143">
            <v>1.5</v>
          </cell>
        </row>
        <row r="10144">
          <cell r="C10144" t="str">
            <v>張政崙</v>
          </cell>
          <cell r="F10144" t="str">
            <v>K231101R1</v>
          </cell>
          <cell r="J10144">
            <v>46141</v>
          </cell>
          <cell r="K10144">
            <v>6.5</v>
          </cell>
        </row>
        <row r="10145">
          <cell r="C10145" t="str">
            <v>張政崙</v>
          </cell>
          <cell r="F10145" t="str">
            <v>M240704R1</v>
          </cell>
          <cell r="J10145">
            <v>46142</v>
          </cell>
          <cell r="K10145">
            <v>8</v>
          </cell>
        </row>
        <row r="10146">
          <cell r="C10146" t="str">
            <v>張政崙</v>
          </cell>
          <cell r="J10146">
            <v>46146</v>
          </cell>
          <cell r="K10146">
            <v>1.5</v>
          </cell>
        </row>
        <row r="10147">
          <cell r="C10147" t="str">
            <v>張政崙</v>
          </cell>
          <cell r="F10147" t="str">
            <v>K231101R1</v>
          </cell>
          <cell r="J10147">
            <v>46146</v>
          </cell>
          <cell r="K10147">
            <v>6.5</v>
          </cell>
        </row>
        <row r="10148">
          <cell r="C10148" t="str">
            <v>張政崙</v>
          </cell>
          <cell r="J10148">
            <v>46147</v>
          </cell>
          <cell r="K10148">
            <v>1</v>
          </cell>
        </row>
        <row r="10149">
          <cell r="C10149" t="str">
            <v>張政崙</v>
          </cell>
          <cell r="F10149" t="str">
            <v>K231101R1</v>
          </cell>
          <cell r="J10149">
            <v>46147</v>
          </cell>
          <cell r="K10149">
            <v>7</v>
          </cell>
        </row>
        <row r="10150">
          <cell r="C10150" t="str">
            <v>張政崙</v>
          </cell>
          <cell r="F10150" t="str">
            <v>K231101R1</v>
          </cell>
          <cell r="J10150">
            <v>46148</v>
          </cell>
          <cell r="K10150">
            <v>8</v>
          </cell>
        </row>
        <row r="10151">
          <cell r="C10151" t="str">
            <v>張政崙</v>
          </cell>
          <cell r="F10151" t="str">
            <v>K231101R1</v>
          </cell>
          <cell r="J10151">
            <v>46149</v>
          </cell>
          <cell r="K10151">
            <v>8</v>
          </cell>
        </row>
        <row r="10152">
          <cell r="C10152" t="str">
            <v>張政崙</v>
          </cell>
          <cell r="F10152" t="str">
            <v>K231101R1</v>
          </cell>
          <cell r="J10152">
            <v>46150</v>
          </cell>
          <cell r="K10152">
            <v>8</v>
          </cell>
        </row>
        <row r="10153">
          <cell r="C10153" t="str">
            <v>張政崙</v>
          </cell>
          <cell r="F10153" t="str">
            <v>K231101R1</v>
          </cell>
          <cell r="J10153">
            <v>46153</v>
          </cell>
          <cell r="K10153">
            <v>8</v>
          </cell>
        </row>
        <row r="10154">
          <cell r="C10154" t="str">
            <v>張政崙</v>
          </cell>
          <cell r="F10154" t="str">
            <v>K231101R1</v>
          </cell>
          <cell r="J10154">
            <v>46154</v>
          </cell>
          <cell r="K10154">
            <v>8</v>
          </cell>
        </row>
        <row r="10155">
          <cell r="C10155" t="str">
            <v>張政崙</v>
          </cell>
          <cell r="J10155">
            <v>46155</v>
          </cell>
          <cell r="K10155">
            <v>1</v>
          </cell>
        </row>
        <row r="10156">
          <cell r="C10156" t="str">
            <v>張政崙</v>
          </cell>
          <cell r="F10156" t="str">
            <v>K231101R1</v>
          </cell>
          <cell r="J10156">
            <v>46155</v>
          </cell>
          <cell r="K10156">
            <v>7</v>
          </cell>
        </row>
        <row r="10157">
          <cell r="C10157" t="str">
            <v>張政崙</v>
          </cell>
          <cell r="F10157" t="str">
            <v>K231101R1</v>
          </cell>
          <cell r="J10157">
            <v>46156</v>
          </cell>
          <cell r="K10157">
            <v>8</v>
          </cell>
        </row>
        <row r="10158">
          <cell r="C10158" t="str">
            <v>張政崙</v>
          </cell>
          <cell r="F10158" t="str">
            <v>K231101R1</v>
          </cell>
          <cell r="J10158">
            <v>46157</v>
          </cell>
          <cell r="K10158">
            <v>8</v>
          </cell>
        </row>
        <row r="10159">
          <cell r="C10159" t="str">
            <v>張政崙</v>
          </cell>
          <cell r="F10159" t="str">
            <v>K231101R1</v>
          </cell>
          <cell r="J10159">
            <v>46160</v>
          </cell>
          <cell r="K10159">
            <v>8</v>
          </cell>
        </row>
        <row r="10160">
          <cell r="C10160" t="str">
            <v>張政崙</v>
          </cell>
          <cell r="F10160" t="str">
            <v>K231101R1</v>
          </cell>
          <cell r="J10160">
            <v>46161</v>
          </cell>
          <cell r="K10160">
            <v>8</v>
          </cell>
        </row>
        <row r="10161">
          <cell r="C10161" t="str">
            <v>張政崙</v>
          </cell>
          <cell r="J10161">
            <v>46162</v>
          </cell>
          <cell r="K10161">
            <v>1</v>
          </cell>
        </row>
        <row r="10162">
          <cell r="C10162" t="str">
            <v>張政崙</v>
          </cell>
          <cell r="F10162" t="str">
            <v>K231101R1</v>
          </cell>
          <cell r="J10162">
            <v>46162</v>
          </cell>
          <cell r="K10162">
            <v>7</v>
          </cell>
        </row>
        <row r="10163">
          <cell r="C10163" t="str">
            <v>李奕澔</v>
          </cell>
          <cell r="J10163">
            <v>45470</v>
          </cell>
          <cell r="K10163">
            <v>4</v>
          </cell>
        </row>
        <row r="10164">
          <cell r="C10164" t="str">
            <v>李奕澔</v>
          </cell>
          <cell r="F10164" t="str">
            <v>M230901R1</v>
          </cell>
          <cell r="J10164">
            <v>45470</v>
          </cell>
          <cell r="K10164">
            <v>4</v>
          </cell>
        </row>
        <row r="10165">
          <cell r="C10165" t="str">
            <v>李奕澔</v>
          </cell>
          <cell r="F10165" t="str">
            <v>M230901R1</v>
          </cell>
          <cell r="J10165">
            <v>45471</v>
          </cell>
          <cell r="K10165">
            <v>8</v>
          </cell>
        </row>
        <row r="10166">
          <cell r="C10166" t="str">
            <v>李奕澔</v>
          </cell>
          <cell r="F10166" t="str">
            <v>M230901R1</v>
          </cell>
          <cell r="J10166">
            <v>45474</v>
          </cell>
          <cell r="K10166">
            <v>8</v>
          </cell>
        </row>
        <row r="10167">
          <cell r="C10167" t="str">
            <v>李奕澔</v>
          </cell>
          <cell r="J10167">
            <v>45475</v>
          </cell>
          <cell r="K10167">
            <v>4</v>
          </cell>
        </row>
        <row r="10168">
          <cell r="C10168" t="str">
            <v>李奕澔</v>
          </cell>
          <cell r="F10168" t="str">
            <v>M230901R1</v>
          </cell>
          <cell r="J10168">
            <v>45475</v>
          </cell>
          <cell r="K10168">
            <v>4</v>
          </cell>
        </row>
        <row r="10169">
          <cell r="C10169" t="str">
            <v>李奕澔</v>
          </cell>
          <cell r="J10169">
            <v>45476</v>
          </cell>
          <cell r="K10169">
            <v>3</v>
          </cell>
        </row>
        <row r="10170">
          <cell r="C10170" t="str">
            <v>李奕澔</v>
          </cell>
          <cell r="F10170" t="str">
            <v>M230901R1</v>
          </cell>
          <cell r="J10170">
            <v>45476</v>
          </cell>
          <cell r="K10170">
            <v>5</v>
          </cell>
        </row>
        <row r="10171">
          <cell r="C10171" t="str">
            <v>李奕澔</v>
          </cell>
          <cell r="F10171" t="str">
            <v>M230901R1</v>
          </cell>
          <cell r="J10171">
            <v>45477</v>
          </cell>
          <cell r="K10171">
            <v>8</v>
          </cell>
        </row>
        <row r="10172">
          <cell r="C10172" t="str">
            <v>李奕澔</v>
          </cell>
          <cell r="J10172">
            <v>45478</v>
          </cell>
          <cell r="K10172">
            <v>4</v>
          </cell>
        </row>
        <row r="10173">
          <cell r="C10173" t="str">
            <v>李奕澔</v>
          </cell>
          <cell r="J10173">
            <v>45481</v>
          </cell>
          <cell r="K10173">
            <v>8</v>
          </cell>
        </row>
        <row r="10174">
          <cell r="C10174" t="str">
            <v>李奕澔</v>
          </cell>
          <cell r="J10174">
            <v>45482</v>
          </cell>
          <cell r="K10174">
            <v>8</v>
          </cell>
        </row>
        <row r="10175">
          <cell r="C10175" t="str">
            <v>李奕澔</v>
          </cell>
          <cell r="J10175">
            <v>45483</v>
          </cell>
          <cell r="K10175">
            <v>8</v>
          </cell>
        </row>
        <row r="10176">
          <cell r="C10176" t="str">
            <v>李奕澔</v>
          </cell>
          <cell r="J10176">
            <v>45484</v>
          </cell>
          <cell r="K10176">
            <v>8</v>
          </cell>
        </row>
        <row r="10177">
          <cell r="C10177" t="str">
            <v>李奕澔</v>
          </cell>
          <cell r="J10177">
            <v>45485</v>
          </cell>
          <cell r="K10177">
            <v>7.5</v>
          </cell>
        </row>
        <row r="10178">
          <cell r="C10178" t="str">
            <v>李奕澔</v>
          </cell>
          <cell r="F10178" t="str">
            <v>M230901R1</v>
          </cell>
          <cell r="J10178">
            <v>45485</v>
          </cell>
          <cell r="K10178">
            <v>0.5</v>
          </cell>
        </row>
        <row r="10179">
          <cell r="C10179" t="str">
            <v>李奕澔</v>
          </cell>
          <cell r="J10179">
            <v>45488</v>
          </cell>
          <cell r="K10179">
            <v>8</v>
          </cell>
        </row>
        <row r="10180">
          <cell r="C10180" t="str">
            <v>李奕澔</v>
          </cell>
          <cell r="J10180">
            <v>45489</v>
          </cell>
          <cell r="K10180">
            <v>8</v>
          </cell>
        </row>
        <row r="10181">
          <cell r="C10181" t="str">
            <v>李奕澔</v>
          </cell>
          <cell r="J10181">
            <v>45490</v>
          </cell>
          <cell r="K10181">
            <v>8</v>
          </cell>
        </row>
        <row r="10182">
          <cell r="C10182" t="str">
            <v>李奕澔</v>
          </cell>
          <cell r="J10182">
            <v>45491</v>
          </cell>
          <cell r="K10182">
            <v>8</v>
          </cell>
        </row>
        <row r="10183">
          <cell r="C10183" t="str">
            <v>李奕澔</v>
          </cell>
          <cell r="J10183">
            <v>45492</v>
          </cell>
          <cell r="K10183">
            <v>8</v>
          </cell>
        </row>
        <row r="10184">
          <cell r="C10184" t="str">
            <v>李奕澔</v>
          </cell>
          <cell r="J10184">
            <v>45495</v>
          </cell>
          <cell r="K10184">
            <v>8</v>
          </cell>
        </row>
        <row r="10185">
          <cell r="C10185" t="str">
            <v>李奕澔</v>
          </cell>
          <cell r="J10185">
            <v>45496</v>
          </cell>
          <cell r="K10185">
            <v>8</v>
          </cell>
        </row>
        <row r="10186">
          <cell r="C10186" t="str">
            <v>李奕澔</v>
          </cell>
          <cell r="J10186">
            <v>45499</v>
          </cell>
          <cell r="K10186">
            <v>8</v>
          </cell>
        </row>
        <row r="10187">
          <cell r="C10187" t="str">
            <v>李奕澔</v>
          </cell>
          <cell r="J10187">
            <v>45502</v>
          </cell>
          <cell r="K10187">
            <v>8</v>
          </cell>
        </row>
        <row r="10188">
          <cell r="C10188" t="str">
            <v>李奕澔</v>
          </cell>
          <cell r="J10188">
            <v>45503</v>
          </cell>
          <cell r="K10188">
            <v>8</v>
          </cell>
        </row>
        <row r="10189">
          <cell r="C10189" t="str">
            <v>李奕澔</v>
          </cell>
          <cell r="J10189">
            <v>45504</v>
          </cell>
          <cell r="K10189">
            <v>8</v>
          </cell>
        </row>
        <row r="10190">
          <cell r="C10190" t="str">
            <v>李奕澔</v>
          </cell>
          <cell r="J10190">
            <v>45505</v>
          </cell>
          <cell r="K10190">
            <v>8</v>
          </cell>
        </row>
        <row r="10191">
          <cell r="C10191" t="str">
            <v>李奕澔</v>
          </cell>
          <cell r="J10191">
            <v>45506</v>
          </cell>
          <cell r="K10191">
            <v>8</v>
          </cell>
        </row>
        <row r="10192">
          <cell r="C10192" t="str">
            <v>李奕澔</v>
          </cell>
          <cell r="J10192">
            <v>45509</v>
          </cell>
          <cell r="K10192">
            <v>8</v>
          </cell>
        </row>
        <row r="10193">
          <cell r="C10193" t="str">
            <v>李奕澔</v>
          </cell>
          <cell r="J10193">
            <v>45510</v>
          </cell>
          <cell r="K10193">
            <v>5</v>
          </cell>
        </row>
        <row r="10194">
          <cell r="C10194" t="str">
            <v>李奕澔</v>
          </cell>
          <cell r="F10194" t="str">
            <v>D240101R1</v>
          </cell>
          <cell r="J10194">
            <v>45510</v>
          </cell>
          <cell r="K10194">
            <v>3</v>
          </cell>
        </row>
        <row r="10195">
          <cell r="C10195" t="str">
            <v>李奕澔</v>
          </cell>
          <cell r="F10195" t="str">
            <v>D240101R1</v>
          </cell>
          <cell r="J10195">
            <v>45511</v>
          </cell>
          <cell r="K10195">
            <v>8</v>
          </cell>
        </row>
        <row r="10196">
          <cell r="C10196" t="str">
            <v>李奕澔</v>
          </cell>
          <cell r="J10196">
            <v>45512</v>
          </cell>
          <cell r="K10196">
            <v>4</v>
          </cell>
        </row>
        <row r="10197">
          <cell r="C10197" t="str">
            <v>李奕澔</v>
          </cell>
          <cell r="F10197" t="str">
            <v>D240101R1</v>
          </cell>
          <cell r="J10197">
            <v>45512</v>
          </cell>
          <cell r="K10197">
            <v>4</v>
          </cell>
        </row>
        <row r="10198">
          <cell r="C10198" t="str">
            <v>李奕澔</v>
          </cell>
          <cell r="F10198" t="str">
            <v>D240101R1</v>
          </cell>
          <cell r="J10198">
            <v>45513</v>
          </cell>
          <cell r="K10198">
            <v>8</v>
          </cell>
        </row>
        <row r="10199">
          <cell r="C10199" t="str">
            <v>李奕澔</v>
          </cell>
          <cell r="F10199" t="str">
            <v>D240101R1</v>
          </cell>
          <cell r="J10199">
            <v>45516</v>
          </cell>
          <cell r="K10199">
            <v>8</v>
          </cell>
        </row>
        <row r="10200">
          <cell r="C10200" t="str">
            <v>李奕澔</v>
          </cell>
          <cell r="F10200" t="str">
            <v>D240101R1</v>
          </cell>
          <cell r="J10200">
            <v>45517</v>
          </cell>
          <cell r="K10200">
            <v>8</v>
          </cell>
        </row>
        <row r="10201">
          <cell r="C10201" t="str">
            <v>李奕澔</v>
          </cell>
          <cell r="F10201" t="str">
            <v>M230901R1</v>
          </cell>
          <cell r="J10201">
            <v>45518</v>
          </cell>
          <cell r="K10201">
            <v>8</v>
          </cell>
        </row>
        <row r="10202">
          <cell r="C10202" t="str">
            <v>李奕澔</v>
          </cell>
          <cell r="J10202">
            <v>45519</v>
          </cell>
          <cell r="K10202">
            <v>7</v>
          </cell>
        </row>
        <row r="10203">
          <cell r="C10203" t="str">
            <v>李奕澔</v>
          </cell>
          <cell r="F10203" t="str">
            <v>M230901R1</v>
          </cell>
          <cell r="J10203">
            <v>45519</v>
          </cell>
          <cell r="K10203">
            <v>1</v>
          </cell>
        </row>
        <row r="10204">
          <cell r="C10204" t="str">
            <v>李奕澔</v>
          </cell>
          <cell r="J10204">
            <v>45520</v>
          </cell>
          <cell r="K10204">
            <v>8</v>
          </cell>
        </row>
        <row r="10205">
          <cell r="C10205" t="str">
            <v>李奕澔</v>
          </cell>
          <cell r="J10205">
            <v>45523</v>
          </cell>
          <cell r="K10205">
            <v>8</v>
          </cell>
        </row>
        <row r="10206">
          <cell r="C10206" t="str">
            <v>李奕澔</v>
          </cell>
          <cell r="J10206">
            <v>45524</v>
          </cell>
          <cell r="K10206">
            <v>8</v>
          </cell>
        </row>
        <row r="10207">
          <cell r="C10207" t="str">
            <v>李奕澔</v>
          </cell>
          <cell r="J10207">
            <v>45525</v>
          </cell>
          <cell r="K10207">
            <v>6</v>
          </cell>
        </row>
        <row r="10208">
          <cell r="C10208" t="str">
            <v>李奕澔</v>
          </cell>
          <cell r="F10208" t="str">
            <v>D240101R1</v>
          </cell>
          <cell r="J10208">
            <v>45525</v>
          </cell>
          <cell r="K10208">
            <v>2</v>
          </cell>
        </row>
        <row r="10209">
          <cell r="C10209" t="str">
            <v>李奕澔</v>
          </cell>
          <cell r="J10209">
            <v>45526</v>
          </cell>
          <cell r="K10209">
            <v>5</v>
          </cell>
        </row>
        <row r="10210">
          <cell r="C10210" t="str">
            <v>李奕澔</v>
          </cell>
          <cell r="F10210" t="str">
            <v>D240101R1</v>
          </cell>
          <cell r="J10210">
            <v>45526</v>
          </cell>
          <cell r="K10210">
            <v>3</v>
          </cell>
        </row>
        <row r="10211">
          <cell r="C10211" t="str">
            <v>李奕澔</v>
          </cell>
          <cell r="J10211">
            <v>45527</v>
          </cell>
          <cell r="K10211">
            <v>8</v>
          </cell>
        </row>
        <row r="10212">
          <cell r="C10212" t="str">
            <v>李奕澔</v>
          </cell>
          <cell r="J10212">
            <v>45530</v>
          </cell>
          <cell r="K10212">
            <v>8</v>
          </cell>
        </row>
        <row r="10213">
          <cell r="C10213" t="str">
            <v>李奕澔</v>
          </cell>
          <cell r="J10213">
            <v>45531</v>
          </cell>
          <cell r="K10213">
            <v>8</v>
          </cell>
        </row>
        <row r="10214">
          <cell r="C10214" t="str">
            <v>李奕澔</v>
          </cell>
          <cell r="F10214" t="str">
            <v>D240101R1</v>
          </cell>
          <cell r="J10214">
            <v>45532</v>
          </cell>
          <cell r="K10214">
            <v>8</v>
          </cell>
        </row>
        <row r="10215">
          <cell r="C10215" t="str">
            <v>李奕澔</v>
          </cell>
          <cell r="F10215" t="str">
            <v>D240101R1</v>
          </cell>
          <cell r="J10215">
            <v>45533</v>
          </cell>
          <cell r="K10215">
            <v>8</v>
          </cell>
        </row>
        <row r="10216">
          <cell r="C10216" t="str">
            <v>李奕澔</v>
          </cell>
          <cell r="J10216">
            <v>45534</v>
          </cell>
          <cell r="K10216">
            <v>2</v>
          </cell>
        </row>
        <row r="10217">
          <cell r="C10217" t="str">
            <v>李奕澔</v>
          </cell>
          <cell r="F10217" t="str">
            <v>D240101R1</v>
          </cell>
          <cell r="J10217">
            <v>45534</v>
          </cell>
          <cell r="K10217">
            <v>6</v>
          </cell>
        </row>
        <row r="10218">
          <cell r="C10218" t="str">
            <v>李奕澔</v>
          </cell>
          <cell r="J10218">
            <v>45537</v>
          </cell>
          <cell r="K10218">
            <v>8</v>
          </cell>
        </row>
        <row r="10219">
          <cell r="C10219" t="str">
            <v>李奕澔</v>
          </cell>
          <cell r="J10219">
            <v>45538</v>
          </cell>
          <cell r="K10219">
            <v>2</v>
          </cell>
        </row>
        <row r="10220">
          <cell r="C10220" t="str">
            <v>李奕澔</v>
          </cell>
          <cell r="J10220">
            <v>45538</v>
          </cell>
          <cell r="K10220">
            <v>6</v>
          </cell>
        </row>
        <row r="10221">
          <cell r="C10221" t="str">
            <v>李奕澔</v>
          </cell>
          <cell r="J10221">
            <v>45551</v>
          </cell>
          <cell r="K10221">
            <v>8</v>
          </cell>
        </row>
        <row r="10222">
          <cell r="C10222" t="str">
            <v>李奕澔</v>
          </cell>
          <cell r="J10222">
            <v>45552</v>
          </cell>
          <cell r="K10222">
            <v>8</v>
          </cell>
        </row>
        <row r="10223">
          <cell r="C10223" t="str">
            <v>李奕澔</v>
          </cell>
          <cell r="J10223">
            <v>45567</v>
          </cell>
          <cell r="K10223">
            <v>8</v>
          </cell>
        </row>
        <row r="10224">
          <cell r="C10224" t="str">
            <v>李奕澔</v>
          </cell>
          <cell r="J10224">
            <v>45568</v>
          </cell>
          <cell r="K10224">
            <v>8</v>
          </cell>
        </row>
        <row r="10225">
          <cell r="C10225" t="str">
            <v>李奕澔</v>
          </cell>
          <cell r="J10225">
            <v>45575</v>
          </cell>
          <cell r="K10225">
            <v>8</v>
          </cell>
        </row>
        <row r="10226">
          <cell r="C10226" t="str">
            <v>李奕澔</v>
          </cell>
          <cell r="J10226">
            <v>45580</v>
          </cell>
          <cell r="K10226">
            <v>8</v>
          </cell>
        </row>
        <row r="10227">
          <cell r="C10227" t="str">
            <v>李奕澔</v>
          </cell>
          <cell r="J10227">
            <v>45583</v>
          </cell>
          <cell r="K10227">
            <v>4</v>
          </cell>
        </row>
        <row r="10228">
          <cell r="C10228" t="str">
            <v>李奕澔</v>
          </cell>
          <cell r="J10228">
            <v>45595</v>
          </cell>
          <cell r="K10228">
            <v>8</v>
          </cell>
        </row>
        <row r="10229">
          <cell r="C10229" t="str">
            <v>李奕澔</v>
          </cell>
          <cell r="J10229">
            <v>45596</v>
          </cell>
          <cell r="K10229">
            <v>8</v>
          </cell>
        </row>
        <row r="10230">
          <cell r="C10230" t="str">
            <v>李奕澔</v>
          </cell>
          <cell r="J10230">
            <v>45604</v>
          </cell>
          <cell r="K10230">
            <v>8</v>
          </cell>
        </row>
        <row r="10231">
          <cell r="C10231" t="str">
            <v>李奕澔</v>
          </cell>
          <cell r="J10231">
            <v>45610</v>
          </cell>
          <cell r="K10231">
            <v>8</v>
          </cell>
        </row>
        <row r="10232">
          <cell r="C10232" t="str">
            <v>李奕澔</v>
          </cell>
          <cell r="J10232">
            <v>45611</v>
          </cell>
          <cell r="K10232">
            <v>8</v>
          </cell>
        </row>
        <row r="10233">
          <cell r="C10233" t="str">
            <v>李奕澔</v>
          </cell>
          <cell r="J10233">
            <v>45772</v>
          </cell>
          <cell r="K10233">
            <v>8</v>
          </cell>
        </row>
        <row r="10234">
          <cell r="C10234" t="str">
            <v>李奕澔</v>
          </cell>
          <cell r="J10234">
            <v>45775</v>
          </cell>
          <cell r="K10234">
            <v>8</v>
          </cell>
        </row>
        <row r="10235">
          <cell r="C10235" t="str">
            <v>李奕澔</v>
          </cell>
          <cell r="J10235">
            <v>45776</v>
          </cell>
          <cell r="K10235">
            <v>8</v>
          </cell>
        </row>
        <row r="10236">
          <cell r="C10236" t="str">
            <v>李奕澔</v>
          </cell>
          <cell r="J10236">
            <v>45777</v>
          </cell>
          <cell r="K10236">
            <v>8</v>
          </cell>
        </row>
        <row r="10237">
          <cell r="C10237" t="str">
            <v>李奕澔</v>
          </cell>
          <cell r="J10237">
            <v>45782</v>
          </cell>
          <cell r="K10237">
            <v>8</v>
          </cell>
        </row>
        <row r="10238">
          <cell r="C10238" t="str">
            <v>李奕澔</v>
          </cell>
          <cell r="J10238">
            <v>45783</v>
          </cell>
          <cell r="K10238">
            <v>8</v>
          </cell>
        </row>
        <row r="10239">
          <cell r="C10239" t="str">
            <v>李奕澔</v>
          </cell>
          <cell r="J10239">
            <v>45784</v>
          </cell>
          <cell r="K10239">
            <v>8</v>
          </cell>
        </row>
        <row r="10240">
          <cell r="C10240" t="str">
            <v>李奕澔</v>
          </cell>
          <cell r="J10240">
            <v>45785</v>
          </cell>
          <cell r="K10240">
            <v>8</v>
          </cell>
        </row>
        <row r="10241">
          <cell r="C10241" t="str">
            <v>李奕澔</v>
          </cell>
          <cell r="J10241">
            <v>45786</v>
          </cell>
          <cell r="K10241">
            <v>8</v>
          </cell>
        </row>
        <row r="10242">
          <cell r="C10242" t="str">
            <v>李奕澔</v>
          </cell>
          <cell r="J10242">
            <v>45789</v>
          </cell>
          <cell r="K10242">
            <v>8</v>
          </cell>
        </row>
        <row r="10243">
          <cell r="C10243" t="str">
            <v>李奕澔</v>
          </cell>
          <cell r="J10243">
            <v>45790</v>
          </cell>
          <cell r="K10243">
            <v>8</v>
          </cell>
        </row>
        <row r="10244">
          <cell r="C10244" t="str">
            <v>李奕澔</v>
          </cell>
          <cell r="J10244">
            <v>45791</v>
          </cell>
          <cell r="K10244">
            <v>8</v>
          </cell>
        </row>
        <row r="10245">
          <cell r="C10245" t="str">
            <v>李奕澔</v>
          </cell>
          <cell r="J10245">
            <v>45792</v>
          </cell>
          <cell r="K10245">
            <v>8</v>
          </cell>
        </row>
        <row r="10246">
          <cell r="C10246" t="str">
            <v>李奕澔</v>
          </cell>
          <cell r="J10246">
            <v>45793</v>
          </cell>
          <cell r="K10246">
            <v>8</v>
          </cell>
        </row>
        <row r="10247">
          <cell r="C10247" t="str">
            <v>李奕澔</v>
          </cell>
          <cell r="J10247">
            <v>45796</v>
          </cell>
          <cell r="K10247">
            <v>8</v>
          </cell>
        </row>
        <row r="10248">
          <cell r="C10248" t="str">
            <v>李奕澔</v>
          </cell>
          <cell r="J10248">
            <v>45797</v>
          </cell>
          <cell r="K10248">
            <v>8</v>
          </cell>
        </row>
        <row r="10249">
          <cell r="C10249" t="str">
            <v>李奕澔</v>
          </cell>
          <cell r="J10249">
            <v>45798</v>
          </cell>
          <cell r="K10249">
            <v>8</v>
          </cell>
        </row>
        <row r="10250">
          <cell r="C10250" t="str">
            <v>李奕澔</v>
          </cell>
          <cell r="J10250">
            <v>45799</v>
          </cell>
          <cell r="K10250">
            <v>8</v>
          </cell>
        </row>
        <row r="10251">
          <cell r="C10251" t="str">
            <v>李奕澔</v>
          </cell>
          <cell r="J10251">
            <v>45800</v>
          </cell>
          <cell r="K10251">
            <v>8</v>
          </cell>
        </row>
        <row r="10252">
          <cell r="C10252" t="str">
            <v>李奕澔</v>
          </cell>
          <cell r="J10252">
            <v>45803</v>
          </cell>
          <cell r="K10252">
            <v>8</v>
          </cell>
        </row>
        <row r="10253">
          <cell r="C10253" t="str">
            <v>李奕澔</v>
          </cell>
          <cell r="J10253">
            <v>45804</v>
          </cell>
          <cell r="K10253">
            <v>8</v>
          </cell>
        </row>
        <row r="10254">
          <cell r="C10254" t="str">
            <v>李奕澔</v>
          </cell>
          <cell r="J10254">
            <v>45805</v>
          </cell>
          <cell r="K10254">
            <v>8</v>
          </cell>
        </row>
        <row r="10255">
          <cell r="C10255" t="str">
            <v>李奕澔</v>
          </cell>
          <cell r="J10255">
            <v>45806</v>
          </cell>
          <cell r="K10255">
            <v>8</v>
          </cell>
        </row>
        <row r="10256">
          <cell r="C10256" t="str">
            <v>李奕澔</v>
          </cell>
          <cell r="J10256">
            <v>45810</v>
          </cell>
          <cell r="K10256">
            <v>8</v>
          </cell>
        </row>
        <row r="10257">
          <cell r="C10257" t="str">
            <v>李奕澔</v>
          </cell>
          <cell r="J10257">
            <v>45811</v>
          </cell>
          <cell r="K10257">
            <v>8</v>
          </cell>
        </row>
        <row r="10258">
          <cell r="C10258" t="str">
            <v>李奕澔</v>
          </cell>
          <cell r="J10258">
            <v>45812</v>
          </cell>
          <cell r="K10258">
            <v>8</v>
          </cell>
        </row>
        <row r="10259">
          <cell r="C10259" t="str">
            <v>李奕澔</v>
          </cell>
          <cell r="J10259">
            <v>45813</v>
          </cell>
          <cell r="K10259">
            <v>8</v>
          </cell>
        </row>
        <row r="10260">
          <cell r="C10260" t="str">
            <v>李奕澔</v>
          </cell>
          <cell r="J10260">
            <v>45814</v>
          </cell>
          <cell r="K10260">
            <v>8</v>
          </cell>
        </row>
        <row r="10261">
          <cell r="C10261" t="str">
            <v>李奕澔</v>
          </cell>
          <cell r="J10261">
            <v>45852</v>
          </cell>
          <cell r="K10261">
            <v>8</v>
          </cell>
        </row>
        <row r="10262">
          <cell r="C10262" t="str">
            <v>李奕澔</v>
          </cell>
          <cell r="J10262">
            <v>45853</v>
          </cell>
          <cell r="K10262">
            <v>8</v>
          </cell>
        </row>
        <row r="10263">
          <cell r="C10263" t="str">
            <v>李奕澔</v>
          </cell>
          <cell r="J10263">
            <v>45854</v>
          </cell>
          <cell r="K10263">
            <v>8</v>
          </cell>
        </row>
        <row r="10264">
          <cell r="C10264" t="str">
            <v>李奕澔</v>
          </cell>
          <cell r="J10264">
            <v>45855</v>
          </cell>
          <cell r="K10264">
            <v>8</v>
          </cell>
        </row>
        <row r="10265">
          <cell r="C10265" t="str">
            <v>李奕澔</v>
          </cell>
          <cell r="J10265">
            <v>45856</v>
          </cell>
          <cell r="K10265">
            <v>8</v>
          </cell>
        </row>
        <row r="10266">
          <cell r="C10266" t="str">
            <v>李奕澔</v>
          </cell>
          <cell r="J10266">
            <v>45859</v>
          </cell>
          <cell r="K10266">
            <v>8</v>
          </cell>
        </row>
        <row r="10267">
          <cell r="C10267" t="str">
            <v>李奕澔</v>
          </cell>
          <cell r="J10267">
            <v>45860</v>
          </cell>
          <cell r="K10267">
            <v>8</v>
          </cell>
        </row>
        <row r="10268">
          <cell r="C10268" t="str">
            <v>李奕澔</v>
          </cell>
          <cell r="J10268">
            <v>45861</v>
          </cell>
          <cell r="K10268">
            <v>8</v>
          </cell>
        </row>
        <row r="10269">
          <cell r="C10269" t="str">
            <v>李奕澔</v>
          </cell>
          <cell r="J10269">
            <v>45862</v>
          </cell>
          <cell r="K10269">
            <v>8</v>
          </cell>
        </row>
        <row r="10270">
          <cell r="C10270" t="str">
            <v>李奕澔</v>
          </cell>
          <cell r="J10270">
            <v>45863</v>
          </cell>
          <cell r="K10270">
            <v>8</v>
          </cell>
        </row>
        <row r="10271">
          <cell r="C10271" t="str">
            <v>李奕澔</v>
          </cell>
          <cell r="J10271">
            <v>45866</v>
          </cell>
          <cell r="K10271">
            <v>8</v>
          </cell>
        </row>
        <row r="10272">
          <cell r="C10272" t="str">
            <v>李奕澔</v>
          </cell>
          <cell r="J10272">
            <v>45867</v>
          </cell>
          <cell r="K10272">
            <v>8</v>
          </cell>
        </row>
        <row r="10273">
          <cell r="C10273" t="str">
            <v>李奕澔</v>
          </cell>
          <cell r="J10273">
            <v>45868</v>
          </cell>
          <cell r="K10273">
            <v>8</v>
          </cell>
        </row>
        <row r="10274">
          <cell r="C10274" t="str">
            <v>李奕澔</v>
          </cell>
          <cell r="J10274">
            <v>45869</v>
          </cell>
          <cell r="K10274">
            <v>8</v>
          </cell>
        </row>
        <row r="10275">
          <cell r="C10275" t="str">
            <v>李奕澔</v>
          </cell>
          <cell r="J10275">
            <v>45870</v>
          </cell>
          <cell r="K10275">
            <v>8</v>
          </cell>
        </row>
        <row r="10276">
          <cell r="C10276" t="str">
            <v>李奕澔</v>
          </cell>
          <cell r="J10276">
            <v>45873</v>
          </cell>
          <cell r="K10276">
            <v>8</v>
          </cell>
        </row>
        <row r="10277">
          <cell r="C10277" t="str">
            <v>李奕澔</v>
          </cell>
          <cell r="J10277">
            <v>45874</v>
          </cell>
          <cell r="K10277">
            <v>8</v>
          </cell>
        </row>
        <row r="10278">
          <cell r="C10278" t="str">
            <v>李奕澔</v>
          </cell>
          <cell r="J10278">
            <v>45875</v>
          </cell>
          <cell r="K10278">
            <v>8</v>
          </cell>
        </row>
        <row r="10279">
          <cell r="C10279" t="str">
            <v>李奕澔</v>
          </cell>
          <cell r="J10279">
            <v>45876</v>
          </cell>
          <cell r="K10279">
            <v>8</v>
          </cell>
        </row>
        <row r="10280">
          <cell r="C10280" t="str">
            <v>李奕澔</v>
          </cell>
          <cell r="J10280">
            <v>45877</v>
          </cell>
          <cell r="K10280">
            <v>8</v>
          </cell>
        </row>
        <row r="10281">
          <cell r="C10281" t="str">
            <v>李奕澔</v>
          </cell>
          <cell r="J10281">
            <v>45880</v>
          </cell>
          <cell r="K10281">
            <v>8</v>
          </cell>
        </row>
        <row r="10282">
          <cell r="C10282" t="str">
            <v>李奕澔</v>
          </cell>
          <cell r="J10282">
            <v>45881</v>
          </cell>
          <cell r="K10282">
            <v>8</v>
          </cell>
        </row>
        <row r="10283">
          <cell r="C10283" t="str">
            <v>李奕澔</v>
          </cell>
          <cell r="J10283">
            <v>45882</v>
          </cell>
          <cell r="K10283">
            <v>8</v>
          </cell>
        </row>
        <row r="10284">
          <cell r="C10284" t="str">
            <v>李奕澔</v>
          </cell>
          <cell r="J10284">
            <v>45883</v>
          </cell>
          <cell r="K10284">
            <v>8</v>
          </cell>
        </row>
        <row r="10285">
          <cell r="C10285" t="str">
            <v>李奕澔</v>
          </cell>
          <cell r="J10285">
            <v>45884</v>
          </cell>
          <cell r="K10285">
            <v>4</v>
          </cell>
        </row>
        <row r="10286">
          <cell r="C10286" t="str">
            <v>李奕澔</v>
          </cell>
          <cell r="J10286">
            <v>45884</v>
          </cell>
          <cell r="K10286">
            <v>4</v>
          </cell>
        </row>
        <row r="10287">
          <cell r="C10287" t="str">
            <v>李奕澔</v>
          </cell>
          <cell r="J10287">
            <v>45887</v>
          </cell>
          <cell r="K10287">
            <v>8</v>
          </cell>
        </row>
        <row r="10288">
          <cell r="C10288" t="str">
            <v>李奕澔</v>
          </cell>
          <cell r="J10288">
            <v>45888</v>
          </cell>
          <cell r="K10288">
            <v>8</v>
          </cell>
        </row>
        <row r="10289">
          <cell r="C10289" t="str">
            <v>李奕澔</v>
          </cell>
          <cell r="J10289">
            <v>45889</v>
          </cell>
          <cell r="K10289">
            <v>8</v>
          </cell>
        </row>
        <row r="10290">
          <cell r="C10290" t="str">
            <v>李奕澔</v>
          </cell>
          <cell r="J10290">
            <v>45890</v>
          </cell>
          <cell r="K10290">
            <v>8</v>
          </cell>
        </row>
        <row r="10291">
          <cell r="C10291" t="str">
            <v>李奕澔</v>
          </cell>
          <cell r="J10291">
            <v>45891</v>
          </cell>
          <cell r="K10291">
            <v>8</v>
          </cell>
        </row>
        <row r="10292">
          <cell r="C10292" t="str">
            <v>李奕澔</v>
          </cell>
          <cell r="J10292">
            <v>45894</v>
          </cell>
          <cell r="K10292">
            <v>8</v>
          </cell>
        </row>
        <row r="10293">
          <cell r="C10293" t="str">
            <v>李奕澔</v>
          </cell>
          <cell r="J10293">
            <v>45895</v>
          </cell>
          <cell r="K10293">
            <v>8</v>
          </cell>
        </row>
        <row r="10294">
          <cell r="C10294" t="str">
            <v>李奕澔</v>
          </cell>
          <cell r="J10294">
            <v>45896</v>
          </cell>
          <cell r="K10294">
            <v>8</v>
          </cell>
        </row>
        <row r="10295">
          <cell r="C10295" t="str">
            <v>李奕澔</v>
          </cell>
          <cell r="J10295">
            <v>45897</v>
          </cell>
          <cell r="K10295">
            <v>8</v>
          </cell>
        </row>
        <row r="10296">
          <cell r="C10296" t="str">
            <v>李奕澔</v>
          </cell>
          <cell r="J10296">
            <v>45898</v>
          </cell>
          <cell r="K10296">
            <v>8</v>
          </cell>
        </row>
        <row r="10297">
          <cell r="C10297" t="str">
            <v>李奕澔</v>
          </cell>
          <cell r="J10297">
            <v>45901</v>
          </cell>
          <cell r="K10297">
            <v>8</v>
          </cell>
        </row>
        <row r="10298">
          <cell r="C10298" t="str">
            <v>李奕澔</v>
          </cell>
          <cell r="J10298">
            <v>45902</v>
          </cell>
          <cell r="K10298">
            <v>8</v>
          </cell>
        </row>
        <row r="10299">
          <cell r="C10299" t="str">
            <v>李奕澔</v>
          </cell>
          <cell r="J10299">
            <v>45903</v>
          </cell>
          <cell r="K10299">
            <v>8</v>
          </cell>
        </row>
        <row r="10300">
          <cell r="C10300" t="str">
            <v>李奕澔</v>
          </cell>
          <cell r="J10300">
            <v>45904</v>
          </cell>
          <cell r="K10300">
            <v>8</v>
          </cell>
        </row>
        <row r="10301">
          <cell r="C10301" t="str">
            <v>李奕澔</v>
          </cell>
          <cell r="J10301">
            <v>45905</v>
          </cell>
          <cell r="K10301">
            <v>8</v>
          </cell>
        </row>
        <row r="10302">
          <cell r="C10302" t="str">
            <v>李奕澔</v>
          </cell>
          <cell r="J10302">
            <v>45908</v>
          </cell>
          <cell r="K10302">
            <v>8</v>
          </cell>
        </row>
        <row r="10303">
          <cell r="C10303" t="str">
            <v>李奕澔</v>
          </cell>
          <cell r="J10303">
            <v>45909</v>
          </cell>
          <cell r="K10303">
            <v>8</v>
          </cell>
        </row>
        <row r="10304">
          <cell r="C10304" t="str">
            <v>李奕澔</v>
          </cell>
          <cell r="J10304">
            <v>45910</v>
          </cell>
          <cell r="K10304">
            <v>2</v>
          </cell>
        </row>
        <row r="10305">
          <cell r="C10305" t="str">
            <v>李奕澔</v>
          </cell>
          <cell r="J10305">
            <v>45910</v>
          </cell>
          <cell r="K10305">
            <v>6</v>
          </cell>
        </row>
        <row r="10306">
          <cell r="C10306" t="str">
            <v>李奕澔</v>
          </cell>
          <cell r="J10306">
            <v>45911</v>
          </cell>
          <cell r="K10306">
            <v>8</v>
          </cell>
        </row>
        <row r="10307">
          <cell r="C10307" t="str">
            <v>李奕澔</v>
          </cell>
          <cell r="J10307">
            <v>45912</v>
          </cell>
          <cell r="K10307">
            <v>8</v>
          </cell>
        </row>
        <row r="10308">
          <cell r="C10308" t="str">
            <v>李奕澔</v>
          </cell>
          <cell r="J10308">
            <v>45915</v>
          </cell>
          <cell r="K10308">
            <v>8</v>
          </cell>
        </row>
        <row r="10309">
          <cell r="C10309" t="str">
            <v>李奕澔</v>
          </cell>
          <cell r="J10309">
            <v>45916</v>
          </cell>
          <cell r="K10309">
            <v>8</v>
          </cell>
        </row>
        <row r="10310">
          <cell r="C10310" t="str">
            <v>李奕澔</v>
          </cell>
          <cell r="J10310">
            <v>45917</v>
          </cell>
          <cell r="K10310">
            <v>8</v>
          </cell>
        </row>
        <row r="10311">
          <cell r="C10311" t="str">
            <v>李奕澔</v>
          </cell>
          <cell r="J10311">
            <v>45918</v>
          </cell>
          <cell r="K10311">
            <v>8</v>
          </cell>
        </row>
        <row r="10312">
          <cell r="C10312" t="str">
            <v>李奕澔</v>
          </cell>
          <cell r="J10312">
            <v>45919</v>
          </cell>
          <cell r="K10312">
            <v>8</v>
          </cell>
        </row>
        <row r="10313">
          <cell r="C10313" t="str">
            <v>李奕澔</v>
          </cell>
          <cell r="J10313">
            <v>45922</v>
          </cell>
          <cell r="K10313">
            <v>8</v>
          </cell>
        </row>
        <row r="10314">
          <cell r="C10314" t="str">
            <v>李奕澔</v>
          </cell>
          <cell r="J10314">
            <v>45923</v>
          </cell>
          <cell r="K10314">
            <v>8</v>
          </cell>
        </row>
        <row r="10315">
          <cell r="C10315" t="str">
            <v>李奕澔</v>
          </cell>
          <cell r="J10315">
            <v>45924</v>
          </cell>
          <cell r="K10315">
            <v>8</v>
          </cell>
        </row>
        <row r="10316">
          <cell r="C10316" t="str">
            <v>李奕澔</v>
          </cell>
          <cell r="J10316">
            <v>45925</v>
          </cell>
          <cell r="K10316">
            <v>8</v>
          </cell>
        </row>
        <row r="10317">
          <cell r="C10317" t="str">
            <v>李奕澔</v>
          </cell>
          <cell r="J10317">
            <v>45926</v>
          </cell>
          <cell r="K10317">
            <v>8</v>
          </cell>
        </row>
        <row r="10318">
          <cell r="C10318" t="str">
            <v>李奕澔</v>
          </cell>
          <cell r="J10318">
            <v>45930</v>
          </cell>
          <cell r="K10318">
            <v>8</v>
          </cell>
        </row>
        <row r="10319">
          <cell r="C10319" t="str">
            <v>李奕澔</v>
          </cell>
          <cell r="J10319">
            <v>45931</v>
          </cell>
          <cell r="K10319">
            <v>8</v>
          </cell>
        </row>
        <row r="10320">
          <cell r="C10320" t="str">
            <v>李奕澔</v>
          </cell>
          <cell r="J10320">
            <v>45932</v>
          </cell>
          <cell r="K10320">
            <v>8</v>
          </cell>
        </row>
        <row r="10321">
          <cell r="C10321" t="str">
            <v>李奕澔</v>
          </cell>
          <cell r="J10321">
            <v>45933</v>
          </cell>
          <cell r="K10321">
            <v>8</v>
          </cell>
        </row>
        <row r="10322">
          <cell r="C10322" t="str">
            <v>李奕澔</v>
          </cell>
          <cell r="J10322">
            <v>45937</v>
          </cell>
          <cell r="K10322">
            <v>8</v>
          </cell>
        </row>
        <row r="10323">
          <cell r="C10323" t="str">
            <v>李奕澔</v>
          </cell>
          <cell r="J10323">
            <v>45938</v>
          </cell>
          <cell r="K10323">
            <v>8</v>
          </cell>
        </row>
        <row r="10324">
          <cell r="C10324" t="str">
            <v>李奕澔</v>
          </cell>
          <cell r="J10324">
            <v>45939</v>
          </cell>
          <cell r="K10324">
            <v>8</v>
          </cell>
        </row>
        <row r="10325">
          <cell r="C10325" t="str">
            <v>李奕澔</v>
          </cell>
          <cell r="J10325">
            <v>45943</v>
          </cell>
          <cell r="K10325">
            <v>8</v>
          </cell>
        </row>
        <row r="10326">
          <cell r="C10326" t="str">
            <v>李奕澔</v>
          </cell>
          <cell r="J10326">
            <v>45944</v>
          </cell>
          <cell r="K10326">
            <v>8</v>
          </cell>
        </row>
        <row r="10327">
          <cell r="C10327" t="str">
            <v>李奕澔</v>
          </cell>
          <cell r="J10327">
            <v>45945</v>
          </cell>
          <cell r="K10327">
            <v>8</v>
          </cell>
        </row>
        <row r="10328">
          <cell r="C10328" t="str">
            <v>李奕澔</v>
          </cell>
          <cell r="J10328">
            <v>45946</v>
          </cell>
          <cell r="K10328">
            <v>8</v>
          </cell>
        </row>
        <row r="10329">
          <cell r="C10329" t="str">
            <v>李奕澔</v>
          </cell>
          <cell r="J10329">
            <v>45947</v>
          </cell>
          <cell r="K10329">
            <v>7</v>
          </cell>
        </row>
        <row r="10330">
          <cell r="C10330" t="str">
            <v>李奕澔</v>
          </cell>
          <cell r="J10330">
            <v>45947</v>
          </cell>
          <cell r="K10330">
            <v>1</v>
          </cell>
        </row>
        <row r="10331">
          <cell r="C10331" t="str">
            <v>李奕澔</v>
          </cell>
          <cell r="J10331">
            <v>45950</v>
          </cell>
          <cell r="K10331">
            <v>8</v>
          </cell>
        </row>
        <row r="10332">
          <cell r="C10332" t="str">
            <v>李奕澔</v>
          </cell>
          <cell r="J10332">
            <v>45951</v>
          </cell>
          <cell r="K10332">
            <v>8</v>
          </cell>
        </row>
        <row r="10333">
          <cell r="C10333" t="str">
            <v>李奕澔</v>
          </cell>
          <cell r="J10333">
            <v>45952</v>
          </cell>
          <cell r="K10333">
            <v>8</v>
          </cell>
        </row>
        <row r="10334">
          <cell r="C10334" t="str">
            <v>李奕澔</v>
          </cell>
          <cell r="J10334">
            <v>45953</v>
          </cell>
          <cell r="K10334">
            <v>1</v>
          </cell>
        </row>
        <row r="10335">
          <cell r="C10335" t="str">
            <v>李奕澔</v>
          </cell>
          <cell r="J10335">
            <v>45953</v>
          </cell>
          <cell r="K10335">
            <v>7</v>
          </cell>
        </row>
        <row r="10336">
          <cell r="C10336" t="str">
            <v>李奕澔</v>
          </cell>
          <cell r="J10336">
            <v>45957</v>
          </cell>
          <cell r="K10336">
            <v>8</v>
          </cell>
        </row>
        <row r="10337">
          <cell r="C10337" t="str">
            <v>李奕澔</v>
          </cell>
          <cell r="J10337">
            <v>45958</v>
          </cell>
          <cell r="K10337">
            <v>8</v>
          </cell>
        </row>
        <row r="10338">
          <cell r="C10338" t="str">
            <v>李奕澔</v>
          </cell>
          <cell r="J10338">
            <v>45959</v>
          </cell>
          <cell r="K10338">
            <v>8</v>
          </cell>
        </row>
        <row r="10339">
          <cell r="C10339" t="str">
            <v>李奕澔</v>
          </cell>
          <cell r="J10339">
            <v>45960</v>
          </cell>
          <cell r="K10339">
            <v>7</v>
          </cell>
        </row>
        <row r="10340">
          <cell r="C10340" t="str">
            <v>李奕澔</v>
          </cell>
          <cell r="J10340">
            <v>45960</v>
          </cell>
          <cell r="K10340">
            <v>1</v>
          </cell>
        </row>
        <row r="10341">
          <cell r="C10341" t="str">
            <v>李奕澔</v>
          </cell>
          <cell r="J10341">
            <v>45961</v>
          </cell>
          <cell r="K10341">
            <v>8</v>
          </cell>
        </row>
        <row r="10342">
          <cell r="C10342" t="str">
            <v>李奕澔</v>
          </cell>
          <cell r="J10342">
            <v>45964</v>
          </cell>
          <cell r="K10342">
            <v>8</v>
          </cell>
        </row>
        <row r="10343">
          <cell r="C10343" t="str">
            <v>李奕澔</v>
          </cell>
          <cell r="J10343">
            <v>45965</v>
          </cell>
          <cell r="K10343">
            <v>8</v>
          </cell>
        </row>
        <row r="10344">
          <cell r="C10344" t="str">
            <v>李奕澔</v>
          </cell>
          <cell r="J10344">
            <v>45966</v>
          </cell>
          <cell r="K10344">
            <v>8</v>
          </cell>
        </row>
        <row r="10345">
          <cell r="C10345" t="str">
            <v>李奕澔</v>
          </cell>
          <cell r="J10345">
            <v>45967</v>
          </cell>
          <cell r="K10345">
            <v>6</v>
          </cell>
        </row>
        <row r="10346">
          <cell r="C10346" t="str">
            <v>李奕澔</v>
          </cell>
          <cell r="J10346">
            <v>45967</v>
          </cell>
          <cell r="K10346">
            <v>2</v>
          </cell>
        </row>
        <row r="10347">
          <cell r="C10347" t="str">
            <v>李奕澔</v>
          </cell>
          <cell r="J10347">
            <v>45968</v>
          </cell>
          <cell r="K10347">
            <v>8</v>
          </cell>
        </row>
        <row r="10348">
          <cell r="C10348" t="str">
            <v>李奕澔</v>
          </cell>
          <cell r="J10348">
            <v>45971</v>
          </cell>
          <cell r="K10348">
            <v>8</v>
          </cell>
        </row>
        <row r="10349">
          <cell r="C10349" t="str">
            <v>李奕澔</v>
          </cell>
          <cell r="J10349">
            <v>45972</v>
          </cell>
          <cell r="K10349">
            <v>8</v>
          </cell>
        </row>
        <row r="10350">
          <cell r="C10350" t="str">
            <v>李奕澔</v>
          </cell>
          <cell r="J10350">
            <v>45973</v>
          </cell>
          <cell r="K10350">
            <v>8</v>
          </cell>
        </row>
        <row r="10351">
          <cell r="C10351" t="str">
            <v>李奕澔</v>
          </cell>
          <cell r="J10351">
            <v>45974</v>
          </cell>
          <cell r="K10351">
            <v>6</v>
          </cell>
        </row>
        <row r="10352">
          <cell r="C10352" t="str">
            <v>李奕澔</v>
          </cell>
          <cell r="J10352">
            <v>45974</v>
          </cell>
          <cell r="K10352">
            <v>2</v>
          </cell>
        </row>
        <row r="10353">
          <cell r="C10353" t="str">
            <v>李奕澔</v>
          </cell>
          <cell r="J10353">
            <v>45975</v>
          </cell>
          <cell r="K10353">
            <v>8</v>
          </cell>
        </row>
        <row r="10354">
          <cell r="C10354" t="str">
            <v>李奕澔</v>
          </cell>
          <cell r="J10354">
            <v>45978</v>
          </cell>
          <cell r="K10354">
            <v>8</v>
          </cell>
        </row>
        <row r="10355">
          <cell r="C10355" t="str">
            <v>李奕澔</v>
          </cell>
          <cell r="J10355">
            <v>45979</v>
          </cell>
          <cell r="K10355">
            <v>5</v>
          </cell>
        </row>
        <row r="10356">
          <cell r="C10356" t="str">
            <v>李奕澔</v>
          </cell>
          <cell r="J10356">
            <v>45979</v>
          </cell>
          <cell r="K10356">
            <v>3</v>
          </cell>
        </row>
        <row r="10357">
          <cell r="C10357" t="str">
            <v>李奕澔</v>
          </cell>
          <cell r="J10357">
            <v>45980</v>
          </cell>
          <cell r="K10357">
            <v>8</v>
          </cell>
        </row>
        <row r="10358">
          <cell r="C10358" t="str">
            <v>李奕澔</v>
          </cell>
          <cell r="J10358">
            <v>45981</v>
          </cell>
          <cell r="K10358">
            <v>2</v>
          </cell>
        </row>
        <row r="10359">
          <cell r="C10359" t="str">
            <v>李奕澔</v>
          </cell>
          <cell r="J10359">
            <v>45981</v>
          </cell>
          <cell r="K10359">
            <v>6</v>
          </cell>
        </row>
        <row r="10360">
          <cell r="C10360" t="str">
            <v>李奕澔</v>
          </cell>
          <cell r="J10360">
            <v>45982</v>
          </cell>
          <cell r="K10360">
            <v>8</v>
          </cell>
        </row>
        <row r="10361">
          <cell r="C10361" t="str">
            <v>李奕澔</v>
          </cell>
          <cell r="J10361">
            <v>45985</v>
          </cell>
          <cell r="K10361">
            <v>8</v>
          </cell>
        </row>
        <row r="10362">
          <cell r="C10362" t="str">
            <v>李奕澔</v>
          </cell>
          <cell r="J10362">
            <v>45986</v>
          </cell>
          <cell r="K10362">
            <v>8</v>
          </cell>
        </row>
        <row r="10363">
          <cell r="C10363" t="str">
            <v>李奕澔</v>
          </cell>
          <cell r="J10363">
            <v>45987</v>
          </cell>
          <cell r="K10363">
            <v>8</v>
          </cell>
        </row>
        <row r="10364">
          <cell r="C10364" t="str">
            <v>李奕澔</v>
          </cell>
          <cell r="J10364">
            <v>45988</v>
          </cell>
          <cell r="K10364">
            <v>1</v>
          </cell>
        </row>
        <row r="10365">
          <cell r="C10365" t="str">
            <v>李奕澔</v>
          </cell>
          <cell r="J10365">
            <v>45988</v>
          </cell>
          <cell r="K10365">
            <v>7</v>
          </cell>
        </row>
        <row r="10366">
          <cell r="C10366" t="str">
            <v>李奕澔</v>
          </cell>
          <cell r="J10366">
            <v>45989</v>
          </cell>
          <cell r="K10366">
            <v>8</v>
          </cell>
        </row>
        <row r="10367">
          <cell r="C10367" t="str">
            <v>李奕澔</v>
          </cell>
          <cell r="J10367">
            <v>45992</v>
          </cell>
          <cell r="K10367">
            <v>8</v>
          </cell>
        </row>
        <row r="10368">
          <cell r="C10368" t="str">
            <v>李奕澔</v>
          </cell>
          <cell r="J10368">
            <v>45993</v>
          </cell>
          <cell r="K10368">
            <v>8</v>
          </cell>
        </row>
        <row r="10369">
          <cell r="C10369" t="str">
            <v>李奕澔</v>
          </cell>
          <cell r="J10369">
            <v>45994</v>
          </cell>
          <cell r="K10369">
            <v>8</v>
          </cell>
        </row>
        <row r="10370">
          <cell r="C10370" t="str">
            <v>李奕澔</v>
          </cell>
          <cell r="J10370">
            <v>45995</v>
          </cell>
          <cell r="K10370">
            <v>1</v>
          </cell>
        </row>
        <row r="10371">
          <cell r="C10371" t="str">
            <v>李奕澔</v>
          </cell>
          <cell r="J10371">
            <v>45995</v>
          </cell>
          <cell r="K10371">
            <v>7</v>
          </cell>
        </row>
        <row r="10372">
          <cell r="C10372" t="str">
            <v>李奕澔</v>
          </cell>
          <cell r="J10372">
            <v>45996</v>
          </cell>
          <cell r="K10372">
            <v>8</v>
          </cell>
        </row>
        <row r="10373">
          <cell r="C10373" t="str">
            <v>李奕澔</v>
          </cell>
          <cell r="J10373">
            <v>45999</v>
          </cell>
          <cell r="K10373">
            <v>8</v>
          </cell>
        </row>
        <row r="10374">
          <cell r="C10374" t="str">
            <v>李奕澔</v>
          </cell>
          <cell r="J10374">
            <v>46000</v>
          </cell>
          <cell r="K10374">
            <v>8</v>
          </cell>
        </row>
        <row r="10375">
          <cell r="C10375" t="str">
            <v>李奕澔</v>
          </cell>
          <cell r="J10375">
            <v>46001</v>
          </cell>
          <cell r="K10375">
            <v>2</v>
          </cell>
        </row>
        <row r="10376">
          <cell r="C10376" t="str">
            <v>李奕澔</v>
          </cell>
          <cell r="J10376">
            <v>46001</v>
          </cell>
          <cell r="K10376">
            <v>6</v>
          </cell>
        </row>
        <row r="10377">
          <cell r="C10377" t="str">
            <v>李奕澔</v>
          </cell>
          <cell r="J10377">
            <v>46002</v>
          </cell>
          <cell r="K10377">
            <v>8</v>
          </cell>
        </row>
        <row r="10378">
          <cell r="C10378" t="str">
            <v>李奕澔</v>
          </cell>
          <cell r="J10378">
            <v>46003</v>
          </cell>
          <cell r="K10378">
            <v>8</v>
          </cell>
        </row>
        <row r="10379">
          <cell r="C10379" t="str">
            <v>李奕澔</v>
          </cell>
          <cell r="J10379">
            <v>46006</v>
          </cell>
          <cell r="K10379">
            <v>8</v>
          </cell>
        </row>
        <row r="10380">
          <cell r="C10380" t="str">
            <v>李奕澔</v>
          </cell>
          <cell r="J10380">
            <v>46007</v>
          </cell>
          <cell r="K10380">
            <v>8</v>
          </cell>
        </row>
        <row r="10381">
          <cell r="C10381" t="str">
            <v>李奕澔</v>
          </cell>
          <cell r="J10381">
            <v>46008</v>
          </cell>
          <cell r="K10381">
            <v>8</v>
          </cell>
        </row>
        <row r="10382">
          <cell r="C10382" t="str">
            <v>李奕澔</v>
          </cell>
          <cell r="J10382">
            <v>46009</v>
          </cell>
          <cell r="K10382">
            <v>8</v>
          </cell>
        </row>
        <row r="10383">
          <cell r="C10383" t="str">
            <v>李奕澔</v>
          </cell>
          <cell r="J10383">
            <v>46010</v>
          </cell>
          <cell r="K10383">
            <v>8</v>
          </cell>
        </row>
        <row r="10384">
          <cell r="C10384" t="str">
            <v>李奕澔</v>
          </cell>
          <cell r="J10384">
            <v>46013</v>
          </cell>
          <cell r="K10384">
            <v>8</v>
          </cell>
        </row>
        <row r="10385">
          <cell r="C10385" t="str">
            <v>李奕澔</v>
          </cell>
          <cell r="J10385">
            <v>46014</v>
          </cell>
          <cell r="K10385">
            <v>8</v>
          </cell>
        </row>
        <row r="10386">
          <cell r="C10386" t="str">
            <v>李奕澔</v>
          </cell>
          <cell r="J10386">
            <v>46015</v>
          </cell>
          <cell r="K10386">
            <v>4</v>
          </cell>
        </row>
        <row r="10387">
          <cell r="C10387" t="str">
            <v>李奕澔</v>
          </cell>
          <cell r="J10387">
            <v>46015</v>
          </cell>
          <cell r="K10387">
            <v>4</v>
          </cell>
        </row>
        <row r="10388">
          <cell r="C10388" t="str">
            <v>李奕澔</v>
          </cell>
          <cell r="J10388">
            <v>46017</v>
          </cell>
          <cell r="K10388">
            <v>4</v>
          </cell>
        </row>
        <row r="10389">
          <cell r="C10389" t="str">
            <v>李奕澔</v>
          </cell>
          <cell r="J10389">
            <v>46020</v>
          </cell>
          <cell r="K10389">
            <v>8</v>
          </cell>
        </row>
        <row r="10390">
          <cell r="C10390" t="str">
            <v>李奕澔</v>
          </cell>
          <cell r="J10390">
            <v>46021</v>
          </cell>
          <cell r="K10390">
            <v>8</v>
          </cell>
        </row>
        <row r="10391">
          <cell r="C10391" t="str">
            <v>李奕澔</v>
          </cell>
          <cell r="J10391">
            <v>46022</v>
          </cell>
          <cell r="K10391">
            <v>8</v>
          </cell>
        </row>
        <row r="10392">
          <cell r="C10392" t="str">
            <v>李奕澔</v>
          </cell>
          <cell r="J10392">
            <v>46024</v>
          </cell>
          <cell r="K10392">
            <v>8</v>
          </cell>
        </row>
        <row r="10393">
          <cell r="C10393" t="str">
            <v>李奕澔</v>
          </cell>
          <cell r="J10393">
            <v>46027</v>
          </cell>
          <cell r="K10393">
            <v>8</v>
          </cell>
        </row>
        <row r="10394">
          <cell r="C10394" t="str">
            <v>李奕澔</v>
          </cell>
          <cell r="J10394">
            <v>46028</v>
          </cell>
          <cell r="K10394">
            <v>8</v>
          </cell>
        </row>
        <row r="10395">
          <cell r="C10395" t="str">
            <v>李奕澔</v>
          </cell>
          <cell r="J10395">
            <v>46029</v>
          </cell>
          <cell r="K10395">
            <v>4</v>
          </cell>
        </row>
        <row r="10396">
          <cell r="C10396" t="str">
            <v>李奕澔</v>
          </cell>
          <cell r="J10396">
            <v>46029</v>
          </cell>
          <cell r="K10396">
            <v>4</v>
          </cell>
        </row>
        <row r="10397">
          <cell r="C10397" t="str">
            <v>李奕澔</v>
          </cell>
          <cell r="J10397">
            <v>46030</v>
          </cell>
          <cell r="K10397">
            <v>1</v>
          </cell>
        </row>
        <row r="10398">
          <cell r="C10398" t="str">
            <v>李奕澔</v>
          </cell>
          <cell r="J10398">
            <v>46030</v>
          </cell>
          <cell r="K10398">
            <v>7</v>
          </cell>
        </row>
        <row r="10399">
          <cell r="C10399" t="str">
            <v>李奕澔</v>
          </cell>
          <cell r="J10399">
            <v>46031</v>
          </cell>
          <cell r="K10399">
            <v>8</v>
          </cell>
        </row>
        <row r="10400">
          <cell r="C10400" t="str">
            <v>李奕澔</v>
          </cell>
          <cell r="J10400">
            <v>46034</v>
          </cell>
          <cell r="K10400">
            <v>8</v>
          </cell>
        </row>
        <row r="10401">
          <cell r="C10401" t="str">
            <v>李奕澔</v>
          </cell>
          <cell r="J10401">
            <v>46035</v>
          </cell>
          <cell r="K10401">
            <v>8</v>
          </cell>
        </row>
        <row r="10402">
          <cell r="C10402" t="str">
            <v>李奕澔</v>
          </cell>
          <cell r="J10402">
            <v>46036</v>
          </cell>
          <cell r="K10402">
            <v>2</v>
          </cell>
        </row>
        <row r="10403">
          <cell r="C10403" t="str">
            <v>李奕澔</v>
          </cell>
          <cell r="J10403">
            <v>46036</v>
          </cell>
          <cell r="K10403">
            <v>6</v>
          </cell>
        </row>
        <row r="10404">
          <cell r="C10404" t="str">
            <v>李奕澔</v>
          </cell>
          <cell r="J10404">
            <v>46037</v>
          </cell>
          <cell r="K10404">
            <v>8</v>
          </cell>
        </row>
        <row r="10405">
          <cell r="C10405" t="str">
            <v>李奕澔</v>
          </cell>
          <cell r="J10405">
            <v>46038</v>
          </cell>
          <cell r="K10405">
            <v>8</v>
          </cell>
        </row>
        <row r="10406">
          <cell r="C10406" t="str">
            <v>李奕澔</v>
          </cell>
          <cell r="J10406">
            <v>46041</v>
          </cell>
          <cell r="K10406">
            <v>8</v>
          </cell>
        </row>
        <row r="10407">
          <cell r="C10407" t="str">
            <v>李奕澔</v>
          </cell>
          <cell r="J10407">
            <v>46042</v>
          </cell>
          <cell r="K10407">
            <v>8</v>
          </cell>
        </row>
        <row r="10408">
          <cell r="C10408" t="str">
            <v>李奕澔</v>
          </cell>
          <cell r="J10408">
            <v>46043</v>
          </cell>
          <cell r="K10408">
            <v>6</v>
          </cell>
        </row>
        <row r="10409">
          <cell r="C10409" t="str">
            <v>李奕澔</v>
          </cell>
          <cell r="J10409">
            <v>46043</v>
          </cell>
          <cell r="K10409">
            <v>2</v>
          </cell>
        </row>
        <row r="10410">
          <cell r="C10410" t="str">
            <v>李奕澔</v>
          </cell>
          <cell r="J10410">
            <v>46044</v>
          </cell>
          <cell r="K10410">
            <v>8</v>
          </cell>
        </row>
        <row r="10411">
          <cell r="C10411" t="str">
            <v>李奕澔</v>
          </cell>
          <cell r="J10411">
            <v>46045</v>
          </cell>
          <cell r="K10411">
            <v>8</v>
          </cell>
        </row>
        <row r="10412">
          <cell r="C10412" t="str">
            <v>李奕澔</v>
          </cell>
          <cell r="J10412">
            <v>46048</v>
          </cell>
          <cell r="K10412">
            <v>8</v>
          </cell>
        </row>
        <row r="10413">
          <cell r="C10413" t="str">
            <v>李奕澔</v>
          </cell>
          <cell r="J10413">
            <v>46049</v>
          </cell>
          <cell r="K10413">
            <v>8</v>
          </cell>
        </row>
        <row r="10414">
          <cell r="C10414" t="str">
            <v>李奕澔</v>
          </cell>
          <cell r="J10414">
            <v>46050</v>
          </cell>
          <cell r="K10414">
            <v>1</v>
          </cell>
        </row>
        <row r="10415">
          <cell r="C10415" t="str">
            <v>李奕澔</v>
          </cell>
          <cell r="J10415">
            <v>46050</v>
          </cell>
          <cell r="K10415">
            <v>7</v>
          </cell>
        </row>
        <row r="10416">
          <cell r="C10416" t="str">
            <v>李奕澔</v>
          </cell>
          <cell r="J10416">
            <v>46051</v>
          </cell>
          <cell r="K10416">
            <v>8</v>
          </cell>
        </row>
        <row r="10417">
          <cell r="C10417" t="str">
            <v>李奕澔</v>
          </cell>
          <cell r="J10417">
            <v>46052</v>
          </cell>
          <cell r="K10417">
            <v>8</v>
          </cell>
        </row>
        <row r="10418">
          <cell r="C10418" t="str">
            <v>李奕澔</v>
          </cell>
          <cell r="F10418" t="str">
            <v>D260102R1</v>
          </cell>
          <cell r="J10418">
            <v>46055</v>
          </cell>
          <cell r="K10418">
            <v>2</v>
          </cell>
        </row>
        <row r="10419">
          <cell r="C10419" t="str">
            <v>李奕澔</v>
          </cell>
          <cell r="J10419">
            <v>46055</v>
          </cell>
          <cell r="K10419">
            <v>6</v>
          </cell>
        </row>
        <row r="10420">
          <cell r="C10420" t="str">
            <v>李奕澔</v>
          </cell>
          <cell r="F10420" t="str">
            <v>D260102R1</v>
          </cell>
          <cell r="J10420">
            <v>46056</v>
          </cell>
          <cell r="K10420">
            <v>8</v>
          </cell>
        </row>
        <row r="10421">
          <cell r="C10421" t="str">
            <v>李奕澔</v>
          </cell>
          <cell r="J10421">
            <v>46057</v>
          </cell>
          <cell r="K10421">
            <v>1</v>
          </cell>
        </row>
        <row r="10422">
          <cell r="C10422" t="str">
            <v>李奕澔</v>
          </cell>
          <cell r="F10422" t="str">
            <v>D260102R1</v>
          </cell>
          <cell r="J10422">
            <v>46057</v>
          </cell>
          <cell r="K10422">
            <v>7</v>
          </cell>
        </row>
        <row r="10423">
          <cell r="C10423" t="str">
            <v>李奕澔</v>
          </cell>
          <cell r="F10423" t="str">
            <v>D260102R1</v>
          </cell>
          <cell r="J10423">
            <v>46058</v>
          </cell>
          <cell r="K10423">
            <v>8</v>
          </cell>
        </row>
        <row r="10424">
          <cell r="C10424" t="str">
            <v>李奕澔</v>
          </cell>
          <cell r="F10424" t="str">
            <v>D260102R1</v>
          </cell>
          <cell r="J10424">
            <v>46059</v>
          </cell>
          <cell r="K10424">
            <v>8</v>
          </cell>
        </row>
        <row r="10425">
          <cell r="C10425" t="str">
            <v>李奕澔</v>
          </cell>
          <cell r="J10425">
            <v>46062</v>
          </cell>
          <cell r="K10425">
            <v>8</v>
          </cell>
        </row>
        <row r="10426">
          <cell r="C10426" t="str">
            <v>李奕澔</v>
          </cell>
          <cell r="J10426">
            <v>46063</v>
          </cell>
          <cell r="K10426">
            <v>8</v>
          </cell>
        </row>
        <row r="10427">
          <cell r="C10427" t="str">
            <v>李奕澔</v>
          </cell>
          <cell r="F10427" t="str">
            <v>D260102R1</v>
          </cell>
          <cell r="J10427">
            <v>46064</v>
          </cell>
          <cell r="K10427">
            <v>5</v>
          </cell>
        </row>
        <row r="10428">
          <cell r="C10428" t="str">
            <v>李奕澔</v>
          </cell>
          <cell r="J10428">
            <v>46064</v>
          </cell>
          <cell r="K10428">
            <v>2</v>
          </cell>
        </row>
        <row r="10429">
          <cell r="C10429" t="str">
            <v>李奕澔</v>
          </cell>
          <cell r="J10429">
            <v>46064</v>
          </cell>
          <cell r="K10429">
            <v>1</v>
          </cell>
        </row>
        <row r="10430">
          <cell r="C10430" t="str">
            <v>李奕澔</v>
          </cell>
          <cell r="F10430" t="str">
            <v>D260102R1</v>
          </cell>
          <cell r="J10430">
            <v>46065</v>
          </cell>
          <cell r="K10430">
            <v>8</v>
          </cell>
        </row>
        <row r="10431">
          <cell r="C10431" t="str">
            <v>李奕澔</v>
          </cell>
          <cell r="F10431" t="str">
            <v>D260102R1</v>
          </cell>
          <cell r="J10431">
            <v>46066</v>
          </cell>
          <cell r="K10431">
            <v>6</v>
          </cell>
        </row>
        <row r="10432">
          <cell r="C10432" t="str">
            <v>李奕澔</v>
          </cell>
          <cell r="J10432">
            <v>46066</v>
          </cell>
          <cell r="K10432">
            <v>2</v>
          </cell>
        </row>
        <row r="10433">
          <cell r="C10433" t="str">
            <v>李奕澔</v>
          </cell>
          <cell r="F10433" t="str">
            <v>D260102R1</v>
          </cell>
          <cell r="J10433">
            <v>46076</v>
          </cell>
          <cell r="K10433">
            <v>8</v>
          </cell>
        </row>
        <row r="10434">
          <cell r="C10434" t="str">
            <v>李奕澔</v>
          </cell>
          <cell r="F10434" t="str">
            <v>D260102R1</v>
          </cell>
          <cell r="J10434">
            <v>46077</v>
          </cell>
          <cell r="K10434">
            <v>8</v>
          </cell>
        </row>
        <row r="10435">
          <cell r="C10435" t="str">
            <v>李奕澔</v>
          </cell>
          <cell r="J10435">
            <v>46078</v>
          </cell>
          <cell r="K10435">
            <v>1</v>
          </cell>
        </row>
        <row r="10436">
          <cell r="C10436" t="str">
            <v>李奕澔</v>
          </cell>
          <cell r="J10436">
            <v>46078</v>
          </cell>
          <cell r="K10436">
            <v>4</v>
          </cell>
        </row>
        <row r="10437">
          <cell r="C10437" t="str">
            <v>李奕澔</v>
          </cell>
          <cell r="F10437" t="str">
            <v>D260102R1</v>
          </cell>
          <cell r="J10437">
            <v>46078</v>
          </cell>
          <cell r="K10437">
            <v>3</v>
          </cell>
        </row>
        <row r="10438">
          <cell r="C10438" t="str">
            <v>李奕澔</v>
          </cell>
          <cell r="J10438">
            <v>46079</v>
          </cell>
          <cell r="K10438">
            <v>8</v>
          </cell>
        </row>
        <row r="10439">
          <cell r="C10439" t="str">
            <v>李奕澔</v>
          </cell>
          <cell r="J10439">
            <v>46083</v>
          </cell>
          <cell r="K10439">
            <v>8</v>
          </cell>
        </row>
        <row r="10440">
          <cell r="C10440" t="str">
            <v>李奕澔</v>
          </cell>
          <cell r="J10440">
            <v>46084</v>
          </cell>
          <cell r="K10440">
            <v>8</v>
          </cell>
        </row>
        <row r="10441">
          <cell r="C10441" t="str">
            <v>李奕澔</v>
          </cell>
          <cell r="J10441">
            <v>46085</v>
          </cell>
          <cell r="K10441">
            <v>4</v>
          </cell>
        </row>
        <row r="10442">
          <cell r="C10442" t="str">
            <v>李奕澔</v>
          </cell>
          <cell r="J10442">
            <v>46085</v>
          </cell>
          <cell r="K10442">
            <v>4</v>
          </cell>
        </row>
        <row r="10443">
          <cell r="C10443" t="str">
            <v>李奕澔</v>
          </cell>
          <cell r="J10443">
            <v>46086</v>
          </cell>
          <cell r="K10443">
            <v>6</v>
          </cell>
        </row>
        <row r="10444">
          <cell r="C10444" t="str">
            <v>李奕澔</v>
          </cell>
          <cell r="F10444" t="str">
            <v>D260102R1</v>
          </cell>
          <cell r="J10444">
            <v>46086</v>
          </cell>
          <cell r="K10444">
            <v>2</v>
          </cell>
        </row>
        <row r="10445">
          <cell r="C10445" t="str">
            <v>李奕澔</v>
          </cell>
          <cell r="J10445">
            <v>46087</v>
          </cell>
          <cell r="K10445">
            <v>8</v>
          </cell>
        </row>
        <row r="10446">
          <cell r="C10446" t="str">
            <v>李奕澔</v>
          </cell>
          <cell r="J10446">
            <v>46090</v>
          </cell>
          <cell r="K10446">
            <v>8</v>
          </cell>
        </row>
        <row r="10447">
          <cell r="C10447" t="str">
            <v>李奕澔</v>
          </cell>
          <cell r="J10447">
            <v>46091</v>
          </cell>
          <cell r="K10447">
            <v>8</v>
          </cell>
        </row>
        <row r="10448">
          <cell r="C10448" t="str">
            <v>李奕澔</v>
          </cell>
          <cell r="J10448">
            <v>46092</v>
          </cell>
          <cell r="K10448">
            <v>1.5</v>
          </cell>
        </row>
        <row r="10449">
          <cell r="C10449" t="str">
            <v>李奕澔</v>
          </cell>
          <cell r="J10449">
            <v>46092</v>
          </cell>
          <cell r="K10449">
            <v>6.5</v>
          </cell>
        </row>
        <row r="10450">
          <cell r="C10450" t="str">
            <v>李奕澔</v>
          </cell>
          <cell r="J10450">
            <v>46093</v>
          </cell>
          <cell r="K10450">
            <v>8</v>
          </cell>
        </row>
        <row r="10451">
          <cell r="C10451" t="str">
            <v>李奕澔</v>
          </cell>
          <cell r="J10451">
            <v>46094</v>
          </cell>
          <cell r="K10451">
            <v>8</v>
          </cell>
        </row>
        <row r="10452">
          <cell r="C10452" t="str">
            <v>李奕澔</v>
          </cell>
          <cell r="J10452">
            <v>46097</v>
          </cell>
          <cell r="K10452">
            <v>8</v>
          </cell>
        </row>
        <row r="10453">
          <cell r="C10453" t="str">
            <v>李奕澔</v>
          </cell>
          <cell r="J10453">
            <v>46098</v>
          </cell>
          <cell r="K10453">
            <v>8</v>
          </cell>
        </row>
        <row r="10454">
          <cell r="C10454" t="str">
            <v>李奕澔</v>
          </cell>
          <cell r="J10454">
            <v>46099</v>
          </cell>
          <cell r="K10454">
            <v>1.5</v>
          </cell>
        </row>
        <row r="10455">
          <cell r="C10455" t="str">
            <v>李奕澔</v>
          </cell>
          <cell r="J10455">
            <v>46099</v>
          </cell>
          <cell r="K10455">
            <v>6.5</v>
          </cell>
        </row>
        <row r="10456">
          <cell r="C10456" t="str">
            <v>李奕澔</v>
          </cell>
          <cell r="J10456">
            <v>46100</v>
          </cell>
          <cell r="K10456">
            <v>8</v>
          </cell>
        </row>
        <row r="10457">
          <cell r="C10457" t="str">
            <v>李奕澔</v>
          </cell>
          <cell r="F10457" t="str">
            <v>D260102R1</v>
          </cell>
          <cell r="J10457">
            <v>46101</v>
          </cell>
          <cell r="K10457">
            <v>4</v>
          </cell>
        </row>
        <row r="10458">
          <cell r="C10458" t="str">
            <v>李奕澔</v>
          </cell>
          <cell r="J10458">
            <v>46101</v>
          </cell>
          <cell r="K10458">
            <v>4</v>
          </cell>
        </row>
        <row r="10459">
          <cell r="C10459" t="str">
            <v>李奕澔</v>
          </cell>
          <cell r="J10459">
            <v>46104</v>
          </cell>
          <cell r="K10459">
            <v>8</v>
          </cell>
        </row>
        <row r="10460">
          <cell r="C10460" t="str">
            <v>李奕澔</v>
          </cell>
          <cell r="J10460">
            <v>46105</v>
          </cell>
          <cell r="K10460">
            <v>8</v>
          </cell>
        </row>
        <row r="10461">
          <cell r="C10461" t="str">
            <v>李奕澔</v>
          </cell>
          <cell r="J10461">
            <v>46106</v>
          </cell>
          <cell r="K10461">
            <v>1</v>
          </cell>
        </row>
        <row r="10462">
          <cell r="C10462" t="str">
            <v>李奕澔</v>
          </cell>
          <cell r="J10462">
            <v>46106</v>
          </cell>
          <cell r="K10462">
            <v>4</v>
          </cell>
        </row>
        <row r="10463">
          <cell r="C10463" t="str">
            <v>李奕澔</v>
          </cell>
          <cell r="F10463" t="str">
            <v>D260102R1</v>
          </cell>
          <cell r="J10463">
            <v>46106</v>
          </cell>
          <cell r="K10463">
            <v>3</v>
          </cell>
        </row>
        <row r="10464">
          <cell r="C10464" t="str">
            <v>李奕澔</v>
          </cell>
          <cell r="F10464" t="str">
            <v>D260102R1</v>
          </cell>
          <cell r="J10464">
            <v>46107</v>
          </cell>
          <cell r="K10464">
            <v>8</v>
          </cell>
        </row>
        <row r="10465">
          <cell r="C10465" t="str">
            <v>李奕澔</v>
          </cell>
          <cell r="J10465">
            <v>46108</v>
          </cell>
          <cell r="K10465">
            <v>1</v>
          </cell>
        </row>
        <row r="10466">
          <cell r="C10466" t="str">
            <v>李奕澔</v>
          </cell>
          <cell r="F10466" t="str">
            <v>D260102R1</v>
          </cell>
          <cell r="J10466">
            <v>46108</v>
          </cell>
          <cell r="K10466">
            <v>7</v>
          </cell>
        </row>
        <row r="10467">
          <cell r="C10467" t="str">
            <v>李奕澔</v>
          </cell>
          <cell r="F10467" t="str">
            <v>D260102R1</v>
          </cell>
          <cell r="J10467">
            <v>46111</v>
          </cell>
          <cell r="K10467">
            <v>8</v>
          </cell>
        </row>
        <row r="10468">
          <cell r="C10468" t="str">
            <v>李奕澔</v>
          </cell>
          <cell r="J10468">
            <v>46112</v>
          </cell>
          <cell r="K10468">
            <v>8</v>
          </cell>
        </row>
        <row r="10469">
          <cell r="C10469" t="str">
            <v>李奕澔</v>
          </cell>
          <cell r="J10469">
            <v>46113</v>
          </cell>
          <cell r="K10469">
            <v>2</v>
          </cell>
        </row>
        <row r="10470">
          <cell r="C10470" t="str">
            <v>李奕澔</v>
          </cell>
          <cell r="J10470">
            <v>46113</v>
          </cell>
          <cell r="K10470">
            <v>6</v>
          </cell>
        </row>
        <row r="10471">
          <cell r="C10471" t="str">
            <v>李奕澔</v>
          </cell>
          <cell r="F10471" t="str">
            <v>D260102R1</v>
          </cell>
          <cell r="J10471">
            <v>46114</v>
          </cell>
          <cell r="K10471">
            <v>5</v>
          </cell>
        </row>
        <row r="10472">
          <cell r="C10472" t="str">
            <v>李奕澔</v>
          </cell>
          <cell r="J10472">
            <v>46114</v>
          </cell>
          <cell r="K10472">
            <v>3</v>
          </cell>
        </row>
        <row r="10473">
          <cell r="C10473" t="str">
            <v>李奕澔</v>
          </cell>
          <cell r="F10473" t="str">
            <v>D260102R1</v>
          </cell>
          <cell r="J10473">
            <v>46119</v>
          </cell>
          <cell r="K10473">
            <v>8</v>
          </cell>
        </row>
        <row r="10474">
          <cell r="C10474" t="str">
            <v>李奕澔</v>
          </cell>
          <cell r="J10474">
            <v>46120</v>
          </cell>
          <cell r="K10474">
            <v>3</v>
          </cell>
        </row>
        <row r="10475">
          <cell r="C10475" t="str">
            <v>李奕澔</v>
          </cell>
          <cell r="J10475">
            <v>46120</v>
          </cell>
          <cell r="K10475">
            <v>2</v>
          </cell>
        </row>
        <row r="10476">
          <cell r="C10476" t="str">
            <v>李奕澔</v>
          </cell>
          <cell r="F10476" t="str">
            <v>D260102R1</v>
          </cell>
          <cell r="J10476">
            <v>46120</v>
          </cell>
          <cell r="K10476">
            <v>3</v>
          </cell>
        </row>
        <row r="10477">
          <cell r="C10477" t="str">
            <v>李奕澔</v>
          </cell>
          <cell r="F10477" t="str">
            <v>D260102R1</v>
          </cell>
          <cell r="J10477">
            <v>46121</v>
          </cell>
          <cell r="K10477">
            <v>8</v>
          </cell>
        </row>
        <row r="10478">
          <cell r="C10478" t="str">
            <v>李奕澔</v>
          </cell>
          <cell r="F10478" t="str">
            <v>D260102R1</v>
          </cell>
          <cell r="J10478">
            <v>46122</v>
          </cell>
          <cell r="K10478">
            <v>8</v>
          </cell>
        </row>
        <row r="10479">
          <cell r="C10479" t="str">
            <v>李奕澔</v>
          </cell>
          <cell r="J10479">
            <v>46125</v>
          </cell>
          <cell r="K10479">
            <v>1</v>
          </cell>
        </row>
        <row r="10480">
          <cell r="C10480" t="str">
            <v>李奕澔</v>
          </cell>
          <cell r="F10480" t="str">
            <v>D260102R1</v>
          </cell>
          <cell r="J10480">
            <v>46125</v>
          </cell>
          <cell r="K10480">
            <v>7</v>
          </cell>
        </row>
        <row r="10481">
          <cell r="C10481" t="str">
            <v>李奕澔</v>
          </cell>
          <cell r="J10481">
            <v>46126</v>
          </cell>
          <cell r="K10481">
            <v>2</v>
          </cell>
        </row>
        <row r="10482">
          <cell r="C10482" t="str">
            <v>李奕澔</v>
          </cell>
          <cell r="F10482" t="str">
            <v>D260102R1</v>
          </cell>
          <cell r="J10482">
            <v>46126</v>
          </cell>
          <cell r="K10482">
            <v>6</v>
          </cell>
        </row>
        <row r="10483">
          <cell r="C10483" t="str">
            <v>李奕澔</v>
          </cell>
          <cell r="J10483">
            <v>46127</v>
          </cell>
          <cell r="K10483">
            <v>2</v>
          </cell>
        </row>
        <row r="10484">
          <cell r="C10484" t="str">
            <v>李奕澔</v>
          </cell>
          <cell r="F10484" t="str">
            <v>D260102R1</v>
          </cell>
          <cell r="J10484">
            <v>46127</v>
          </cell>
          <cell r="K10484">
            <v>3</v>
          </cell>
        </row>
        <row r="10485">
          <cell r="C10485" t="str">
            <v>李奕澔</v>
          </cell>
          <cell r="J10485">
            <v>46127</v>
          </cell>
          <cell r="K10485">
            <v>3</v>
          </cell>
        </row>
        <row r="10486">
          <cell r="C10486" t="str">
            <v>李奕澔</v>
          </cell>
          <cell r="F10486" t="str">
            <v>D260102R1</v>
          </cell>
          <cell r="J10486">
            <v>46128</v>
          </cell>
          <cell r="K10486">
            <v>3.5</v>
          </cell>
        </row>
        <row r="10487">
          <cell r="C10487" t="str">
            <v>李奕澔</v>
          </cell>
          <cell r="J10487">
            <v>46128</v>
          </cell>
          <cell r="K10487">
            <v>1.5</v>
          </cell>
        </row>
        <row r="10488">
          <cell r="C10488" t="str">
            <v>李奕澔</v>
          </cell>
          <cell r="J10488">
            <v>46128</v>
          </cell>
          <cell r="K10488">
            <v>3</v>
          </cell>
        </row>
        <row r="10489">
          <cell r="C10489" t="str">
            <v>李奕澔</v>
          </cell>
          <cell r="J10489">
            <v>46129</v>
          </cell>
          <cell r="K10489">
            <v>4</v>
          </cell>
        </row>
        <row r="10490">
          <cell r="C10490" t="str">
            <v>李奕澔</v>
          </cell>
          <cell r="F10490" t="str">
            <v>D260102R1</v>
          </cell>
          <cell r="J10490">
            <v>46129</v>
          </cell>
          <cell r="K10490">
            <v>4</v>
          </cell>
        </row>
        <row r="10491">
          <cell r="C10491" t="str">
            <v>李奕澔</v>
          </cell>
          <cell r="F10491" t="str">
            <v>D260102R1</v>
          </cell>
          <cell r="J10491">
            <v>46132</v>
          </cell>
          <cell r="K10491">
            <v>8</v>
          </cell>
        </row>
        <row r="10492">
          <cell r="C10492" t="str">
            <v>李奕澔</v>
          </cell>
          <cell r="J10492">
            <v>46133</v>
          </cell>
          <cell r="K10492">
            <v>8</v>
          </cell>
        </row>
        <row r="10493">
          <cell r="C10493" t="str">
            <v>李奕澔</v>
          </cell>
          <cell r="J10493">
            <v>46134</v>
          </cell>
          <cell r="K10493">
            <v>1.5</v>
          </cell>
        </row>
        <row r="10494">
          <cell r="C10494" t="str">
            <v>李奕澔</v>
          </cell>
          <cell r="F10494" t="str">
            <v>D260102R1</v>
          </cell>
          <cell r="J10494">
            <v>46134</v>
          </cell>
          <cell r="K10494">
            <v>1.5</v>
          </cell>
        </row>
        <row r="10495">
          <cell r="C10495" t="str">
            <v>李奕澔</v>
          </cell>
          <cell r="J10495">
            <v>46134</v>
          </cell>
          <cell r="K10495">
            <v>5</v>
          </cell>
        </row>
        <row r="10496">
          <cell r="C10496" t="str">
            <v>李奕澔</v>
          </cell>
          <cell r="F10496" t="str">
            <v>D260102R1</v>
          </cell>
          <cell r="J10496">
            <v>46135</v>
          </cell>
          <cell r="K10496">
            <v>5</v>
          </cell>
        </row>
        <row r="10497">
          <cell r="C10497" t="str">
            <v>李奕澔</v>
          </cell>
          <cell r="F10497" t="str">
            <v>D260102R1</v>
          </cell>
          <cell r="J10497">
            <v>46135</v>
          </cell>
          <cell r="K10497">
            <v>5</v>
          </cell>
        </row>
        <row r="10498">
          <cell r="C10498" t="str">
            <v>李奕澔</v>
          </cell>
          <cell r="J10498">
            <v>46135</v>
          </cell>
          <cell r="K10498">
            <v>3</v>
          </cell>
        </row>
        <row r="10499">
          <cell r="C10499" t="str">
            <v>李奕澔</v>
          </cell>
          <cell r="J10499">
            <v>46136</v>
          </cell>
          <cell r="K10499">
            <v>3</v>
          </cell>
        </row>
        <row r="10500">
          <cell r="C10500" t="str">
            <v>李奕澔</v>
          </cell>
          <cell r="F10500" t="str">
            <v>D260102R1</v>
          </cell>
          <cell r="J10500">
            <v>46139</v>
          </cell>
          <cell r="K10500">
            <v>6</v>
          </cell>
        </row>
        <row r="10501">
          <cell r="C10501" t="str">
            <v>李奕澔</v>
          </cell>
          <cell r="J10501">
            <v>46139</v>
          </cell>
          <cell r="K10501">
            <v>2</v>
          </cell>
        </row>
        <row r="10502">
          <cell r="C10502" t="str">
            <v>李奕澔</v>
          </cell>
          <cell r="F10502" t="str">
            <v>D260102R1</v>
          </cell>
          <cell r="J10502">
            <v>46140</v>
          </cell>
          <cell r="K10502">
            <v>6</v>
          </cell>
        </row>
        <row r="10503">
          <cell r="C10503" t="str">
            <v>李奕澔</v>
          </cell>
          <cell r="J10503">
            <v>46140</v>
          </cell>
          <cell r="K10503">
            <v>2</v>
          </cell>
        </row>
        <row r="10504">
          <cell r="C10504" t="str">
            <v>李奕澔</v>
          </cell>
          <cell r="F10504" t="str">
            <v>D260102R1</v>
          </cell>
          <cell r="J10504">
            <v>46141</v>
          </cell>
          <cell r="K10504">
            <v>4</v>
          </cell>
        </row>
        <row r="10505">
          <cell r="C10505" t="str">
            <v>李奕澔</v>
          </cell>
          <cell r="J10505">
            <v>46146</v>
          </cell>
          <cell r="K10505">
            <v>8</v>
          </cell>
        </row>
        <row r="10506">
          <cell r="C10506" t="str">
            <v>李奕澔</v>
          </cell>
          <cell r="J10506">
            <v>46147</v>
          </cell>
          <cell r="K10506">
            <v>8</v>
          </cell>
        </row>
        <row r="10507">
          <cell r="C10507" t="str">
            <v>李奕澔</v>
          </cell>
          <cell r="J10507">
            <v>46148</v>
          </cell>
          <cell r="K10507">
            <v>8</v>
          </cell>
        </row>
        <row r="10508">
          <cell r="C10508" t="str">
            <v>李奕澔</v>
          </cell>
          <cell r="J10508">
            <v>46149</v>
          </cell>
          <cell r="K10508">
            <v>8</v>
          </cell>
        </row>
        <row r="10509">
          <cell r="C10509" t="str">
            <v>李奕澔</v>
          </cell>
          <cell r="J10509">
            <v>46150</v>
          </cell>
          <cell r="K10509">
            <v>8</v>
          </cell>
        </row>
        <row r="10510">
          <cell r="C10510" t="str">
            <v>李奕澔</v>
          </cell>
          <cell r="J10510">
            <v>46153</v>
          </cell>
          <cell r="K10510">
            <v>3</v>
          </cell>
        </row>
        <row r="10511">
          <cell r="C10511" t="str">
            <v>李奕澔</v>
          </cell>
          <cell r="J10511">
            <v>46153</v>
          </cell>
          <cell r="K10511">
            <v>5</v>
          </cell>
        </row>
        <row r="10512">
          <cell r="C10512" t="str">
            <v>李奕澔</v>
          </cell>
          <cell r="J10512">
            <v>46154</v>
          </cell>
          <cell r="K10512">
            <v>6</v>
          </cell>
        </row>
        <row r="10513">
          <cell r="C10513" t="str">
            <v>李奕澔</v>
          </cell>
          <cell r="J10513">
            <v>46154</v>
          </cell>
          <cell r="K10513">
            <v>2</v>
          </cell>
        </row>
        <row r="10514">
          <cell r="C10514" t="str">
            <v>李奕澔</v>
          </cell>
          <cell r="J10514">
            <v>46155</v>
          </cell>
          <cell r="K10514">
            <v>1</v>
          </cell>
        </row>
        <row r="10515">
          <cell r="C10515" t="str">
            <v>李奕澔</v>
          </cell>
          <cell r="J10515">
            <v>46155</v>
          </cell>
          <cell r="K10515">
            <v>1</v>
          </cell>
        </row>
        <row r="10516">
          <cell r="C10516" t="str">
            <v>李奕澔</v>
          </cell>
          <cell r="J10516">
            <v>46155</v>
          </cell>
          <cell r="K10516">
            <v>1</v>
          </cell>
        </row>
        <row r="10517">
          <cell r="C10517" t="str">
            <v>李奕澔</v>
          </cell>
          <cell r="J10517">
            <v>46155</v>
          </cell>
          <cell r="K10517">
            <v>6</v>
          </cell>
        </row>
        <row r="10518">
          <cell r="C10518" t="str">
            <v>李奕澔</v>
          </cell>
          <cell r="J10518">
            <v>46156</v>
          </cell>
          <cell r="K10518">
            <v>3</v>
          </cell>
        </row>
        <row r="10519">
          <cell r="C10519" t="str">
            <v>李奕澔</v>
          </cell>
          <cell r="J10519">
            <v>46156</v>
          </cell>
          <cell r="K10519">
            <v>3</v>
          </cell>
        </row>
        <row r="10520">
          <cell r="C10520" t="str">
            <v>李奕澔</v>
          </cell>
          <cell r="J10520">
            <v>46156</v>
          </cell>
          <cell r="K10520">
            <v>2</v>
          </cell>
        </row>
        <row r="10521">
          <cell r="C10521" t="str">
            <v>李奕澔</v>
          </cell>
          <cell r="J10521">
            <v>46157</v>
          </cell>
          <cell r="K10521">
            <v>2</v>
          </cell>
        </row>
        <row r="10522">
          <cell r="C10522" t="str">
            <v>李奕澔</v>
          </cell>
          <cell r="J10522">
            <v>46157</v>
          </cell>
          <cell r="K10522">
            <v>4</v>
          </cell>
        </row>
        <row r="10523">
          <cell r="C10523" t="str">
            <v>李奕澔</v>
          </cell>
          <cell r="F10523" t="str">
            <v>D260402R1</v>
          </cell>
          <cell r="J10523">
            <v>46157</v>
          </cell>
          <cell r="K10523">
            <v>2</v>
          </cell>
        </row>
        <row r="10524">
          <cell r="C10524" t="str">
            <v>李奕澔</v>
          </cell>
          <cell r="J10524">
            <v>46160</v>
          </cell>
          <cell r="K10524">
            <v>5</v>
          </cell>
        </row>
        <row r="10525">
          <cell r="C10525" t="str">
            <v>李奕澔</v>
          </cell>
          <cell r="J10525">
            <v>46160</v>
          </cell>
          <cell r="K10525">
            <v>3</v>
          </cell>
        </row>
        <row r="10526">
          <cell r="C10526" t="str">
            <v>李奕澔</v>
          </cell>
          <cell r="J10526">
            <v>46161</v>
          </cell>
          <cell r="K10526">
            <v>5</v>
          </cell>
        </row>
        <row r="10527">
          <cell r="C10527" t="str">
            <v>李奕澔</v>
          </cell>
          <cell r="F10527" t="str">
            <v>D260402R1</v>
          </cell>
          <cell r="J10527">
            <v>46161</v>
          </cell>
          <cell r="K10527">
            <v>3</v>
          </cell>
        </row>
        <row r="10528">
          <cell r="C10528" t="str">
            <v>李奕澔</v>
          </cell>
          <cell r="J10528">
            <v>46162</v>
          </cell>
          <cell r="K10528">
            <v>6</v>
          </cell>
        </row>
        <row r="10529">
          <cell r="C10529" t="str">
            <v>李奕澔</v>
          </cell>
          <cell r="J10529">
            <v>46162</v>
          </cell>
          <cell r="K10529">
            <v>2</v>
          </cell>
        </row>
        <row r="10530">
          <cell r="C10530" t="str">
            <v>蕭金椿</v>
          </cell>
          <cell r="F10530" t="str">
            <v>K240101R1</v>
          </cell>
          <cell r="J10530">
            <v>45471</v>
          </cell>
          <cell r="K10530">
            <v>42.5</v>
          </cell>
        </row>
        <row r="10531">
          <cell r="C10531" t="str">
            <v>蕭金椿</v>
          </cell>
          <cell r="F10531" t="str">
            <v>M230606R1</v>
          </cell>
          <cell r="J10531">
            <v>45471</v>
          </cell>
          <cell r="K10531">
            <v>51</v>
          </cell>
        </row>
        <row r="10532">
          <cell r="C10532" t="str">
            <v>蕭金椿</v>
          </cell>
          <cell r="J10532">
            <v>45471</v>
          </cell>
          <cell r="K10532">
            <v>76.5</v>
          </cell>
        </row>
        <row r="10533">
          <cell r="C10533" t="str">
            <v>蕭金椿</v>
          </cell>
          <cell r="F10533" t="str">
            <v>M230901R1</v>
          </cell>
          <cell r="J10533">
            <v>45504</v>
          </cell>
          <cell r="K10533">
            <v>35.9</v>
          </cell>
        </row>
        <row r="10534">
          <cell r="C10534" t="str">
            <v>蕭金椿</v>
          </cell>
          <cell r="J10534">
            <v>45504</v>
          </cell>
          <cell r="K10534">
            <v>143.4</v>
          </cell>
        </row>
        <row r="10535">
          <cell r="C10535" t="str">
            <v>蕭金椿</v>
          </cell>
          <cell r="F10535" t="str">
            <v>D240101R1</v>
          </cell>
          <cell r="J10535">
            <v>45534</v>
          </cell>
          <cell r="K10535">
            <v>29.9</v>
          </cell>
        </row>
        <row r="10536">
          <cell r="C10536" t="str">
            <v>蕭金椿</v>
          </cell>
          <cell r="J10536">
            <v>45534</v>
          </cell>
          <cell r="K10536">
            <v>159.4</v>
          </cell>
        </row>
        <row r="10537">
          <cell r="C10537" t="str">
            <v>蕭金椿</v>
          </cell>
          <cell r="F10537" t="str">
            <v>M240201R1</v>
          </cell>
          <cell r="J10537">
            <v>45534</v>
          </cell>
          <cell r="K10537">
            <v>10</v>
          </cell>
        </row>
        <row r="10538">
          <cell r="C10538" t="str">
            <v>蕭金椿</v>
          </cell>
          <cell r="J10538">
            <v>45562</v>
          </cell>
          <cell r="K10538">
            <v>126.2</v>
          </cell>
        </row>
        <row r="10539">
          <cell r="C10539" t="str">
            <v>蕭金椿</v>
          </cell>
          <cell r="F10539" t="str">
            <v>M240704R1</v>
          </cell>
          <cell r="J10539">
            <v>45562</v>
          </cell>
          <cell r="K10539">
            <v>54.1</v>
          </cell>
        </row>
        <row r="10540">
          <cell r="C10540" t="str">
            <v>蕭金椿</v>
          </cell>
          <cell r="J10540">
            <v>45596</v>
          </cell>
          <cell r="K10540">
            <v>34.1</v>
          </cell>
        </row>
        <row r="10541">
          <cell r="C10541" t="str">
            <v>蕭金椿</v>
          </cell>
          <cell r="F10541" t="str">
            <v>M241001R1</v>
          </cell>
          <cell r="J10541">
            <v>45596</v>
          </cell>
          <cell r="K10541">
            <v>3.2</v>
          </cell>
        </row>
        <row r="10542">
          <cell r="C10542" t="str">
            <v>蕭金椿</v>
          </cell>
          <cell r="J10542">
            <v>45625</v>
          </cell>
          <cell r="K10542">
            <v>170.2</v>
          </cell>
        </row>
        <row r="10543">
          <cell r="C10543" t="str">
            <v>蕭金椿</v>
          </cell>
          <cell r="F10543" t="str">
            <v>M240201R1</v>
          </cell>
          <cell r="J10543">
            <v>45625</v>
          </cell>
          <cell r="K10543">
            <v>3.7</v>
          </cell>
        </row>
        <row r="10544">
          <cell r="C10544" t="str">
            <v>蕭金椿</v>
          </cell>
          <cell r="F10544" t="str">
            <v>D240101R1</v>
          </cell>
          <cell r="J10544">
            <v>45625</v>
          </cell>
          <cell r="K10544">
            <v>9.1999999999999993</v>
          </cell>
        </row>
        <row r="10545">
          <cell r="C10545" t="str">
            <v>蕭金椿</v>
          </cell>
          <cell r="F10545" t="str">
            <v>K241201R1</v>
          </cell>
          <cell r="J10545">
            <v>45657</v>
          </cell>
          <cell r="K10545">
            <v>46.1</v>
          </cell>
        </row>
        <row r="10546">
          <cell r="C10546" t="str">
            <v>蕭金椿</v>
          </cell>
          <cell r="J10546">
            <v>45657</v>
          </cell>
          <cell r="K10546">
            <v>129</v>
          </cell>
        </row>
        <row r="10547">
          <cell r="C10547" t="str">
            <v>蕭金椿</v>
          </cell>
          <cell r="F10547" t="str">
            <v>F200201S1</v>
          </cell>
          <cell r="J10547">
            <v>45657</v>
          </cell>
          <cell r="K10547">
            <v>9.1999999999999993</v>
          </cell>
        </row>
        <row r="10548">
          <cell r="C10548" t="str">
            <v>蕭金椿</v>
          </cell>
          <cell r="F10548" t="str">
            <v>M240704R1</v>
          </cell>
          <cell r="J10548">
            <v>45681</v>
          </cell>
          <cell r="K10548">
            <v>30.9</v>
          </cell>
        </row>
        <row r="10549">
          <cell r="C10549" t="str">
            <v>蕭金椿</v>
          </cell>
          <cell r="J10549">
            <v>45681</v>
          </cell>
          <cell r="K10549">
            <v>123.4</v>
          </cell>
        </row>
        <row r="10550">
          <cell r="C10550" t="str">
            <v>蕭金椿</v>
          </cell>
          <cell r="J10550">
            <v>45715</v>
          </cell>
          <cell r="K10550">
            <v>102.5</v>
          </cell>
        </row>
        <row r="10551">
          <cell r="C10551" t="str">
            <v>蕭金椿</v>
          </cell>
          <cell r="F10551" t="str">
            <v>F200201S1</v>
          </cell>
          <cell r="J10551">
            <v>45715</v>
          </cell>
          <cell r="K10551">
            <v>46.6</v>
          </cell>
        </row>
        <row r="10552">
          <cell r="C10552" t="str">
            <v>蕭金椿</v>
          </cell>
          <cell r="F10552" t="str">
            <v>K241201R1</v>
          </cell>
          <cell r="J10552">
            <v>45715</v>
          </cell>
          <cell r="K10552">
            <v>37.299999999999997</v>
          </cell>
        </row>
        <row r="10553">
          <cell r="C10553" t="str">
            <v>蕭金椿</v>
          </cell>
          <cell r="J10553">
            <v>45747</v>
          </cell>
          <cell r="K10553">
            <v>91.7</v>
          </cell>
        </row>
        <row r="10554">
          <cell r="C10554" t="str">
            <v>蕭金椿</v>
          </cell>
          <cell r="F10554" t="str">
            <v>K241201R1</v>
          </cell>
          <cell r="J10554">
            <v>45747</v>
          </cell>
          <cell r="K10554">
            <v>91.7</v>
          </cell>
        </row>
        <row r="10555">
          <cell r="C10555" t="str">
            <v>蕭金椿</v>
          </cell>
          <cell r="J10555">
            <v>45777</v>
          </cell>
          <cell r="K10555">
            <v>91.5</v>
          </cell>
        </row>
        <row r="10556">
          <cell r="C10556" t="str">
            <v>蕭金椿</v>
          </cell>
          <cell r="J10556">
            <v>45777</v>
          </cell>
          <cell r="K10556">
            <v>9.1999999999999993</v>
          </cell>
        </row>
        <row r="10557">
          <cell r="C10557" t="str">
            <v>蕭金椿</v>
          </cell>
          <cell r="J10557">
            <v>45777</v>
          </cell>
          <cell r="K10557">
            <v>18.3</v>
          </cell>
        </row>
        <row r="10558">
          <cell r="C10558" t="str">
            <v>蕭金椿</v>
          </cell>
          <cell r="J10558">
            <v>45777</v>
          </cell>
          <cell r="K10558">
            <v>9.1999999999999993</v>
          </cell>
        </row>
        <row r="10559">
          <cell r="C10559" t="str">
            <v>蕭金椿</v>
          </cell>
          <cell r="J10559">
            <v>45777</v>
          </cell>
          <cell r="K10559">
            <v>54.9</v>
          </cell>
        </row>
        <row r="10560">
          <cell r="C10560" t="str">
            <v>蕭金椿</v>
          </cell>
          <cell r="F10560" t="str">
            <v>M250301R1</v>
          </cell>
          <cell r="J10560">
            <v>45806</v>
          </cell>
          <cell r="K10560">
            <v>9.1999999999999993</v>
          </cell>
        </row>
        <row r="10561">
          <cell r="C10561" t="str">
            <v>蕭金椿</v>
          </cell>
          <cell r="F10561" t="str">
            <v>M240201R1</v>
          </cell>
          <cell r="J10561">
            <v>45806</v>
          </cell>
          <cell r="K10561">
            <v>18.399999999999999</v>
          </cell>
        </row>
        <row r="10562">
          <cell r="C10562" t="str">
            <v>蕭金椿</v>
          </cell>
          <cell r="J10562">
            <v>45806</v>
          </cell>
          <cell r="K10562">
            <v>156.4</v>
          </cell>
        </row>
        <row r="10563">
          <cell r="C10563" t="str">
            <v>蕭金椿</v>
          </cell>
          <cell r="F10563" t="str">
            <v>M250301R1</v>
          </cell>
          <cell r="J10563">
            <v>45838</v>
          </cell>
          <cell r="K10563">
            <v>18.3</v>
          </cell>
        </row>
        <row r="10564">
          <cell r="C10564" t="str">
            <v>蕭金椿</v>
          </cell>
          <cell r="J10564">
            <v>45838</v>
          </cell>
          <cell r="K10564">
            <v>165</v>
          </cell>
        </row>
        <row r="10565">
          <cell r="C10565" t="str">
            <v>蕭金椿</v>
          </cell>
          <cell r="F10565" t="str">
            <v>M250301R1</v>
          </cell>
          <cell r="J10565">
            <v>45869</v>
          </cell>
          <cell r="K10565">
            <v>10.6</v>
          </cell>
        </row>
        <row r="10566">
          <cell r="C10566" t="str">
            <v>蕭金椿</v>
          </cell>
          <cell r="J10566">
            <v>45869</v>
          </cell>
          <cell r="K10566">
            <v>200.7</v>
          </cell>
        </row>
        <row r="10567">
          <cell r="C10567" t="str">
            <v>蕭金椿</v>
          </cell>
          <cell r="F10567" t="str">
            <v>K200501R1</v>
          </cell>
          <cell r="J10567">
            <v>45873</v>
          </cell>
          <cell r="K10567">
            <v>8</v>
          </cell>
        </row>
        <row r="10568">
          <cell r="C10568" t="str">
            <v>蕭金椿</v>
          </cell>
          <cell r="F10568" t="str">
            <v>K200501R1</v>
          </cell>
          <cell r="J10568">
            <v>45874</v>
          </cell>
          <cell r="K10568">
            <v>8</v>
          </cell>
        </row>
        <row r="10569">
          <cell r="C10569" t="str">
            <v>蕭金椿</v>
          </cell>
          <cell r="F10569" t="str">
            <v>K200501R1</v>
          </cell>
          <cell r="J10569">
            <v>45875</v>
          </cell>
          <cell r="K10569">
            <v>8</v>
          </cell>
        </row>
        <row r="10570">
          <cell r="C10570" t="str">
            <v>蕭金椿</v>
          </cell>
          <cell r="F10570" t="str">
            <v>K200501R1</v>
          </cell>
          <cell r="J10570">
            <v>45876</v>
          </cell>
          <cell r="K10570">
            <v>8</v>
          </cell>
        </row>
        <row r="10571">
          <cell r="C10571" t="str">
            <v>蕭金椿</v>
          </cell>
          <cell r="F10571" t="str">
            <v>K200501R1</v>
          </cell>
          <cell r="J10571">
            <v>45877</v>
          </cell>
          <cell r="K10571">
            <v>8</v>
          </cell>
        </row>
        <row r="10572">
          <cell r="C10572" t="str">
            <v>蕭金椿</v>
          </cell>
          <cell r="F10572" t="str">
            <v>K200501R1</v>
          </cell>
          <cell r="J10572">
            <v>45880</v>
          </cell>
          <cell r="K10572">
            <v>8</v>
          </cell>
        </row>
        <row r="10573">
          <cell r="C10573" t="str">
            <v>蕭金椿</v>
          </cell>
          <cell r="F10573" t="str">
            <v>K200501R1</v>
          </cell>
          <cell r="J10573">
            <v>45881</v>
          </cell>
          <cell r="K10573">
            <v>8</v>
          </cell>
        </row>
        <row r="10574">
          <cell r="C10574" t="str">
            <v>蕭金椿</v>
          </cell>
          <cell r="F10574" t="str">
            <v>K200501R1</v>
          </cell>
          <cell r="J10574">
            <v>45882</v>
          </cell>
          <cell r="K10574">
            <v>8</v>
          </cell>
        </row>
        <row r="10575">
          <cell r="C10575" t="str">
            <v>蕭金椿</v>
          </cell>
          <cell r="F10575" t="str">
            <v>K200501R1</v>
          </cell>
          <cell r="J10575">
            <v>45883</v>
          </cell>
          <cell r="K10575">
            <v>8</v>
          </cell>
        </row>
        <row r="10576">
          <cell r="C10576" t="str">
            <v>蕭金椿</v>
          </cell>
          <cell r="F10576" t="str">
            <v>M240201R1</v>
          </cell>
          <cell r="J10576">
            <v>45884</v>
          </cell>
          <cell r="K10576">
            <v>8</v>
          </cell>
        </row>
        <row r="10577">
          <cell r="C10577" t="str">
            <v>蕭金椿</v>
          </cell>
          <cell r="J10577">
            <v>45887</v>
          </cell>
          <cell r="K10577">
            <v>3</v>
          </cell>
        </row>
        <row r="10578">
          <cell r="C10578" t="str">
            <v>蕭金椿</v>
          </cell>
          <cell r="F10578" t="str">
            <v>K200501R1</v>
          </cell>
          <cell r="J10578">
            <v>45887</v>
          </cell>
          <cell r="K10578">
            <v>4</v>
          </cell>
        </row>
        <row r="10579">
          <cell r="C10579" t="str">
            <v>蕭金椿</v>
          </cell>
          <cell r="F10579" t="str">
            <v>M240201R1</v>
          </cell>
          <cell r="J10579">
            <v>45887</v>
          </cell>
          <cell r="K10579">
            <v>2</v>
          </cell>
        </row>
        <row r="10580">
          <cell r="C10580" t="str">
            <v>蕭金椿</v>
          </cell>
          <cell r="J10580">
            <v>45888</v>
          </cell>
          <cell r="K10580">
            <v>6</v>
          </cell>
        </row>
        <row r="10581">
          <cell r="C10581" t="str">
            <v>蕭金椿</v>
          </cell>
          <cell r="F10581" t="str">
            <v>K200501R1</v>
          </cell>
          <cell r="J10581">
            <v>45888</v>
          </cell>
          <cell r="K10581">
            <v>3</v>
          </cell>
        </row>
        <row r="10582">
          <cell r="C10582" t="str">
            <v>蕭金椿</v>
          </cell>
          <cell r="J10582">
            <v>45889</v>
          </cell>
          <cell r="K10582">
            <v>2</v>
          </cell>
        </row>
        <row r="10583">
          <cell r="C10583" t="str">
            <v>蕭金椿</v>
          </cell>
          <cell r="J10583">
            <v>45889</v>
          </cell>
          <cell r="K10583">
            <v>1</v>
          </cell>
        </row>
        <row r="10584">
          <cell r="C10584" t="str">
            <v>蕭金椿</v>
          </cell>
          <cell r="J10584">
            <v>45889</v>
          </cell>
          <cell r="K10584">
            <v>6</v>
          </cell>
        </row>
        <row r="10585">
          <cell r="C10585" t="str">
            <v>蕭金椿</v>
          </cell>
          <cell r="J10585">
            <v>45890</v>
          </cell>
          <cell r="K10585">
            <v>8</v>
          </cell>
        </row>
        <row r="10586">
          <cell r="C10586" t="str">
            <v>蕭金椿</v>
          </cell>
          <cell r="F10586" t="str">
            <v>K200501R1</v>
          </cell>
          <cell r="J10586">
            <v>45891</v>
          </cell>
          <cell r="K10586">
            <v>2</v>
          </cell>
        </row>
        <row r="10587">
          <cell r="C10587" t="str">
            <v>蕭金椿</v>
          </cell>
          <cell r="J10587">
            <v>45891</v>
          </cell>
          <cell r="K10587">
            <v>6</v>
          </cell>
        </row>
        <row r="10588">
          <cell r="C10588" t="str">
            <v>蕭金椿</v>
          </cell>
          <cell r="F10588" t="str">
            <v>K200501R1</v>
          </cell>
          <cell r="J10588">
            <v>45894</v>
          </cell>
          <cell r="K10588">
            <v>3</v>
          </cell>
        </row>
        <row r="10589">
          <cell r="C10589" t="str">
            <v>蕭金椿</v>
          </cell>
          <cell r="F10589" t="str">
            <v>M250301R1</v>
          </cell>
          <cell r="J10589">
            <v>45894</v>
          </cell>
          <cell r="K10589">
            <v>5</v>
          </cell>
        </row>
        <row r="10590">
          <cell r="C10590" t="str">
            <v>蕭金椿</v>
          </cell>
          <cell r="J10590">
            <v>45895</v>
          </cell>
          <cell r="K10590">
            <v>3</v>
          </cell>
        </row>
        <row r="10591">
          <cell r="C10591" t="str">
            <v>蕭金椿</v>
          </cell>
          <cell r="F10591" t="str">
            <v>M250301R1</v>
          </cell>
          <cell r="J10591">
            <v>45895</v>
          </cell>
          <cell r="K10591">
            <v>6</v>
          </cell>
        </row>
        <row r="10592">
          <cell r="C10592" t="str">
            <v>蕭金椿</v>
          </cell>
          <cell r="F10592" t="str">
            <v>K201002R2</v>
          </cell>
          <cell r="J10592">
            <v>45896</v>
          </cell>
          <cell r="K10592">
            <v>2</v>
          </cell>
        </row>
        <row r="10593">
          <cell r="C10593" t="str">
            <v>蕭金椿</v>
          </cell>
          <cell r="J10593">
            <v>45896</v>
          </cell>
          <cell r="K10593">
            <v>1.5</v>
          </cell>
        </row>
        <row r="10594">
          <cell r="C10594" t="str">
            <v>蕭金椿</v>
          </cell>
          <cell r="J10594">
            <v>45896</v>
          </cell>
          <cell r="K10594">
            <v>1</v>
          </cell>
        </row>
        <row r="10595">
          <cell r="C10595" t="str">
            <v>蕭金椿</v>
          </cell>
          <cell r="F10595" t="str">
            <v>M250301R1</v>
          </cell>
          <cell r="J10595">
            <v>45896</v>
          </cell>
          <cell r="K10595">
            <v>4.5</v>
          </cell>
        </row>
        <row r="10596">
          <cell r="C10596" t="str">
            <v>蕭金椿</v>
          </cell>
          <cell r="J10596">
            <v>45897</v>
          </cell>
          <cell r="K10596">
            <v>8</v>
          </cell>
        </row>
        <row r="10597">
          <cell r="C10597" t="str">
            <v>蕭金椿</v>
          </cell>
          <cell r="F10597" t="str">
            <v>K200501R1</v>
          </cell>
          <cell r="J10597">
            <v>45898</v>
          </cell>
          <cell r="K10597">
            <v>3</v>
          </cell>
        </row>
        <row r="10598">
          <cell r="C10598" t="str">
            <v>蕭金椿</v>
          </cell>
          <cell r="F10598" t="str">
            <v>K200501R1</v>
          </cell>
          <cell r="J10598">
            <v>45898</v>
          </cell>
          <cell r="K10598">
            <v>2</v>
          </cell>
        </row>
        <row r="10599">
          <cell r="C10599" t="str">
            <v>蕭金椿</v>
          </cell>
          <cell r="F10599" t="str">
            <v>M250301R1</v>
          </cell>
          <cell r="J10599">
            <v>45898</v>
          </cell>
          <cell r="K10599">
            <v>3</v>
          </cell>
        </row>
        <row r="10600">
          <cell r="C10600" t="str">
            <v>蕭金椿</v>
          </cell>
          <cell r="F10600" t="str">
            <v>K200501R1</v>
          </cell>
          <cell r="J10600">
            <v>45901</v>
          </cell>
          <cell r="K10600">
            <v>8</v>
          </cell>
        </row>
        <row r="10601">
          <cell r="C10601" t="str">
            <v>蕭金椿</v>
          </cell>
          <cell r="J10601">
            <v>45902</v>
          </cell>
          <cell r="K10601">
            <v>1</v>
          </cell>
        </row>
        <row r="10602">
          <cell r="C10602" t="str">
            <v>蕭金椿</v>
          </cell>
          <cell r="F10602" t="str">
            <v>K200501R1</v>
          </cell>
          <cell r="J10602">
            <v>45902</v>
          </cell>
          <cell r="K10602">
            <v>7</v>
          </cell>
        </row>
        <row r="10603">
          <cell r="C10603" t="str">
            <v>蕭金椿</v>
          </cell>
          <cell r="F10603" t="str">
            <v>K200501R1</v>
          </cell>
          <cell r="J10603">
            <v>45903</v>
          </cell>
          <cell r="K10603">
            <v>8</v>
          </cell>
        </row>
        <row r="10604">
          <cell r="C10604" t="str">
            <v>蕭金椿</v>
          </cell>
          <cell r="F10604" t="str">
            <v>K200501R1</v>
          </cell>
          <cell r="J10604">
            <v>45904</v>
          </cell>
          <cell r="K10604">
            <v>3</v>
          </cell>
        </row>
        <row r="10605">
          <cell r="C10605" t="str">
            <v>蕭金椿</v>
          </cell>
          <cell r="J10605">
            <v>45904</v>
          </cell>
          <cell r="K10605">
            <v>5</v>
          </cell>
        </row>
        <row r="10606">
          <cell r="C10606" t="str">
            <v>蕭金椿</v>
          </cell>
          <cell r="F10606" t="str">
            <v>K200501R1</v>
          </cell>
          <cell r="J10606">
            <v>45905</v>
          </cell>
          <cell r="K10606">
            <v>2</v>
          </cell>
        </row>
        <row r="10607">
          <cell r="C10607" t="str">
            <v>蕭金椿</v>
          </cell>
          <cell r="J10607">
            <v>45905</v>
          </cell>
          <cell r="K10607">
            <v>6</v>
          </cell>
        </row>
        <row r="10608">
          <cell r="C10608" t="str">
            <v>蕭金椿</v>
          </cell>
          <cell r="F10608" t="str">
            <v>K200501R1</v>
          </cell>
          <cell r="J10608">
            <v>45908</v>
          </cell>
          <cell r="K10608">
            <v>5</v>
          </cell>
        </row>
        <row r="10609">
          <cell r="C10609" t="str">
            <v>蕭金椿</v>
          </cell>
          <cell r="J10609">
            <v>45908</v>
          </cell>
          <cell r="K10609">
            <v>3</v>
          </cell>
        </row>
        <row r="10610">
          <cell r="C10610" t="str">
            <v>蕭金椿</v>
          </cell>
          <cell r="J10610">
            <v>45909</v>
          </cell>
          <cell r="K10610">
            <v>3</v>
          </cell>
        </row>
        <row r="10611">
          <cell r="C10611" t="str">
            <v>蕭金椿</v>
          </cell>
          <cell r="J10611">
            <v>45909</v>
          </cell>
          <cell r="K10611">
            <v>5</v>
          </cell>
        </row>
        <row r="10612">
          <cell r="C10612" t="str">
            <v>蕭金椿</v>
          </cell>
          <cell r="J10612">
            <v>45910</v>
          </cell>
          <cell r="K10612">
            <v>3</v>
          </cell>
        </row>
        <row r="10613">
          <cell r="C10613" t="str">
            <v>蕭金椿</v>
          </cell>
          <cell r="F10613" t="str">
            <v>M190302R3</v>
          </cell>
          <cell r="J10613">
            <v>45910</v>
          </cell>
          <cell r="K10613">
            <v>5</v>
          </cell>
        </row>
        <row r="10614">
          <cell r="C10614" t="str">
            <v>蕭金椿</v>
          </cell>
          <cell r="J10614">
            <v>45911</v>
          </cell>
          <cell r="K10614">
            <v>6</v>
          </cell>
        </row>
        <row r="10615">
          <cell r="C10615" t="str">
            <v>蕭金椿</v>
          </cell>
          <cell r="J10615">
            <v>45911</v>
          </cell>
          <cell r="K10615">
            <v>2</v>
          </cell>
        </row>
        <row r="10616">
          <cell r="C10616" t="str">
            <v>蕭金椿</v>
          </cell>
          <cell r="J10616">
            <v>45912</v>
          </cell>
          <cell r="K10616">
            <v>6</v>
          </cell>
        </row>
        <row r="10617">
          <cell r="C10617" t="str">
            <v>蕭金椿</v>
          </cell>
          <cell r="J10617">
            <v>45912</v>
          </cell>
          <cell r="K10617">
            <v>2</v>
          </cell>
        </row>
        <row r="10618">
          <cell r="C10618" t="str">
            <v>蕭金椿</v>
          </cell>
          <cell r="J10618">
            <v>45915</v>
          </cell>
          <cell r="K10618">
            <v>2</v>
          </cell>
        </row>
        <row r="10619">
          <cell r="C10619" t="str">
            <v>蕭金椿</v>
          </cell>
          <cell r="F10619" t="str">
            <v>K200501R1</v>
          </cell>
          <cell r="J10619">
            <v>45915</v>
          </cell>
          <cell r="K10619">
            <v>6</v>
          </cell>
        </row>
        <row r="10620">
          <cell r="C10620" t="str">
            <v>蕭金椿</v>
          </cell>
          <cell r="J10620">
            <v>45916</v>
          </cell>
          <cell r="K10620">
            <v>8</v>
          </cell>
        </row>
        <row r="10621">
          <cell r="C10621" t="str">
            <v>蕭金椿</v>
          </cell>
          <cell r="J10621">
            <v>45917</v>
          </cell>
          <cell r="K10621">
            <v>1</v>
          </cell>
        </row>
        <row r="10622">
          <cell r="C10622" t="str">
            <v>蕭金椿</v>
          </cell>
          <cell r="F10622" t="str">
            <v>M240201R1</v>
          </cell>
          <cell r="J10622">
            <v>45917</v>
          </cell>
          <cell r="K10622">
            <v>3</v>
          </cell>
        </row>
        <row r="10623">
          <cell r="C10623" t="str">
            <v>蕭金椿</v>
          </cell>
          <cell r="F10623" t="str">
            <v>M220402R1</v>
          </cell>
          <cell r="J10623">
            <v>45917</v>
          </cell>
          <cell r="K10623">
            <v>2</v>
          </cell>
        </row>
        <row r="10624">
          <cell r="C10624" t="str">
            <v>蕭金椿</v>
          </cell>
          <cell r="F10624" t="str">
            <v>K200501R1</v>
          </cell>
          <cell r="J10624">
            <v>45917</v>
          </cell>
          <cell r="K10624">
            <v>2</v>
          </cell>
        </row>
        <row r="10625">
          <cell r="C10625" t="str">
            <v>蕭金椿</v>
          </cell>
          <cell r="F10625" t="str">
            <v>K200501R1</v>
          </cell>
          <cell r="J10625">
            <v>45918</v>
          </cell>
          <cell r="K10625">
            <v>6</v>
          </cell>
        </row>
        <row r="10626">
          <cell r="C10626" t="str">
            <v>蕭金椿</v>
          </cell>
          <cell r="J10626">
            <v>45918</v>
          </cell>
          <cell r="K10626">
            <v>2</v>
          </cell>
        </row>
        <row r="10627">
          <cell r="C10627" t="str">
            <v>蕭金椿</v>
          </cell>
          <cell r="J10627">
            <v>45919</v>
          </cell>
          <cell r="K10627">
            <v>8</v>
          </cell>
        </row>
        <row r="10628">
          <cell r="C10628" t="str">
            <v>蕭金椿</v>
          </cell>
          <cell r="J10628">
            <v>45922</v>
          </cell>
          <cell r="K10628">
            <v>1</v>
          </cell>
        </row>
        <row r="10629">
          <cell r="C10629" t="str">
            <v>蕭金椿</v>
          </cell>
          <cell r="F10629" t="str">
            <v>M240201R1</v>
          </cell>
          <cell r="J10629">
            <v>45922</v>
          </cell>
          <cell r="K10629">
            <v>6</v>
          </cell>
        </row>
        <row r="10630">
          <cell r="C10630" t="str">
            <v>蕭金椿</v>
          </cell>
          <cell r="F10630" t="str">
            <v>K200501R1</v>
          </cell>
          <cell r="J10630">
            <v>45922</v>
          </cell>
          <cell r="K10630">
            <v>1</v>
          </cell>
        </row>
        <row r="10631">
          <cell r="C10631" t="str">
            <v>蕭金椿</v>
          </cell>
          <cell r="J10631">
            <v>45923</v>
          </cell>
          <cell r="K10631">
            <v>8</v>
          </cell>
        </row>
        <row r="10632">
          <cell r="C10632" t="str">
            <v>蕭金椿</v>
          </cell>
          <cell r="F10632" t="str">
            <v>K200501R1</v>
          </cell>
          <cell r="J10632">
            <v>45924</v>
          </cell>
          <cell r="K10632">
            <v>3</v>
          </cell>
        </row>
        <row r="10633">
          <cell r="C10633" t="str">
            <v>蕭金椿</v>
          </cell>
          <cell r="F10633" t="str">
            <v>K200501R1</v>
          </cell>
          <cell r="J10633">
            <v>45924</v>
          </cell>
          <cell r="K10633">
            <v>5</v>
          </cell>
        </row>
        <row r="10634">
          <cell r="C10634" t="str">
            <v>蕭金椿</v>
          </cell>
          <cell r="F10634" t="str">
            <v>K200501R1</v>
          </cell>
          <cell r="J10634">
            <v>45925</v>
          </cell>
          <cell r="K10634">
            <v>8</v>
          </cell>
        </row>
        <row r="10635">
          <cell r="C10635" t="str">
            <v>蕭金椿</v>
          </cell>
          <cell r="F10635" t="str">
            <v>K200501R1</v>
          </cell>
          <cell r="J10635">
            <v>45926</v>
          </cell>
          <cell r="K10635">
            <v>5</v>
          </cell>
        </row>
        <row r="10636">
          <cell r="C10636" t="str">
            <v>蕭金椿</v>
          </cell>
          <cell r="F10636" t="str">
            <v>K1505</v>
          </cell>
          <cell r="J10636">
            <v>45926</v>
          </cell>
          <cell r="K10636">
            <v>3</v>
          </cell>
        </row>
        <row r="10637">
          <cell r="C10637" t="str">
            <v>蕭金椿</v>
          </cell>
          <cell r="J10637">
            <v>45930</v>
          </cell>
          <cell r="K10637">
            <v>3</v>
          </cell>
        </row>
        <row r="10638">
          <cell r="C10638" t="str">
            <v>蕭金椿</v>
          </cell>
          <cell r="F10638" t="str">
            <v>K1505</v>
          </cell>
          <cell r="J10638">
            <v>45930</v>
          </cell>
          <cell r="K10638">
            <v>3</v>
          </cell>
        </row>
        <row r="10639">
          <cell r="C10639" t="str">
            <v>蕭金椿</v>
          </cell>
          <cell r="F10639" t="str">
            <v>K200501R1</v>
          </cell>
          <cell r="J10639">
            <v>45930</v>
          </cell>
          <cell r="K10639">
            <v>2</v>
          </cell>
        </row>
        <row r="10640">
          <cell r="C10640" t="str">
            <v>蕭金椿</v>
          </cell>
          <cell r="F10640" t="str">
            <v>K1505</v>
          </cell>
          <cell r="J10640">
            <v>45931</v>
          </cell>
          <cell r="K10640">
            <v>3</v>
          </cell>
        </row>
        <row r="10641">
          <cell r="C10641" t="str">
            <v>蕭金椿</v>
          </cell>
          <cell r="J10641">
            <v>45931</v>
          </cell>
          <cell r="K10641">
            <v>1</v>
          </cell>
        </row>
        <row r="10642">
          <cell r="C10642" t="str">
            <v>蕭金椿</v>
          </cell>
          <cell r="F10642" t="str">
            <v>M250301R1</v>
          </cell>
          <cell r="J10642">
            <v>45931</v>
          </cell>
          <cell r="K10642">
            <v>4</v>
          </cell>
        </row>
        <row r="10643">
          <cell r="C10643" t="str">
            <v>蕭金椿</v>
          </cell>
          <cell r="F10643" t="str">
            <v>M250301R1</v>
          </cell>
          <cell r="J10643">
            <v>45932</v>
          </cell>
          <cell r="K10643">
            <v>8</v>
          </cell>
        </row>
        <row r="10644">
          <cell r="C10644" t="str">
            <v>蕭金椿</v>
          </cell>
          <cell r="F10644" t="str">
            <v>M250301R1</v>
          </cell>
          <cell r="J10644">
            <v>45933</v>
          </cell>
          <cell r="K10644">
            <v>8</v>
          </cell>
        </row>
        <row r="10645">
          <cell r="C10645" t="str">
            <v>蕭金椿</v>
          </cell>
          <cell r="F10645" t="str">
            <v>M250301R1</v>
          </cell>
          <cell r="J10645">
            <v>45937</v>
          </cell>
          <cell r="K10645">
            <v>8</v>
          </cell>
        </row>
        <row r="10646">
          <cell r="C10646" t="str">
            <v>蕭金椿</v>
          </cell>
          <cell r="J10646">
            <v>45938</v>
          </cell>
          <cell r="K10646">
            <v>1</v>
          </cell>
        </row>
        <row r="10647">
          <cell r="C10647" t="str">
            <v>蕭金椿</v>
          </cell>
          <cell r="F10647" t="str">
            <v>M250301R1</v>
          </cell>
          <cell r="J10647">
            <v>45938</v>
          </cell>
          <cell r="K10647">
            <v>7</v>
          </cell>
        </row>
        <row r="10648">
          <cell r="C10648" t="str">
            <v>蕭金椿</v>
          </cell>
          <cell r="F10648" t="str">
            <v>K200501R1</v>
          </cell>
          <cell r="J10648">
            <v>45939</v>
          </cell>
          <cell r="K10648">
            <v>8</v>
          </cell>
        </row>
        <row r="10649">
          <cell r="C10649" t="str">
            <v>蕭金椿</v>
          </cell>
          <cell r="F10649" t="str">
            <v>M240201R1</v>
          </cell>
          <cell r="J10649">
            <v>45943</v>
          </cell>
          <cell r="K10649">
            <v>8</v>
          </cell>
        </row>
        <row r="10650">
          <cell r="C10650" t="str">
            <v>蕭金椿</v>
          </cell>
          <cell r="F10650" t="str">
            <v>M240201R1</v>
          </cell>
          <cell r="J10650">
            <v>45944</v>
          </cell>
          <cell r="K10650">
            <v>8</v>
          </cell>
        </row>
        <row r="10651">
          <cell r="C10651" t="str">
            <v>蕭金椿</v>
          </cell>
          <cell r="F10651" t="str">
            <v>M250301R1</v>
          </cell>
          <cell r="J10651">
            <v>45945</v>
          </cell>
          <cell r="K10651">
            <v>8</v>
          </cell>
        </row>
        <row r="10652">
          <cell r="C10652" t="str">
            <v>蕭金椿</v>
          </cell>
          <cell r="F10652" t="str">
            <v>K180702R1</v>
          </cell>
          <cell r="J10652">
            <v>45946</v>
          </cell>
          <cell r="K10652">
            <v>8</v>
          </cell>
        </row>
        <row r="10653">
          <cell r="C10653" t="str">
            <v>蕭金椿</v>
          </cell>
          <cell r="F10653" t="str">
            <v>K200501R1</v>
          </cell>
          <cell r="J10653">
            <v>45947</v>
          </cell>
          <cell r="K10653">
            <v>4</v>
          </cell>
        </row>
        <row r="10654">
          <cell r="C10654" t="str">
            <v>蕭金椿</v>
          </cell>
          <cell r="J10654">
            <v>45947</v>
          </cell>
          <cell r="K10654">
            <v>2</v>
          </cell>
        </row>
        <row r="10655">
          <cell r="C10655" t="str">
            <v>蕭金椿</v>
          </cell>
          <cell r="J10655">
            <v>45947</v>
          </cell>
          <cell r="K10655">
            <v>1.5</v>
          </cell>
        </row>
        <row r="10656">
          <cell r="C10656" t="str">
            <v>蕭金椿</v>
          </cell>
          <cell r="J10656">
            <v>45950</v>
          </cell>
          <cell r="K10656">
            <v>8</v>
          </cell>
        </row>
        <row r="10657">
          <cell r="C10657" t="str">
            <v>蕭金椿</v>
          </cell>
          <cell r="J10657">
            <v>45951</v>
          </cell>
          <cell r="K10657">
            <v>3</v>
          </cell>
        </row>
        <row r="10658">
          <cell r="C10658" t="str">
            <v>蕭金椿</v>
          </cell>
          <cell r="J10658">
            <v>45951</v>
          </cell>
          <cell r="K10658">
            <v>5</v>
          </cell>
        </row>
        <row r="10659">
          <cell r="C10659" t="str">
            <v>蕭金椿</v>
          </cell>
          <cell r="F10659" t="str">
            <v>K200501R1</v>
          </cell>
          <cell r="J10659">
            <v>45952</v>
          </cell>
          <cell r="K10659">
            <v>8</v>
          </cell>
        </row>
        <row r="10660">
          <cell r="C10660" t="str">
            <v>蕭金椿</v>
          </cell>
          <cell r="F10660" t="str">
            <v>M240201R1</v>
          </cell>
          <cell r="J10660">
            <v>45953</v>
          </cell>
          <cell r="K10660">
            <v>8</v>
          </cell>
        </row>
        <row r="10661">
          <cell r="C10661" t="str">
            <v>蕭金椿</v>
          </cell>
          <cell r="F10661" t="str">
            <v>M240201R1</v>
          </cell>
          <cell r="J10661">
            <v>45957</v>
          </cell>
          <cell r="K10661">
            <v>8</v>
          </cell>
        </row>
        <row r="10662">
          <cell r="C10662" t="str">
            <v>蕭金椿</v>
          </cell>
          <cell r="F10662" t="str">
            <v>M240201R1</v>
          </cell>
          <cell r="J10662">
            <v>45958</v>
          </cell>
          <cell r="K10662">
            <v>8</v>
          </cell>
        </row>
        <row r="10663">
          <cell r="C10663" t="str">
            <v>蕭金椿</v>
          </cell>
          <cell r="J10663">
            <v>45959</v>
          </cell>
          <cell r="K10663">
            <v>1.5</v>
          </cell>
        </row>
        <row r="10664">
          <cell r="C10664" t="str">
            <v>蕭金椿</v>
          </cell>
          <cell r="J10664">
            <v>45959</v>
          </cell>
          <cell r="K10664">
            <v>0.5</v>
          </cell>
        </row>
        <row r="10665">
          <cell r="C10665" t="str">
            <v>蕭金椿</v>
          </cell>
          <cell r="F10665" t="str">
            <v>M240201R1</v>
          </cell>
          <cell r="J10665">
            <v>45959</v>
          </cell>
          <cell r="K10665">
            <v>6</v>
          </cell>
        </row>
        <row r="10666">
          <cell r="C10666" t="str">
            <v>蕭金椿</v>
          </cell>
          <cell r="J10666">
            <v>45960</v>
          </cell>
          <cell r="K10666">
            <v>1</v>
          </cell>
        </row>
        <row r="10667">
          <cell r="C10667" t="str">
            <v>蕭金椿</v>
          </cell>
          <cell r="J10667">
            <v>45960</v>
          </cell>
          <cell r="K10667">
            <v>1</v>
          </cell>
        </row>
        <row r="10668">
          <cell r="C10668" t="str">
            <v>蕭金椿</v>
          </cell>
          <cell r="F10668" t="str">
            <v>M240201R1</v>
          </cell>
          <cell r="J10668">
            <v>45960</v>
          </cell>
          <cell r="K10668">
            <v>6</v>
          </cell>
        </row>
        <row r="10669">
          <cell r="C10669" t="str">
            <v>蕭金椿</v>
          </cell>
          <cell r="F10669" t="str">
            <v>M240201R1</v>
          </cell>
          <cell r="J10669">
            <v>45961</v>
          </cell>
          <cell r="K10669">
            <v>8</v>
          </cell>
        </row>
        <row r="10670">
          <cell r="C10670" t="str">
            <v>蕭金椿</v>
          </cell>
          <cell r="J10670">
            <v>45964</v>
          </cell>
          <cell r="K10670">
            <v>1.5</v>
          </cell>
        </row>
        <row r="10671">
          <cell r="C10671" t="str">
            <v>蕭金椿</v>
          </cell>
          <cell r="J10671">
            <v>45964</v>
          </cell>
          <cell r="K10671">
            <v>6.5</v>
          </cell>
        </row>
        <row r="10672">
          <cell r="C10672" t="str">
            <v>蕭金椿</v>
          </cell>
          <cell r="J10672">
            <v>45965</v>
          </cell>
          <cell r="K10672">
            <v>0.5</v>
          </cell>
        </row>
        <row r="10673">
          <cell r="C10673" t="str">
            <v>蕭金椿</v>
          </cell>
          <cell r="F10673" t="str">
            <v>K200501R1</v>
          </cell>
          <cell r="J10673">
            <v>45965</v>
          </cell>
          <cell r="K10673">
            <v>1</v>
          </cell>
        </row>
        <row r="10674">
          <cell r="C10674" t="str">
            <v>蕭金椿</v>
          </cell>
          <cell r="F10674" t="str">
            <v>M240201R1</v>
          </cell>
          <cell r="J10674">
            <v>45965</v>
          </cell>
          <cell r="K10674">
            <v>5</v>
          </cell>
        </row>
        <row r="10675">
          <cell r="C10675" t="str">
            <v>蕭金椿</v>
          </cell>
          <cell r="J10675">
            <v>45965</v>
          </cell>
          <cell r="K10675">
            <v>1.5</v>
          </cell>
        </row>
        <row r="10676">
          <cell r="C10676" t="str">
            <v>蕭金椿</v>
          </cell>
          <cell r="J10676">
            <v>45966</v>
          </cell>
          <cell r="K10676">
            <v>8</v>
          </cell>
        </row>
        <row r="10677">
          <cell r="C10677" t="str">
            <v>蕭金椿</v>
          </cell>
          <cell r="J10677">
            <v>45967</v>
          </cell>
          <cell r="K10677">
            <v>1</v>
          </cell>
        </row>
        <row r="10678">
          <cell r="C10678" t="str">
            <v>蕭金椿</v>
          </cell>
          <cell r="J10678">
            <v>45967</v>
          </cell>
          <cell r="K10678">
            <v>6</v>
          </cell>
        </row>
        <row r="10679">
          <cell r="C10679" t="str">
            <v>蕭金椿</v>
          </cell>
          <cell r="J10679">
            <v>45967</v>
          </cell>
          <cell r="K10679">
            <v>1</v>
          </cell>
        </row>
        <row r="10680">
          <cell r="C10680" t="str">
            <v>蕭金椿</v>
          </cell>
          <cell r="J10680">
            <v>45968</v>
          </cell>
          <cell r="K10680">
            <v>6</v>
          </cell>
        </row>
        <row r="10681">
          <cell r="C10681" t="str">
            <v>蕭金椿</v>
          </cell>
          <cell r="F10681" t="str">
            <v>K200501R1</v>
          </cell>
          <cell r="J10681">
            <v>45968</v>
          </cell>
          <cell r="K10681">
            <v>2</v>
          </cell>
        </row>
        <row r="10682">
          <cell r="C10682" t="str">
            <v>蕭金椿</v>
          </cell>
          <cell r="F10682" t="str">
            <v>M240201R1</v>
          </cell>
          <cell r="J10682">
            <v>45971</v>
          </cell>
          <cell r="K10682">
            <v>4</v>
          </cell>
        </row>
        <row r="10683">
          <cell r="C10683" t="str">
            <v>蕭金椿</v>
          </cell>
          <cell r="F10683" t="str">
            <v>K200501R1</v>
          </cell>
          <cell r="J10683">
            <v>45971</v>
          </cell>
          <cell r="K10683">
            <v>4</v>
          </cell>
        </row>
        <row r="10684">
          <cell r="C10684" t="str">
            <v>蕭金椿</v>
          </cell>
          <cell r="F10684" t="str">
            <v>K200501R1</v>
          </cell>
          <cell r="J10684">
            <v>45972</v>
          </cell>
          <cell r="K10684">
            <v>8</v>
          </cell>
        </row>
        <row r="10685">
          <cell r="C10685" t="str">
            <v>蕭金椿</v>
          </cell>
          <cell r="J10685">
            <v>45973</v>
          </cell>
          <cell r="K10685">
            <v>4</v>
          </cell>
        </row>
        <row r="10686">
          <cell r="C10686" t="str">
            <v>蕭金椿</v>
          </cell>
          <cell r="J10686">
            <v>45973</v>
          </cell>
          <cell r="K10686">
            <v>1.5</v>
          </cell>
        </row>
        <row r="10687">
          <cell r="C10687" t="str">
            <v>蕭金椿</v>
          </cell>
          <cell r="F10687" t="str">
            <v>K200501R1</v>
          </cell>
          <cell r="J10687">
            <v>45973</v>
          </cell>
          <cell r="K10687">
            <v>0.5</v>
          </cell>
        </row>
        <row r="10688">
          <cell r="C10688" t="str">
            <v>蕭金椿</v>
          </cell>
          <cell r="F10688" t="str">
            <v>M250301R1</v>
          </cell>
          <cell r="J10688">
            <v>45973</v>
          </cell>
          <cell r="K10688">
            <v>2</v>
          </cell>
        </row>
        <row r="10689">
          <cell r="C10689" t="str">
            <v>蕭金椿</v>
          </cell>
          <cell r="J10689">
            <v>45974</v>
          </cell>
          <cell r="K10689">
            <v>1</v>
          </cell>
        </row>
        <row r="10690">
          <cell r="C10690" t="str">
            <v>蕭金椿</v>
          </cell>
          <cell r="J10690">
            <v>45974</v>
          </cell>
          <cell r="K10690">
            <v>2</v>
          </cell>
        </row>
        <row r="10691">
          <cell r="C10691" t="str">
            <v>蕭金椿</v>
          </cell>
          <cell r="F10691" t="str">
            <v>M250301R1</v>
          </cell>
          <cell r="J10691">
            <v>45974</v>
          </cell>
          <cell r="K10691">
            <v>5</v>
          </cell>
        </row>
        <row r="10692">
          <cell r="C10692" t="str">
            <v>蕭金椿</v>
          </cell>
          <cell r="F10692" t="str">
            <v>M250301R1</v>
          </cell>
          <cell r="J10692">
            <v>45975</v>
          </cell>
          <cell r="K10692">
            <v>6</v>
          </cell>
        </row>
        <row r="10693">
          <cell r="C10693" t="str">
            <v>蕭金椿</v>
          </cell>
          <cell r="F10693" t="str">
            <v>K200501R1</v>
          </cell>
          <cell r="J10693">
            <v>45975</v>
          </cell>
          <cell r="K10693">
            <v>2</v>
          </cell>
        </row>
        <row r="10694">
          <cell r="C10694" t="str">
            <v>蕭金椿</v>
          </cell>
          <cell r="F10694" t="str">
            <v>K200501R1</v>
          </cell>
          <cell r="J10694">
            <v>45978</v>
          </cell>
          <cell r="K10694">
            <v>3</v>
          </cell>
        </row>
        <row r="10695">
          <cell r="C10695" t="str">
            <v>蕭金椿</v>
          </cell>
          <cell r="F10695" t="str">
            <v>M250301R1</v>
          </cell>
          <cell r="J10695">
            <v>45978</v>
          </cell>
          <cell r="K10695">
            <v>5</v>
          </cell>
        </row>
        <row r="10696">
          <cell r="C10696" t="str">
            <v>蕭金椿</v>
          </cell>
          <cell r="J10696">
            <v>45979</v>
          </cell>
          <cell r="K10696">
            <v>2</v>
          </cell>
        </row>
        <row r="10697">
          <cell r="C10697" t="str">
            <v>蕭金椿</v>
          </cell>
          <cell r="F10697" t="str">
            <v>M250301R1</v>
          </cell>
          <cell r="J10697">
            <v>45979</v>
          </cell>
          <cell r="K10697">
            <v>4.5</v>
          </cell>
        </row>
        <row r="10698">
          <cell r="C10698" t="str">
            <v>蕭金椿</v>
          </cell>
          <cell r="J10698">
            <v>45979</v>
          </cell>
          <cell r="K10698">
            <v>1.5</v>
          </cell>
        </row>
        <row r="10699">
          <cell r="C10699" t="str">
            <v>蕭金椿</v>
          </cell>
          <cell r="J10699">
            <v>45980</v>
          </cell>
          <cell r="K10699">
            <v>8</v>
          </cell>
        </row>
        <row r="10700">
          <cell r="C10700" t="str">
            <v>蕭金椿</v>
          </cell>
          <cell r="J10700">
            <v>45981</v>
          </cell>
          <cell r="K10700">
            <v>1</v>
          </cell>
        </row>
        <row r="10701">
          <cell r="C10701" t="str">
            <v>蕭金椿</v>
          </cell>
          <cell r="J10701">
            <v>45981</v>
          </cell>
          <cell r="K10701">
            <v>1</v>
          </cell>
        </row>
        <row r="10702">
          <cell r="C10702" t="str">
            <v>蕭金椿</v>
          </cell>
          <cell r="F10702" t="str">
            <v>K200501R1</v>
          </cell>
          <cell r="J10702">
            <v>45981</v>
          </cell>
          <cell r="K10702">
            <v>2</v>
          </cell>
        </row>
        <row r="10703">
          <cell r="C10703" t="str">
            <v>蕭金椿</v>
          </cell>
          <cell r="F10703" t="str">
            <v>M250301R1</v>
          </cell>
          <cell r="J10703">
            <v>45981</v>
          </cell>
          <cell r="K10703">
            <v>4</v>
          </cell>
        </row>
        <row r="10704">
          <cell r="C10704" t="str">
            <v>蕭金椿</v>
          </cell>
          <cell r="F10704" t="str">
            <v>M250301R1</v>
          </cell>
          <cell r="J10704">
            <v>45982</v>
          </cell>
          <cell r="K10704">
            <v>8</v>
          </cell>
        </row>
        <row r="10705">
          <cell r="C10705" t="str">
            <v>蕭金椿</v>
          </cell>
          <cell r="J10705">
            <v>45985</v>
          </cell>
          <cell r="K10705">
            <v>1</v>
          </cell>
        </row>
        <row r="10706">
          <cell r="C10706" t="str">
            <v>蕭金椿</v>
          </cell>
          <cell r="J10706">
            <v>45985</v>
          </cell>
          <cell r="K10706">
            <v>3</v>
          </cell>
        </row>
        <row r="10707">
          <cell r="C10707" t="str">
            <v>蕭金椿</v>
          </cell>
          <cell r="F10707" t="str">
            <v>M250301R1</v>
          </cell>
          <cell r="J10707">
            <v>45985</v>
          </cell>
          <cell r="K10707">
            <v>4</v>
          </cell>
        </row>
        <row r="10708">
          <cell r="C10708" t="str">
            <v>蕭金椿</v>
          </cell>
          <cell r="J10708">
            <v>45986</v>
          </cell>
          <cell r="K10708">
            <v>2</v>
          </cell>
        </row>
        <row r="10709">
          <cell r="C10709" t="str">
            <v>蕭金椿</v>
          </cell>
          <cell r="J10709">
            <v>45986</v>
          </cell>
          <cell r="K10709">
            <v>2</v>
          </cell>
        </row>
        <row r="10710">
          <cell r="C10710" t="str">
            <v>蕭金椿</v>
          </cell>
          <cell r="F10710" t="str">
            <v>M250301R1</v>
          </cell>
          <cell r="J10710">
            <v>45986</v>
          </cell>
          <cell r="K10710">
            <v>4</v>
          </cell>
        </row>
        <row r="10711">
          <cell r="C10711" t="str">
            <v>蕭金椿</v>
          </cell>
          <cell r="J10711">
            <v>45987</v>
          </cell>
          <cell r="K10711">
            <v>1</v>
          </cell>
        </row>
        <row r="10712">
          <cell r="C10712" t="str">
            <v>蕭金椿</v>
          </cell>
          <cell r="J10712">
            <v>45987</v>
          </cell>
          <cell r="K10712">
            <v>4</v>
          </cell>
        </row>
        <row r="10713">
          <cell r="C10713" t="str">
            <v>蕭金椿</v>
          </cell>
          <cell r="J10713">
            <v>45987</v>
          </cell>
          <cell r="K10713">
            <v>1</v>
          </cell>
        </row>
        <row r="10714">
          <cell r="C10714" t="str">
            <v>蕭金椿</v>
          </cell>
          <cell r="J10714">
            <v>45987</v>
          </cell>
          <cell r="K10714">
            <v>2</v>
          </cell>
        </row>
        <row r="10715">
          <cell r="C10715" t="str">
            <v>蕭金椿</v>
          </cell>
          <cell r="F10715" t="str">
            <v>M250301R1</v>
          </cell>
          <cell r="J10715">
            <v>45987</v>
          </cell>
          <cell r="K10715">
            <v>2</v>
          </cell>
        </row>
        <row r="10716">
          <cell r="C10716" t="str">
            <v>蕭金椿</v>
          </cell>
          <cell r="J10716">
            <v>45988</v>
          </cell>
          <cell r="K10716">
            <v>1</v>
          </cell>
        </row>
        <row r="10717">
          <cell r="C10717" t="str">
            <v>蕭金椿</v>
          </cell>
          <cell r="J10717">
            <v>45988</v>
          </cell>
          <cell r="K10717">
            <v>2</v>
          </cell>
        </row>
        <row r="10718">
          <cell r="C10718" t="str">
            <v>蕭金椿</v>
          </cell>
          <cell r="F10718" t="str">
            <v>K200501R1</v>
          </cell>
          <cell r="J10718">
            <v>45988</v>
          </cell>
          <cell r="K10718">
            <v>3</v>
          </cell>
        </row>
        <row r="10719">
          <cell r="C10719" t="str">
            <v>蕭金椿</v>
          </cell>
          <cell r="F10719" t="str">
            <v>M250301R1</v>
          </cell>
          <cell r="J10719">
            <v>45988</v>
          </cell>
          <cell r="K10719">
            <v>2</v>
          </cell>
        </row>
        <row r="10720">
          <cell r="C10720" t="str">
            <v>蕭金椿</v>
          </cell>
          <cell r="J10720">
            <v>45989</v>
          </cell>
          <cell r="K10720">
            <v>8</v>
          </cell>
        </row>
        <row r="10721">
          <cell r="C10721" t="str">
            <v>蕭金椿</v>
          </cell>
          <cell r="J10721">
            <v>45992</v>
          </cell>
          <cell r="K10721">
            <v>4</v>
          </cell>
        </row>
        <row r="10722">
          <cell r="C10722" t="str">
            <v>蕭金椿</v>
          </cell>
          <cell r="F10722" t="str">
            <v>M250301R1</v>
          </cell>
          <cell r="J10722">
            <v>45992</v>
          </cell>
          <cell r="K10722">
            <v>4</v>
          </cell>
        </row>
        <row r="10723">
          <cell r="C10723" t="str">
            <v>蕭金椿</v>
          </cell>
          <cell r="J10723">
            <v>45993</v>
          </cell>
          <cell r="K10723">
            <v>3</v>
          </cell>
        </row>
        <row r="10724">
          <cell r="C10724" t="str">
            <v>蕭金椿</v>
          </cell>
          <cell r="J10724">
            <v>45993</v>
          </cell>
          <cell r="K10724">
            <v>3</v>
          </cell>
        </row>
        <row r="10725">
          <cell r="C10725" t="str">
            <v>蕭金椿</v>
          </cell>
          <cell r="J10725">
            <v>45993</v>
          </cell>
          <cell r="K10725">
            <v>2</v>
          </cell>
        </row>
        <row r="10726">
          <cell r="C10726" t="str">
            <v>蕭金椿</v>
          </cell>
          <cell r="F10726" t="str">
            <v>K231101R1</v>
          </cell>
          <cell r="J10726">
            <v>45994</v>
          </cell>
          <cell r="K10726">
            <v>8</v>
          </cell>
        </row>
        <row r="10727">
          <cell r="C10727" t="str">
            <v>蕭金椿</v>
          </cell>
          <cell r="J10727">
            <v>45995</v>
          </cell>
          <cell r="K10727">
            <v>4</v>
          </cell>
        </row>
        <row r="10728">
          <cell r="C10728" t="str">
            <v>蕭金椿</v>
          </cell>
          <cell r="J10728">
            <v>45995</v>
          </cell>
          <cell r="K10728">
            <v>3</v>
          </cell>
        </row>
        <row r="10729">
          <cell r="C10729" t="str">
            <v>蕭金椿</v>
          </cell>
          <cell r="J10729">
            <v>45995</v>
          </cell>
          <cell r="K10729">
            <v>1</v>
          </cell>
        </row>
        <row r="10730">
          <cell r="C10730" t="str">
            <v>蕭金椿</v>
          </cell>
          <cell r="J10730">
            <v>45996</v>
          </cell>
          <cell r="K10730">
            <v>8</v>
          </cell>
        </row>
        <row r="10731">
          <cell r="C10731" t="str">
            <v>蕭金椿</v>
          </cell>
          <cell r="J10731">
            <v>45999</v>
          </cell>
          <cell r="K10731">
            <v>7</v>
          </cell>
        </row>
        <row r="10732">
          <cell r="C10732" t="str">
            <v>蕭金椿</v>
          </cell>
          <cell r="J10732">
            <v>45999</v>
          </cell>
          <cell r="K10732">
            <v>1</v>
          </cell>
        </row>
        <row r="10733">
          <cell r="C10733" t="str">
            <v>蕭金椿</v>
          </cell>
          <cell r="J10733">
            <v>46000</v>
          </cell>
          <cell r="K10733">
            <v>2</v>
          </cell>
        </row>
        <row r="10734">
          <cell r="C10734" t="str">
            <v>蕭金椿</v>
          </cell>
          <cell r="J10734">
            <v>46000</v>
          </cell>
          <cell r="K10734">
            <v>6</v>
          </cell>
        </row>
        <row r="10735">
          <cell r="C10735" t="str">
            <v>蕭金椿</v>
          </cell>
          <cell r="F10735" t="str">
            <v>K231101R1</v>
          </cell>
          <cell r="J10735">
            <v>46001</v>
          </cell>
          <cell r="K10735">
            <v>2</v>
          </cell>
        </row>
        <row r="10736">
          <cell r="C10736" t="str">
            <v>蕭金椿</v>
          </cell>
          <cell r="J10736">
            <v>46001</v>
          </cell>
          <cell r="K10736">
            <v>2</v>
          </cell>
        </row>
        <row r="10737">
          <cell r="C10737" t="str">
            <v>蕭金椿</v>
          </cell>
          <cell r="J10737">
            <v>46001</v>
          </cell>
          <cell r="K10737">
            <v>2</v>
          </cell>
        </row>
        <row r="10738">
          <cell r="C10738" t="str">
            <v>蕭金椿</v>
          </cell>
          <cell r="J10738">
            <v>46001</v>
          </cell>
          <cell r="K10738">
            <v>2</v>
          </cell>
        </row>
        <row r="10739">
          <cell r="C10739" t="str">
            <v>蕭金椿</v>
          </cell>
          <cell r="J10739">
            <v>46002</v>
          </cell>
          <cell r="K10739">
            <v>1</v>
          </cell>
        </row>
        <row r="10740">
          <cell r="C10740" t="str">
            <v>蕭金椿</v>
          </cell>
          <cell r="J10740">
            <v>46002</v>
          </cell>
          <cell r="K10740">
            <v>4</v>
          </cell>
        </row>
        <row r="10741">
          <cell r="C10741" t="str">
            <v>蕭金椿</v>
          </cell>
          <cell r="J10741">
            <v>46002</v>
          </cell>
          <cell r="K10741">
            <v>1</v>
          </cell>
        </row>
        <row r="10742">
          <cell r="C10742" t="str">
            <v>蕭金椿</v>
          </cell>
          <cell r="F10742" t="str">
            <v>M250301R1</v>
          </cell>
          <cell r="J10742">
            <v>46002</v>
          </cell>
          <cell r="K10742">
            <v>2</v>
          </cell>
        </row>
        <row r="10743">
          <cell r="C10743" t="str">
            <v>蕭金椿</v>
          </cell>
          <cell r="J10743">
            <v>46003</v>
          </cell>
          <cell r="K10743">
            <v>8</v>
          </cell>
        </row>
        <row r="10744">
          <cell r="C10744" t="str">
            <v>蕭金椿</v>
          </cell>
          <cell r="J10744">
            <v>46006</v>
          </cell>
          <cell r="K10744">
            <v>1</v>
          </cell>
        </row>
        <row r="10745">
          <cell r="C10745" t="str">
            <v>蕭金椿</v>
          </cell>
          <cell r="J10745">
            <v>46006</v>
          </cell>
          <cell r="K10745">
            <v>5</v>
          </cell>
        </row>
        <row r="10746">
          <cell r="C10746" t="str">
            <v>蕭金椿</v>
          </cell>
          <cell r="F10746" t="str">
            <v>M250301R1</v>
          </cell>
          <cell r="J10746">
            <v>46006</v>
          </cell>
          <cell r="K10746">
            <v>2</v>
          </cell>
        </row>
        <row r="10747">
          <cell r="C10747" t="str">
            <v>蕭金椿</v>
          </cell>
          <cell r="J10747">
            <v>46007</v>
          </cell>
          <cell r="K10747">
            <v>1</v>
          </cell>
        </row>
        <row r="10748">
          <cell r="C10748" t="str">
            <v>蕭金椿</v>
          </cell>
          <cell r="J10748">
            <v>46007</v>
          </cell>
          <cell r="K10748">
            <v>3</v>
          </cell>
        </row>
        <row r="10749">
          <cell r="C10749" t="str">
            <v>蕭金椿</v>
          </cell>
          <cell r="F10749" t="str">
            <v>M250301R1</v>
          </cell>
          <cell r="J10749">
            <v>46007</v>
          </cell>
          <cell r="K10749">
            <v>5</v>
          </cell>
        </row>
        <row r="10750">
          <cell r="C10750" t="str">
            <v>蕭金椿</v>
          </cell>
          <cell r="J10750">
            <v>46008</v>
          </cell>
          <cell r="K10750">
            <v>8</v>
          </cell>
        </row>
        <row r="10751">
          <cell r="C10751" t="str">
            <v>蕭金椿</v>
          </cell>
          <cell r="J10751">
            <v>46009</v>
          </cell>
          <cell r="K10751">
            <v>1</v>
          </cell>
        </row>
        <row r="10752">
          <cell r="C10752" t="str">
            <v>蕭金椿</v>
          </cell>
          <cell r="J10752">
            <v>46009</v>
          </cell>
          <cell r="K10752">
            <v>3</v>
          </cell>
        </row>
        <row r="10753">
          <cell r="C10753" t="str">
            <v>蕭金椿</v>
          </cell>
          <cell r="J10753">
            <v>46009</v>
          </cell>
          <cell r="K10753">
            <v>4</v>
          </cell>
        </row>
        <row r="10754">
          <cell r="C10754" t="str">
            <v>蕭金椿</v>
          </cell>
          <cell r="J10754">
            <v>46010</v>
          </cell>
          <cell r="K10754">
            <v>3</v>
          </cell>
        </row>
        <row r="10755">
          <cell r="C10755" t="str">
            <v>蕭金椿</v>
          </cell>
          <cell r="J10755">
            <v>46010</v>
          </cell>
          <cell r="K10755">
            <v>5</v>
          </cell>
        </row>
        <row r="10756">
          <cell r="C10756" t="str">
            <v>蕭金椿</v>
          </cell>
          <cell r="J10756">
            <v>46013</v>
          </cell>
          <cell r="K10756">
            <v>2</v>
          </cell>
        </row>
        <row r="10757">
          <cell r="C10757" t="str">
            <v>蕭金椿</v>
          </cell>
          <cell r="J10757">
            <v>46013</v>
          </cell>
          <cell r="K10757">
            <v>6</v>
          </cell>
        </row>
        <row r="10758">
          <cell r="C10758" t="str">
            <v>蕭金椿</v>
          </cell>
          <cell r="J10758">
            <v>46014</v>
          </cell>
          <cell r="K10758">
            <v>4</v>
          </cell>
        </row>
        <row r="10759">
          <cell r="C10759" t="str">
            <v>蕭金椿</v>
          </cell>
          <cell r="F10759" t="str">
            <v>K231101R1</v>
          </cell>
          <cell r="J10759">
            <v>46014</v>
          </cell>
          <cell r="K10759">
            <v>2</v>
          </cell>
        </row>
        <row r="10760">
          <cell r="C10760" t="str">
            <v>蕭金椿</v>
          </cell>
          <cell r="J10760">
            <v>46014</v>
          </cell>
          <cell r="K10760">
            <v>2</v>
          </cell>
        </row>
        <row r="10761">
          <cell r="C10761" t="str">
            <v>蕭金椿</v>
          </cell>
          <cell r="J10761">
            <v>46015</v>
          </cell>
          <cell r="K10761">
            <v>8</v>
          </cell>
        </row>
        <row r="10762">
          <cell r="C10762" t="str">
            <v>蕭金椿</v>
          </cell>
          <cell r="J10762">
            <v>46017</v>
          </cell>
          <cell r="K10762">
            <v>8</v>
          </cell>
        </row>
        <row r="10763">
          <cell r="C10763" t="str">
            <v>蕭金椿</v>
          </cell>
          <cell r="J10763">
            <v>46020</v>
          </cell>
          <cell r="K10763">
            <v>4</v>
          </cell>
        </row>
        <row r="10764">
          <cell r="C10764" t="str">
            <v>蕭金椿</v>
          </cell>
          <cell r="F10764" t="str">
            <v>K231101R1</v>
          </cell>
          <cell r="J10764">
            <v>46020</v>
          </cell>
          <cell r="K10764">
            <v>4</v>
          </cell>
        </row>
        <row r="10765">
          <cell r="C10765" t="str">
            <v>蕭金椿</v>
          </cell>
          <cell r="J10765">
            <v>46021</v>
          </cell>
          <cell r="K10765">
            <v>1</v>
          </cell>
        </row>
        <row r="10766">
          <cell r="C10766" t="str">
            <v>蕭金椿</v>
          </cell>
          <cell r="J10766">
            <v>46021</v>
          </cell>
          <cell r="K10766">
            <v>7</v>
          </cell>
        </row>
        <row r="10767">
          <cell r="C10767" t="str">
            <v>蕭金椿</v>
          </cell>
          <cell r="J10767">
            <v>46022</v>
          </cell>
          <cell r="K10767">
            <v>8</v>
          </cell>
        </row>
        <row r="10768">
          <cell r="C10768" t="str">
            <v>蕭金椿</v>
          </cell>
          <cell r="J10768">
            <v>46024</v>
          </cell>
          <cell r="K10768">
            <v>4</v>
          </cell>
        </row>
        <row r="10769">
          <cell r="C10769" t="str">
            <v>蕭金椿</v>
          </cell>
          <cell r="J10769">
            <v>46024</v>
          </cell>
          <cell r="K10769">
            <v>4</v>
          </cell>
        </row>
        <row r="10770">
          <cell r="C10770" t="str">
            <v>蕭金椿</v>
          </cell>
          <cell r="F10770" t="str">
            <v>K231101R1</v>
          </cell>
          <cell r="J10770">
            <v>46027</v>
          </cell>
          <cell r="K10770">
            <v>8</v>
          </cell>
        </row>
        <row r="10771">
          <cell r="C10771" t="str">
            <v>蕭金椿</v>
          </cell>
          <cell r="F10771" t="str">
            <v>K231101R1</v>
          </cell>
          <cell r="J10771">
            <v>46028</v>
          </cell>
          <cell r="K10771">
            <v>8</v>
          </cell>
        </row>
        <row r="10772">
          <cell r="C10772" t="str">
            <v>蕭金椿</v>
          </cell>
          <cell r="F10772" t="str">
            <v>K231101R1</v>
          </cell>
          <cell r="J10772">
            <v>46029</v>
          </cell>
          <cell r="K10772">
            <v>8</v>
          </cell>
        </row>
        <row r="10773">
          <cell r="C10773" t="str">
            <v>蕭金椿</v>
          </cell>
          <cell r="F10773" t="str">
            <v>K231101R1</v>
          </cell>
          <cell r="J10773">
            <v>46030</v>
          </cell>
          <cell r="K10773">
            <v>8</v>
          </cell>
        </row>
        <row r="10774">
          <cell r="C10774" t="str">
            <v>蕭金椿</v>
          </cell>
          <cell r="J10774">
            <v>46031</v>
          </cell>
          <cell r="K10774">
            <v>8</v>
          </cell>
        </row>
        <row r="10775">
          <cell r="C10775" t="str">
            <v>蕭金椿</v>
          </cell>
          <cell r="F10775" t="str">
            <v>K231101R1</v>
          </cell>
          <cell r="J10775">
            <v>46034</v>
          </cell>
          <cell r="K10775">
            <v>8</v>
          </cell>
        </row>
        <row r="10776">
          <cell r="C10776" t="str">
            <v>蕭金椿</v>
          </cell>
          <cell r="F10776" t="str">
            <v>K231101R1</v>
          </cell>
          <cell r="J10776">
            <v>46035</v>
          </cell>
          <cell r="K10776">
            <v>8</v>
          </cell>
        </row>
        <row r="10777">
          <cell r="C10777" t="str">
            <v>蕭金椿</v>
          </cell>
          <cell r="J10777">
            <v>46036</v>
          </cell>
          <cell r="K10777">
            <v>1</v>
          </cell>
        </row>
        <row r="10778">
          <cell r="C10778" t="str">
            <v>蕭金椿</v>
          </cell>
          <cell r="F10778" t="str">
            <v>K231101R1</v>
          </cell>
          <cell r="J10778">
            <v>46036</v>
          </cell>
          <cell r="K10778">
            <v>7</v>
          </cell>
        </row>
        <row r="10779">
          <cell r="C10779" t="str">
            <v>蕭金椿</v>
          </cell>
          <cell r="J10779">
            <v>46037</v>
          </cell>
          <cell r="K10779">
            <v>2</v>
          </cell>
        </row>
        <row r="10780">
          <cell r="C10780" t="str">
            <v>蕭金椿</v>
          </cell>
          <cell r="F10780" t="str">
            <v>K231101P1</v>
          </cell>
          <cell r="J10780">
            <v>46037</v>
          </cell>
          <cell r="K10780">
            <v>5</v>
          </cell>
        </row>
        <row r="10781">
          <cell r="C10781" t="str">
            <v>蕭金椿</v>
          </cell>
          <cell r="J10781">
            <v>46037</v>
          </cell>
          <cell r="K10781">
            <v>2</v>
          </cell>
        </row>
        <row r="10782">
          <cell r="C10782" t="str">
            <v>蕭金椿</v>
          </cell>
          <cell r="F10782" t="str">
            <v>K231101P1</v>
          </cell>
          <cell r="J10782">
            <v>46038</v>
          </cell>
          <cell r="K10782">
            <v>8</v>
          </cell>
        </row>
        <row r="10783">
          <cell r="C10783" t="str">
            <v>蕭金椿</v>
          </cell>
          <cell r="J10783">
            <v>46041</v>
          </cell>
          <cell r="K10783">
            <v>3</v>
          </cell>
        </row>
        <row r="10784">
          <cell r="C10784" t="str">
            <v>蕭金椿</v>
          </cell>
          <cell r="J10784">
            <v>46041</v>
          </cell>
          <cell r="K10784">
            <v>5</v>
          </cell>
        </row>
        <row r="10785">
          <cell r="C10785" t="str">
            <v>蕭金椿</v>
          </cell>
          <cell r="J10785">
            <v>46042</v>
          </cell>
          <cell r="K10785">
            <v>8</v>
          </cell>
        </row>
        <row r="10786">
          <cell r="C10786" t="str">
            <v>蕭金椿</v>
          </cell>
          <cell r="F10786" t="str">
            <v>K231101P1</v>
          </cell>
          <cell r="J10786">
            <v>46043</v>
          </cell>
          <cell r="K10786">
            <v>6</v>
          </cell>
        </row>
        <row r="10787">
          <cell r="C10787" t="str">
            <v>蕭金椿</v>
          </cell>
          <cell r="J10787">
            <v>46043</v>
          </cell>
          <cell r="K10787">
            <v>2</v>
          </cell>
        </row>
        <row r="10788">
          <cell r="C10788" t="str">
            <v>蕭金椿</v>
          </cell>
          <cell r="J10788">
            <v>46044</v>
          </cell>
          <cell r="K10788">
            <v>2</v>
          </cell>
        </row>
        <row r="10789">
          <cell r="C10789" t="str">
            <v>蕭金椿</v>
          </cell>
          <cell r="F10789" t="str">
            <v>K231101P1</v>
          </cell>
          <cell r="J10789">
            <v>46044</v>
          </cell>
          <cell r="K10789">
            <v>6</v>
          </cell>
        </row>
        <row r="10790">
          <cell r="C10790" t="str">
            <v>蕭金椿</v>
          </cell>
          <cell r="J10790">
            <v>46045</v>
          </cell>
          <cell r="K10790">
            <v>8</v>
          </cell>
        </row>
        <row r="10791">
          <cell r="C10791" t="str">
            <v>蕭金椿</v>
          </cell>
          <cell r="J10791">
            <v>46048</v>
          </cell>
          <cell r="K10791">
            <v>8</v>
          </cell>
        </row>
        <row r="10792">
          <cell r="C10792" t="str">
            <v>蕭金椿</v>
          </cell>
          <cell r="J10792">
            <v>46049</v>
          </cell>
          <cell r="K10792">
            <v>1</v>
          </cell>
        </row>
        <row r="10793">
          <cell r="C10793" t="str">
            <v>蕭金椿</v>
          </cell>
          <cell r="J10793">
            <v>46049</v>
          </cell>
          <cell r="K10793">
            <v>7</v>
          </cell>
        </row>
        <row r="10794">
          <cell r="C10794" t="str">
            <v>蕭金椿</v>
          </cell>
          <cell r="J10794">
            <v>46050</v>
          </cell>
          <cell r="K10794">
            <v>8</v>
          </cell>
        </row>
        <row r="10795">
          <cell r="C10795" t="str">
            <v>蕭金椿</v>
          </cell>
          <cell r="J10795">
            <v>46051</v>
          </cell>
          <cell r="K10795">
            <v>8</v>
          </cell>
        </row>
        <row r="10796">
          <cell r="C10796" t="str">
            <v>蕭金椿</v>
          </cell>
          <cell r="J10796">
            <v>46052</v>
          </cell>
          <cell r="K10796">
            <v>8</v>
          </cell>
        </row>
        <row r="10797">
          <cell r="C10797" t="str">
            <v>蕭金椿</v>
          </cell>
          <cell r="F10797" t="str">
            <v>K251101R1</v>
          </cell>
          <cell r="J10797">
            <v>46055</v>
          </cell>
          <cell r="K10797">
            <v>8</v>
          </cell>
        </row>
        <row r="10798">
          <cell r="C10798" t="str">
            <v>蕭金椿</v>
          </cell>
          <cell r="J10798">
            <v>46056</v>
          </cell>
          <cell r="K10798">
            <v>3</v>
          </cell>
        </row>
        <row r="10799">
          <cell r="C10799" t="str">
            <v>蕭金椿</v>
          </cell>
          <cell r="F10799" t="str">
            <v>K251101R1</v>
          </cell>
          <cell r="J10799">
            <v>46056</v>
          </cell>
          <cell r="K10799">
            <v>5</v>
          </cell>
        </row>
        <row r="10800">
          <cell r="C10800" t="str">
            <v>蕭金椿</v>
          </cell>
          <cell r="J10800">
            <v>46057</v>
          </cell>
          <cell r="K10800">
            <v>2</v>
          </cell>
        </row>
        <row r="10801">
          <cell r="C10801" t="str">
            <v>蕭金椿</v>
          </cell>
          <cell r="F10801" t="str">
            <v>K251101R1</v>
          </cell>
          <cell r="J10801">
            <v>46057</v>
          </cell>
          <cell r="K10801">
            <v>6</v>
          </cell>
        </row>
        <row r="10802">
          <cell r="C10802" t="str">
            <v>蕭金椿</v>
          </cell>
          <cell r="F10802" t="str">
            <v>K251101R1</v>
          </cell>
          <cell r="J10802">
            <v>46058</v>
          </cell>
          <cell r="K10802">
            <v>8</v>
          </cell>
        </row>
        <row r="10803">
          <cell r="C10803" t="str">
            <v>蕭金椿</v>
          </cell>
          <cell r="J10803">
            <v>46059</v>
          </cell>
          <cell r="K10803">
            <v>4</v>
          </cell>
        </row>
        <row r="10804">
          <cell r="C10804" t="str">
            <v>蕭金椿</v>
          </cell>
          <cell r="F10804" t="str">
            <v>K251101R1</v>
          </cell>
          <cell r="J10804">
            <v>46059</v>
          </cell>
          <cell r="K10804">
            <v>4</v>
          </cell>
        </row>
        <row r="10805">
          <cell r="C10805" t="str">
            <v>蕭金椿</v>
          </cell>
          <cell r="J10805">
            <v>46062</v>
          </cell>
          <cell r="K10805">
            <v>8</v>
          </cell>
        </row>
        <row r="10806">
          <cell r="C10806" t="str">
            <v>蕭金椿</v>
          </cell>
          <cell r="J10806">
            <v>46063</v>
          </cell>
          <cell r="K10806">
            <v>4</v>
          </cell>
        </row>
        <row r="10807">
          <cell r="C10807" t="str">
            <v>蕭金椿</v>
          </cell>
          <cell r="J10807">
            <v>46063</v>
          </cell>
          <cell r="K10807">
            <v>4</v>
          </cell>
        </row>
        <row r="10808">
          <cell r="C10808" t="str">
            <v>蕭金椿</v>
          </cell>
          <cell r="J10808">
            <v>46064</v>
          </cell>
          <cell r="K10808">
            <v>1</v>
          </cell>
        </row>
        <row r="10809">
          <cell r="C10809" t="str">
            <v>蕭金椿</v>
          </cell>
          <cell r="J10809">
            <v>46064</v>
          </cell>
          <cell r="K10809">
            <v>7</v>
          </cell>
        </row>
        <row r="10810">
          <cell r="C10810" t="str">
            <v>蕭金椿</v>
          </cell>
          <cell r="F10810" t="str">
            <v>D260102R1</v>
          </cell>
          <cell r="J10810">
            <v>46065</v>
          </cell>
          <cell r="K10810">
            <v>8</v>
          </cell>
        </row>
        <row r="10811">
          <cell r="C10811" t="str">
            <v>蕭金椿</v>
          </cell>
          <cell r="J10811">
            <v>46066</v>
          </cell>
          <cell r="K10811">
            <v>5</v>
          </cell>
        </row>
        <row r="10812">
          <cell r="C10812" t="str">
            <v>蕭金椿</v>
          </cell>
          <cell r="F10812" t="str">
            <v>D260102R1</v>
          </cell>
          <cell r="J10812">
            <v>46066</v>
          </cell>
          <cell r="K10812">
            <v>3</v>
          </cell>
        </row>
        <row r="10813">
          <cell r="C10813" t="str">
            <v>蕭金椿</v>
          </cell>
          <cell r="F10813" t="str">
            <v>D260102R1</v>
          </cell>
          <cell r="J10813">
            <v>46076</v>
          </cell>
          <cell r="K10813">
            <v>8</v>
          </cell>
        </row>
        <row r="10814">
          <cell r="C10814" t="str">
            <v>蕭金椿</v>
          </cell>
          <cell r="F10814" t="str">
            <v>D260102R1</v>
          </cell>
          <cell r="J10814">
            <v>46077</v>
          </cell>
          <cell r="K10814">
            <v>6</v>
          </cell>
        </row>
        <row r="10815">
          <cell r="C10815" t="str">
            <v>蕭金椿</v>
          </cell>
          <cell r="F10815" t="str">
            <v>M240201R1</v>
          </cell>
          <cell r="J10815">
            <v>46077</v>
          </cell>
          <cell r="K10815">
            <v>2</v>
          </cell>
        </row>
        <row r="10816">
          <cell r="C10816" t="str">
            <v>蕭金椿</v>
          </cell>
          <cell r="J10816">
            <v>46078</v>
          </cell>
          <cell r="K10816">
            <v>1</v>
          </cell>
        </row>
        <row r="10817">
          <cell r="C10817" t="str">
            <v>蕭金椿</v>
          </cell>
          <cell r="F10817" t="str">
            <v>M240201R1</v>
          </cell>
          <cell r="J10817">
            <v>46078</v>
          </cell>
          <cell r="K10817">
            <v>3.5</v>
          </cell>
        </row>
        <row r="10818">
          <cell r="C10818" t="str">
            <v>蕭金椿</v>
          </cell>
          <cell r="J10818">
            <v>46078</v>
          </cell>
          <cell r="K10818">
            <v>1.5</v>
          </cell>
        </row>
        <row r="10819">
          <cell r="C10819" t="str">
            <v>蕭金椿</v>
          </cell>
          <cell r="F10819" t="str">
            <v>D260103R1</v>
          </cell>
          <cell r="J10819">
            <v>46078</v>
          </cell>
          <cell r="K10819">
            <v>2</v>
          </cell>
        </row>
        <row r="10820">
          <cell r="C10820" t="str">
            <v>蕭金椿</v>
          </cell>
          <cell r="F10820" t="str">
            <v>D260102R1</v>
          </cell>
          <cell r="J10820">
            <v>46079</v>
          </cell>
          <cell r="K10820">
            <v>8</v>
          </cell>
        </row>
        <row r="10821">
          <cell r="C10821" t="str">
            <v>蕭金椿</v>
          </cell>
          <cell r="F10821" t="str">
            <v>D260102R1</v>
          </cell>
          <cell r="J10821">
            <v>46083</v>
          </cell>
          <cell r="K10821">
            <v>8</v>
          </cell>
        </row>
        <row r="10822">
          <cell r="C10822" t="str">
            <v>蕭金椿</v>
          </cell>
          <cell r="J10822">
            <v>46084</v>
          </cell>
          <cell r="K10822">
            <v>3</v>
          </cell>
        </row>
        <row r="10823">
          <cell r="C10823" t="str">
            <v>蕭金椿</v>
          </cell>
          <cell r="F10823" t="str">
            <v>D260102R1</v>
          </cell>
          <cell r="J10823">
            <v>46084</v>
          </cell>
          <cell r="K10823">
            <v>5</v>
          </cell>
        </row>
        <row r="10824">
          <cell r="C10824" t="str">
            <v>蕭金椿</v>
          </cell>
          <cell r="J10824">
            <v>46085</v>
          </cell>
          <cell r="K10824">
            <v>3</v>
          </cell>
        </row>
        <row r="10825">
          <cell r="C10825" t="str">
            <v>蕭金椿</v>
          </cell>
          <cell r="J10825">
            <v>46085</v>
          </cell>
          <cell r="K10825">
            <v>2</v>
          </cell>
        </row>
        <row r="10826">
          <cell r="C10826" t="str">
            <v>蕭金椿</v>
          </cell>
          <cell r="J10826">
            <v>46085</v>
          </cell>
          <cell r="K10826">
            <v>3</v>
          </cell>
        </row>
        <row r="10827">
          <cell r="C10827" t="str">
            <v>蕭金椿</v>
          </cell>
          <cell r="J10827">
            <v>46086</v>
          </cell>
          <cell r="K10827">
            <v>1</v>
          </cell>
        </row>
        <row r="10828">
          <cell r="C10828" t="str">
            <v>蕭金椿</v>
          </cell>
          <cell r="J10828">
            <v>46086</v>
          </cell>
          <cell r="K10828">
            <v>2</v>
          </cell>
        </row>
        <row r="10829">
          <cell r="C10829" t="str">
            <v>蕭金椿</v>
          </cell>
          <cell r="J10829">
            <v>46086</v>
          </cell>
          <cell r="K10829">
            <v>3</v>
          </cell>
        </row>
        <row r="10830">
          <cell r="C10830" t="str">
            <v>蕭金椿</v>
          </cell>
          <cell r="F10830" t="str">
            <v>K251101R1</v>
          </cell>
          <cell r="J10830">
            <v>46086</v>
          </cell>
          <cell r="K10830">
            <v>2</v>
          </cell>
        </row>
        <row r="10831">
          <cell r="C10831" t="str">
            <v>蕭金椿</v>
          </cell>
          <cell r="J10831">
            <v>46087</v>
          </cell>
          <cell r="K10831">
            <v>8</v>
          </cell>
        </row>
        <row r="10832">
          <cell r="C10832" t="str">
            <v>蕭金椿</v>
          </cell>
          <cell r="F10832" t="str">
            <v>M240201R1</v>
          </cell>
          <cell r="J10832">
            <v>46090</v>
          </cell>
          <cell r="K10832">
            <v>8</v>
          </cell>
        </row>
        <row r="10833">
          <cell r="C10833" t="str">
            <v>蕭金椿</v>
          </cell>
          <cell r="J10833">
            <v>46091</v>
          </cell>
          <cell r="K10833">
            <v>8</v>
          </cell>
        </row>
        <row r="10834">
          <cell r="C10834" t="str">
            <v>蕭金椿</v>
          </cell>
          <cell r="J10834">
            <v>46092</v>
          </cell>
          <cell r="K10834">
            <v>2</v>
          </cell>
        </row>
        <row r="10835">
          <cell r="C10835" t="str">
            <v>蕭金椿</v>
          </cell>
          <cell r="F10835" t="str">
            <v>K251101R1</v>
          </cell>
          <cell r="J10835">
            <v>46092</v>
          </cell>
          <cell r="K10835">
            <v>6</v>
          </cell>
        </row>
        <row r="10836">
          <cell r="C10836" t="str">
            <v>蕭金椿</v>
          </cell>
          <cell r="F10836" t="str">
            <v>D260102R1</v>
          </cell>
          <cell r="J10836">
            <v>46093</v>
          </cell>
          <cell r="K10836">
            <v>8</v>
          </cell>
        </row>
        <row r="10837">
          <cell r="C10837" t="str">
            <v>蕭金椿</v>
          </cell>
          <cell r="F10837" t="str">
            <v>M240201R1</v>
          </cell>
          <cell r="J10837">
            <v>46094</v>
          </cell>
          <cell r="K10837">
            <v>6</v>
          </cell>
        </row>
        <row r="10838">
          <cell r="C10838" t="str">
            <v>蕭金椿</v>
          </cell>
          <cell r="F10838" t="str">
            <v>D260102R1</v>
          </cell>
          <cell r="J10838">
            <v>46094</v>
          </cell>
          <cell r="K10838">
            <v>2</v>
          </cell>
        </row>
        <row r="10839">
          <cell r="C10839" t="str">
            <v>蕭金椿</v>
          </cell>
          <cell r="F10839" t="str">
            <v>D260102R1</v>
          </cell>
          <cell r="J10839">
            <v>46097</v>
          </cell>
          <cell r="K10839">
            <v>2</v>
          </cell>
        </row>
        <row r="10840">
          <cell r="C10840" t="str">
            <v>蕭金椿</v>
          </cell>
          <cell r="F10840" t="str">
            <v>M240201R1</v>
          </cell>
          <cell r="J10840">
            <v>46097</v>
          </cell>
          <cell r="K10840">
            <v>3</v>
          </cell>
        </row>
        <row r="10841">
          <cell r="C10841" t="str">
            <v>蕭金椿</v>
          </cell>
          <cell r="F10841" t="str">
            <v>K251101R1</v>
          </cell>
          <cell r="J10841">
            <v>46097</v>
          </cell>
          <cell r="K10841">
            <v>3</v>
          </cell>
        </row>
        <row r="10842">
          <cell r="C10842" t="str">
            <v>蕭金椿</v>
          </cell>
          <cell r="F10842" t="str">
            <v>D260102R1</v>
          </cell>
          <cell r="J10842">
            <v>46098</v>
          </cell>
          <cell r="K10842">
            <v>4</v>
          </cell>
        </row>
        <row r="10843">
          <cell r="C10843" t="str">
            <v>蕭金椿</v>
          </cell>
          <cell r="F10843" t="str">
            <v>M240201R1</v>
          </cell>
          <cell r="J10843">
            <v>46098</v>
          </cell>
          <cell r="K10843">
            <v>4</v>
          </cell>
        </row>
        <row r="10844">
          <cell r="C10844" t="str">
            <v>蕭金椿</v>
          </cell>
          <cell r="J10844">
            <v>46099</v>
          </cell>
          <cell r="K10844">
            <v>8</v>
          </cell>
        </row>
        <row r="10845">
          <cell r="C10845" t="str">
            <v>蕭金椿</v>
          </cell>
          <cell r="F10845" t="str">
            <v>D260102R1</v>
          </cell>
          <cell r="J10845">
            <v>46100</v>
          </cell>
          <cell r="K10845">
            <v>3</v>
          </cell>
        </row>
        <row r="10846">
          <cell r="C10846" t="str">
            <v>蕭金椿</v>
          </cell>
          <cell r="F10846" t="str">
            <v>M240201R1</v>
          </cell>
          <cell r="J10846">
            <v>46100</v>
          </cell>
          <cell r="K10846">
            <v>5</v>
          </cell>
        </row>
        <row r="10847">
          <cell r="C10847" t="str">
            <v>蕭金椿</v>
          </cell>
          <cell r="F10847" t="str">
            <v>K251101R1</v>
          </cell>
          <cell r="J10847">
            <v>46101</v>
          </cell>
          <cell r="K10847">
            <v>8</v>
          </cell>
        </row>
        <row r="10848">
          <cell r="C10848" t="str">
            <v>蕭金椿</v>
          </cell>
          <cell r="F10848" t="str">
            <v>K251101R1</v>
          </cell>
          <cell r="J10848">
            <v>46104</v>
          </cell>
          <cell r="K10848">
            <v>8</v>
          </cell>
        </row>
        <row r="10849">
          <cell r="C10849" t="str">
            <v>蕭金椿</v>
          </cell>
          <cell r="F10849" t="str">
            <v>D260102R1</v>
          </cell>
          <cell r="J10849">
            <v>46105</v>
          </cell>
          <cell r="K10849">
            <v>4</v>
          </cell>
        </row>
        <row r="10850">
          <cell r="C10850" t="str">
            <v>蕭金椿</v>
          </cell>
          <cell r="J10850">
            <v>46105</v>
          </cell>
          <cell r="K10850">
            <v>4</v>
          </cell>
        </row>
        <row r="10851">
          <cell r="C10851" t="str">
            <v>蕭金椿</v>
          </cell>
          <cell r="F10851" t="str">
            <v>K251101R1</v>
          </cell>
          <cell r="J10851">
            <v>46106</v>
          </cell>
          <cell r="K10851">
            <v>4</v>
          </cell>
        </row>
        <row r="10852">
          <cell r="C10852" t="str">
            <v>蕭金椿</v>
          </cell>
          <cell r="F10852" t="str">
            <v>M240201R1</v>
          </cell>
          <cell r="J10852">
            <v>46106</v>
          </cell>
          <cell r="K10852">
            <v>4</v>
          </cell>
        </row>
        <row r="10853">
          <cell r="C10853" t="str">
            <v>蕭金椿</v>
          </cell>
          <cell r="J10853">
            <v>46106</v>
          </cell>
          <cell r="K10853">
            <v>1</v>
          </cell>
        </row>
        <row r="10854">
          <cell r="C10854" t="str">
            <v>蕭金椿</v>
          </cell>
          <cell r="F10854" t="str">
            <v>D260102R1</v>
          </cell>
          <cell r="J10854">
            <v>46107</v>
          </cell>
          <cell r="K10854">
            <v>3</v>
          </cell>
        </row>
        <row r="10855">
          <cell r="C10855" t="str">
            <v>蕭金椿</v>
          </cell>
          <cell r="F10855" t="str">
            <v>M240201R1</v>
          </cell>
          <cell r="J10855">
            <v>46107</v>
          </cell>
          <cell r="K10855">
            <v>5</v>
          </cell>
        </row>
        <row r="10856">
          <cell r="C10856" t="str">
            <v>蕭金椿</v>
          </cell>
          <cell r="F10856" t="str">
            <v>M240201R1</v>
          </cell>
          <cell r="J10856">
            <v>46108</v>
          </cell>
          <cell r="K10856">
            <v>6</v>
          </cell>
        </row>
        <row r="10857">
          <cell r="C10857" t="str">
            <v>蕭金椿</v>
          </cell>
          <cell r="F10857" t="str">
            <v>D260102R1</v>
          </cell>
          <cell r="J10857">
            <v>46108</v>
          </cell>
          <cell r="K10857">
            <v>2</v>
          </cell>
        </row>
        <row r="10858">
          <cell r="C10858" t="str">
            <v>蕭金椿</v>
          </cell>
          <cell r="F10858" t="str">
            <v>M251101R1</v>
          </cell>
          <cell r="J10858">
            <v>46111</v>
          </cell>
          <cell r="K10858">
            <v>2</v>
          </cell>
        </row>
        <row r="10859">
          <cell r="C10859" t="str">
            <v>蕭金椿</v>
          </cell>
          <cell r="J10859">
            <v>46111</v>
          </cell>
          <cell r="K10859">
            <v>2</v>
          </cell>
        </row>
        <row r="10860">
          <cell r="C10860" t="str">
            <v>蕭金椿</v>
          </cell>
          <cell r="J10860">
            <v>46111</v>
          </cell>
          <cell r="K10860">
            <v>2</v>
          </cell>
        </row>
        <row r="10861">
          <cell r="C10861" t="str">
            <v>蕭金椿</v>
          </cell>
          <cell r="F10861" t="str">
            <v>K251101R1</v>
          </cell>
          <cell r="J10861">
            <v>46111</v>
          </cell>
          <cell r="K10861">
            <v>2</v>
          </cell>
        </row>
        <row r="10862">
          <cell r="C10862" t="str">
            <v>蕭金椿</v>
          </cell>
          <cell r="F10862" t="str">
            <v>M251101R1</v>
          </cell>
          <cell r="J10862">
            <v>46112</v>
          </cell>
          <cell r="K10862">
            <v>8</v>
          </cell>
        </row>
        <row r="10863">
          <cell r="C10863" t="str">
            <v>蕭金椿</v>
          </cell>
          <cell r="F10863" t="str">
            <v>K251101R1</v>
          </cell>
          <cell r="J10863">
            <v>46113</v>
          </cell>
          <cell r="K10863">
            <v>8</v>
          </cell>
        </row>
        <row r="10864">
          <cell r="C10864" t="str">
            <v>蕭金椿</v>
          </cell>
          <cell r="J10864">
            <v>46114</v>
          </cell>
          <cell r="K10864">
            <v>1</v>
          </cell>
        </row>
        <row r="10865">
          <cell r="C10865" t="str">
            <v>蕭金椿</v>
          </cell>
          <cell r="J10865">
            <v>46114</v>
          </cell>
          <cell r="K10865">
            <v>3</v>
          </cell>
        </row>
        <row r="10866">
          <cell r="C10866" t="str">
            <v>蕭金椿</v>
          </cell>
          <cell r="F10866" t="str">
            <v>D260103R1</v>
          </cell>
          <cell r="J10866">
            <v>46114</v>
          </cell>
          <cell r="K10866">
            <v>4</v>
          </cell>
        </row>
        <row r="10867">
          <cell r="C10867" t="str">
            <v>蕭金椿</v>
          </cell>
          <cell r="F10867" t="str">
            <v>D260102R1</v>
          </cell>
          <cell r="J10867">
            <v>46119</v>
          </cell>
          <cell r="K10867">
            <v>2</v>
          </cell>
        </row>
        <row r="10868">
          <cell r="C10868" t="str">
            <v>蕭金椿</v>
          </cell>
          <cell r="J10868">
            <v>46119</v>
          </cell>
          <cell r="K10868">
            <v>6</v>
          </cell>
        </row>
        <row r="10869">
          <cell r="C10869" t="str">
            <v>蕭金椿</v>
          </cell>
          <cell r="F10869" t="str">
            <v>K251101R1</v>
          </cell>
          <cell r="J10869">
            <v>46120</v>
          </cell>
          <cell r="K10869">
            <v>2</v>
          </cell>
        </row>
        <row r="10870">
          <cell r="C10870" t="str">
            <v>蕭金椿</v>
          </cell>
          <cell r="J10870">
            <v>46120</v>
          </cell>
          <cell r="K10870">
            <v>1.5</v>
          </cell>
        </row>
        <row r="10871">
          <cell r="C10871" t="str">
            <v>蕭金椿</v>
          </cell>
          <cell r="J10871">
            <v>46120</v>
          </cell>
          <cell r="K10871">
            <v>3</v>
          </cell>
        </row>
        <row r="10872">
          <cell r="C10872" t="str">
            <v>蕭金椿</v>
          </cell>
          <cell r="J10872">
            <v>46120</v>
          </cell>
          <cell r="K10872">
            <v>1.5</v>
          </cell>
        </row>
        <row r="10873">
          <cell r="C10873" t="str">
            <v>蕭金椿</v>
          </cell>
          <cell r="F10873" t="str">
            <v>D260102R1</v>
          </cell>
          <cell r="J10873">
            <v>46121</v>
          </cell>
          <cell r="K10873">
            <v>2</v>
          </cell>
        </row>
        <row r="10874">
          <cell r="C10874" t="str">
            <v>蕭金椿</v>
          </cell>
          <cell r="J10874">
            <v>46121</v>
          </cell>
          <cell r="K10874">
            <v>6</v>
          </cell>
        </row>
        <row r="10875">
          <cell r="C10875" t="str">
            <v>蕭金椿</v>
          </cell>
          <cell r="F10875" t="str">
            <v>K251101R1</v>
          </cell>
          <cell r="J10875">
            <v>46122</v>
          </cell>
          <cell r="K10875">
            <v>8</v>
          </cell>
        </row>
        <row r="10876">
          <cell r="C10876" t="str">
            <v>蕭金椿</v>
          </cell>
          <cell r="F10876" t="str">
            <v>K251101R1</v>
          </cell>
          <cell r="J10876">
            <v>46125</v>
          </cell>
          <cell r="K10876">
            <v>8</v>
          </cell>
        </row>
        <row r="10877">
          <cell r="C10877" t="str">
            <v>蕭金椿</v>
          </cell>
          <cell r="J10877">
            <v>46126</v>
          </cell>
          <cell r="K10877">
            <v>8</v>
          </cell>
        </row>
        <row r="10878">
          <cell r="C10878" t="str">
            <v>蕭金椿</v>
          </cell>
          <cell r="J10878">
            <v>46127</v>
          </cell>
          <cell r="K10878">
            <v>2</v>
          </cell>
        </row>
        <row r="10879">
          <cell r="C10879" t="str">
            <v>蕭金椿</v>
          </cell>
          <cell r="F10879" t="str">
            <v>K251101R1</v>
          </cell>
          <cell r="J10879">
            <v>46127</v>
          </cell>
          <cell r="K10879">
            <v>6</v>
          </cell>
        </row>
        <row r="10880">
          <cell r="C10880" t="str">
            <v>蕭金椿</v>
          </cell>
          <cell r="J10880">
            <v>46128</v>
          </cell>
          <cell r="K10880">
            <v>1.5</v>
          </cell>
        </row>
        <row r="10881">
          <cell r="C10881" t="str">
            <v>蕭金椿</v>
          </cell>
          <cell r="F10881" t="str">
            <v>K251101R1</v>
          </cell>
          <cell r="J10881">
            <v>46128</v>
          </cell>
          <cell r="K10881">
            <v>6.5</v>
          </cell>
        </row>
        <row r="10882">
          <cell r="C10882" t="str">
            <v>蕭金椿</v>
          </cell>
          <cell r="J10882">
            <v>46129</v>
          </cell>
          <cell r="K10882">
            <v>1.5</v>
          </cell>
        </row>
        <row r="10883">
          <cell r="C10883" t="str">
            <v>蕭金椿</v>
          </cell>
          <cell r="J10883">
            <v>46129</v>
          </cell>
          <cell r="K10883">
            <v>1</v>
          </cell>
        </row>
        <row r="10884">
          <cell r="C10884" t="str">
            <v>蕭金椿</v>
          </cell>
          <cell r="F10884" t="str">
            <v>K251101R1</v>
          </cell>
          <cell r="J10884">
            <v>46129</v>
          </cell>
          <cell r="K10884">
            <v>5.5</v>
          </cell>
        </row>
        <row r="10885">
          <cell r="C10885" t="str">
            <v>蕭金椿</v>
          </cell>
          <cell r="J10885">
            <v>46132</v>
          </cell>
          <cell r="K10885">
            <v>2</v>
          </cell>
        </row>
        <row r="10886">
          <cell r="C10886" t="str">
            <v>蕭金椿</v>
          </cell>
          <cell r="F10886" t="str">
            <v>K251101R1</v>
          </cell>
          <cell r="J10886">
            <v>46132</v>
          </cell>
          <cell r="K10886">
            <v>6</v>
          </cell>
        </row>
        <row r="10887">
          <cell r="C10887" t="str">
            <v>蕭金椿</v>
          </cell>
          <cell r="F10887" t="str">
            <v>K251101R1</v>
          </cell>
          <cell r="J10887">
            <v>46133</v>
          </cell>
          <cell r="K10887">
            <v>4</v>
          </cell>
        </row>
        <row r="10888">
          <cell r="C10888" t="str">
            <v>蕭金椿</v>
          </cell>
          <cell r="F10888" t="str">
            <v>K251101R1</v>
          </cell>
          <cell r="J10888">
            <v>46133</v>
          </cell>
          <cell r="K10888">
            <v>4</v>
          </cell>
        </row>
        <row r="10889">
          <cell r="C10889" t="str">
            <v>蕭金椿</v>
          </cell>
          <cell r="J10889">
            <v>46134</v>
          </cell>
          <cell r="K10889">
            <v>1</v>
          </cell>
        </row>
        <row r="10890">
          <cell r="C10890" t="str">
            <v>蕭金椿</v>
          </cell>
          <cell r="J10890">
            <v>46134</v>
          </cell>
          <cell r="K10890">
            <v>1</v>
          </cell>
        </row>
        <row r="10891">
          <cell r="C10891" t="str">
            <v>蕭金椿</v>
          </cell>
          <cell r="F10891" t="str">
            <v>K251101R1</v>
          </cell>
          <cell r="J10891">
            <v>46134</v>
          </cell>
          <cell r="K10891">
            <v>6</v>
          </cell>
        </row>
        <row r="10892">
          <cell r="C10892" t="str">
            <v>蕭金椿</v>
          </cell>
          <cell r="F10892" t="str">
            <v>K251101R1</v>
          </cell>
          <cell r="J10892">
            <v>46135</v>
          </cell>
          <cell r="K10892">
            <v>8</v>
          </cell>
        </row>
        <row r="10893">
          <cell r="C10893" t="str">
            <v>蕭金椿</v>
          </cell>
          <cell r="F10893" t="str">
            <v>K251101R1</v>
          </cell>
          <cell r="J10893">
            <v>46136</v>
          </cell>
          <cell r="K10893">
            <v>8</v>
          </cell>
        </row>
        <row r="10894">
          <cell r="C10894" t="str">
            <v>蕭金椿</v>
          </cell>
          <cell r="J10894">
            <v>46139</v>
          </cell>
          <cell r="K10894">
            <v>2</v>
          </cell>
        </row>
        <row r="10895">
          <cell r="C10895" t="str">
            <v>蕭金椿</v>
          </cell>
          <cell r="J10895">
            <v>46139</v>
          </cell>
          <cell r="K10895">
            <v>1</v>
          </cell>
        </row>
        <row r="10896">
          <cell r="C10896" t="str">
            <v>蕭金椿</v>
          </cell>
          <cell r="J10896">
            <v>46139</v>
          </cell>
          <cell r="K10896">
            <v>3</v>
          </cell>
        </row>
        <row r="10897">
          <cell r="C10897" t="str">
            <v>蕭金椿</v>
          </cell>
          <cell r="J10897">
            <v>46139</v>
          </cell>
          <cell r="K10897">
            <v>2</v>
          </cell>
        </row>
        <row r="10898">
          <cell r="C10898" t="str">
            <v>蕭金椿</v>
          </cell>
          <cell r="J10898">
            <v>46140</v>
          </cell>
          <cell r="K10898">
            <v>4</v>
          </cell>
        </row>
        <row r="10899">
          <cell r="C10899" t="str">
            <v>蕭金椿</v>
          </cell>
          <cell r="F10899" t="str">
            <v>D260102R1</v>
          </cell>
          <cell r="J10899">
            <v>46140</v>
          </cell>
          <cell r="K10899">
            <v>2</v>
          </cell>
        </row>
        <row r="10900">
          <cell r="C10900" t="str">
            <v>蕭金椿</v>
          </cell>
          <cell r="J10900">
            <v>46140</v>
          </cell>
          <cell r="K10900">
            <v>2</v>
          </cell>
        </row>
        <row r="10901">
          <cell r="C10901" t="str">
            <v>蕭金椿</v>
          </cell>
          <cell r="J10901">
            <v>46141</v>
          </cell>
          <cell r="K10901">
            <v>2</v>
          </cell>
        </row>
        <row r="10902">
          <cell r="C10902" t="str">
            <v>蕭金椿</v>
          </cell>
          <cell r="J10902">
            <v>46141</v>
          </cell>
          <cell r="K10902">
            <v>2</v>
          </cell>
        </row>
        <row r="10903">
          <cell r="C10903" t="str">
            <v>蕭金椿</v>
          </cell>
          <cell r="F10903" t="str">
            <v>K251101R1</v>
          </cell>
          <cell r="J10903">
            <v>46141</v>
          </cell>
          <cell r="K10903">
            <v>2</v>
          </cell>
        </row>
        <row r="10904">
          <cell r="C10904" t="str">
            <v>蕭金椿</v>
          </cell>
          <cell r="J10904">
            <v>46141</v>
          </cell>
          <cell r="K10904">
            <v>1</v>
          </cell>
        </row>
        <row r="10905">
          <cell r="C10905" t="str">
            <v>蕭金椿</v>
          </cell>
          <cell r="J10905">
            <v>46141</v>
          </cell>
          <cell r="K10905">
            <v>1</v>
          </cell>
        </row>
        <row r="10906">
          <cell r="C10906" t="str">
            <v>蕭金椿</v>
          </cell>
          <cell r="F10906" t="str">
            <v>D260102R1</v>
          </cell>
          <cell r="J10906">
            <v>46142</v>
          </cell>
          <cell r="K10906">
            <v>1</v>
          </cell>
        </row>
        <row r="10907">
          <cell r="C10907" t="str">
            <v>蕭金椿</v>
          </cell>
          <cell r="J10907">
            <v>46142</v>
          </cell>
          <cell r="K10907">
            <v>1</v>
          </cell>
        </row>
        <row r="10908">
          <cell r="C10908" t="str">
            <v>蕭金椿</v>
          </cell>
          <cell r="J10908">
            <v>46142</v>
          </cell>
          <cell r="K10908">
            <v>2</v>
          </cell>
        </row>
        <row r="10909">
          <cell r="C10909" t="str">
            <v>蕭金椿</v>
          </cell>
          <cell r="F10909" t="str">
            <v>K251101R1</v>
          </cell>
          <cell r="J10909">
            <v>46142</v>
          </cell>
          <cell r="K10909">
            <v>4</v>
          </cell>
        </row>
        <row r="10910">
          <cell r="C10910" t="str">
            <v>蕭金椿</v>
          </cell>
          <cell r="F10910" t="str">
            <v>D260102R1</v>
          </cell>
          <cell r="J10910">
            <v>46146</v>
          </cell>
          <cell r="K10910">
            <v>1</v>
          </cell>
        </row>
        <row r="10911">
          <cell r="C10911" t="str">
            <v>蕭金椿</v>
          </cell>
          <cell r="J10911">
            <v>46146</v>
          </cell>
          <cell r="K10911">
            <v>1</v>
          </cell>
        </row>
        <row r="10912">
          <cell r="C10912" t="str">
            <v>蕭金椿</v>
          </cell>
          <cell r="J10912">
            <v>46146</v>
          </cell>
          <cell r="K10912">
            <v>2</v>
          </cell>
        </row>
        <row r="10913">
          <cell r="C10913" t="str">
            <v>蕭金椿</v>
          </cell>
          <cell r="F10913" t="str">
            <v>K251101R1</v>
          </cell>
          <cell r="J10913">
            <v>46146</v>
          </cell>
          <cell r="K10913">
            <v>3</v>
          </cell>
        </row>
        <row r="10914">
          <cell r="C10914" t="str">
            <v>蕭金椿</v>
          </cell>
          <cell r="J10914">
            <v>46147</v>
          </cell>
          <cell r="K10914">
            <v>1</v>
          </cell>
        </row>
        <row r="10915">
          <cell r="C10915" t="str">
            <v>蕭金椿</v>
          </cell>
          <cell r="F10915" t="str">
            <v>D260102R1</v>
          </cell>
          <cell r="J10915">
            <v>46147</v>
          </cell>
          <cell r="K10915">
            <v>4</v>
          </cell>
        </row>
        <row r="10916">
          <cell r="C10916" t="str">
            <v>蕭金椿</v>
          </cell>
          <cell r="F10916" t="str">
            <v>K251101R1</v>
          </cell>
          <cell r="J10916">
            <v>46147</v>
          </cell>
          <cell r="K10916">
            <v>3</v>
          </cell>
        </row>
        <row r="10917">
          <cell r="C10917" t="str">
            <v>蕭金椿</v>
          </cell>
          <cell r="J10917">
            <v>46148</v>
          </cell>
          <cell r="K10917">
            <v>1</v>
          </cell>
        </row>
        <row r="10918">
          <cell r="C10918" t="str">
            <v>蕭金椿</v>
          </cell>
          <cell r="F10918" t="str">
            <v>D260102R1</v>
          </cell>
          <cell r="J10918">
            <v>46148</v>
          </cell>
          <cell r="K10918">
            <v>3</v>
          </cell>
        </row>
        <row r="10919">
          <cell r="C10919" t="str">
            <v>蕭金椿</v>
          </cell>
          <cell r="F10919" t="str">
            <v>K251101R1</v>
          </cell>
          <cell r="J10919">
            <v>46148</v>
          </cell>
          <cell r="K10919">
            <v>4</v>
          </cell>
        </row>
        <row r="10920">
          <cell r="C10920" t="str">
            <v>蕭金椿</v>
          </cell>
          <cell r="J10920">
            <v>46149</v>
          </cell>
          <cell r="K10920">
            <v>6</v>
          </cell>
        </row>
        <row r="10921">
          <cell r="C10921" t="str">
            <v>蕭金椿</v>
          </cell>
          <cell r="F10921" t="str">
            <v>K251101R1</v>
          </cell>
          <cell r="J10921">
            <v>46149</v>
          </cell>
          <cell r="K10921">
            <v>2</v>
          </cell>
        </row>
        <row r="10922">
          <cell r="C10922" t="str">
            <v>蕭金椿</v>
          </cell>
          <cell r="F10922" t="str">
            <v>K251101R1</v>
          </cell>
          <cell r="J10922">
            <v>46150</v>
          </cell>
          <cell r="K10922">
            <v>2</v>
          </cell>
        </row>
        <row r="10923">
          <cell r="C10923" t="str">
            <v>蕭金椿</v>
          </cell>
          <cell r="F10923" t="str">
            <v>M190302R3</v>
          </cell>
          <cell r="J10923">
            <v>46150</v>
          </cell>
          <cell r="K10923">
            <v>6</v>
          </cell>
        </row>
        <row r="10924">
          <cell r="C10924" t="str">
            <v>蕭金椿</v>
          </cell>
          <cell r="J10924">
            <v>46153</v>
          </cell>
          <cell r="K10924">
            <v>8</v>
          </cell>
        </row>
        <row r="10925">
          <cell r="C10925" t="str">
            <v>蕭金椿</v>
          </cell>
          <cell r="J10925">
            <v>46154</v>
          </cell>
          <cell r="K10925">
            <v>2</v>
          </cell>
        </row>
        <row r="10926">
          <cell r="C10926" t="str">
            <v>蕭金椿</v>
          </cell>
          <cell r="F10926" t="str">
            <v>K251101R1</v>
          </cell>
          <cell r="J10926">
            <v>46154</v>
          </cell>
          <cell r="K10926">
            <v>6</v>
          </cell>
        </row>
        <row r="10927">
          <cell r="C10927" t="str">
            <v>蕭金椿</v>
          </cell>
          <cell r="J10927">
            <v>46155</v>
          </cell>
          <cell r="K10927">
            <v>2</v>
          </cell>
        </row>
        <row r="10928">
          <cell r="C10928" t="str">
            <v>蕭金椿</v>
          </cell>
          <cell r="J10928">
            <v>46155</v>
          </cell>
          <cell r="K10928">
            <v>1</v>
          </cell>
        </row>
        <row r="10929">
          <cell r="C10929" t="str">
            <v>蕭金椿</v>
          </cell>
          <cell r="F10929" t="str">
            <v>K251101R1</v>
          </cell>
          <cell r="J10929">
            <v>46155</v>
          </cell>
          <cell r="K10929">
            <v>5</v>
          </cell>
        </row>
        <row r="10930">
          <cell r="C10930" t="str">
            <v>蕭金椿</v>
          </cell>
          <cell r="J10930">
            <v>46156</v>
          </cell>
          <cell r="K10930">
            <v>2</v>
          </cell>
        </row>
        <row r="10931">
          <cell r="C10931" t="str">
            <v>蕭金椿</v>
          </cell>
          <cell r="J10931">
            <v>46156</v>
          </cell>
          <cell r="K10931">
            <v>2</v>
          </cell>
        </row>
        <row r="10932">
          <cell r="C10932" t="str">
            <v>蕭金椿</v>
          </cell>
          <cell r="F10932" t="str">
            <v>K251101R1</v>
          </cell>
          <cell r="J10932">
            <v>46156</v>
          </cell>
          <cell r="K10932">
            <v>4</v>
          </cell>
        </row>
        <row r="10933">
          <cell r="C10933" t="str">
            <v>蕭金椿</v>
          </cell>
          <cell r="J10933">
            <v>46157</v>
          </cell>
          <cell r="K10933">
            <v>1</v>
          </cell>
        </row>
        <row r="10934">
          <cell r="C10934" t="str">
            <v>蕭金椿</v>
          </cell>
          <cell r="F10934" t="str">
            <v>K251101R1</v>
          </cell>
          <cell r="J10934">
            <v>46157</v>
          </cell>
          <cell r="K10934">
            <v>4</v>
          </cell>
        </row>
        <row r="10935">
          <cell r="C10935" t="str">
            <v>蕭金椿</v>
          </cell>
          <cell r="J10935">
            <v>46157</v>
          </cell>
          <cell r="K10935">
            <v>1</v>
          </cell>
        </row>
        <row r="10936">
          <cell r="C10936" t="str">
            <v>蕭金椿</v>
          </cell>
          <cell r="F10936" t="str">
            <v>D260102R1</v>
          </cell>
          <cell r="J10936">
            <v>46157</v>
          </cell>
          <cell r="K10936">
            <v>2</v>
          </cell>
        </row>
        <row r="10937">
          <cell r="C10937" t="str">
            <v>蕭金椿</v>
          </cell>
          <cell r="F10937" t="str">
            <v>K201002R2</v>
          </cell>
          <cell r="J10937">
            <v>46160</v>
          </cell>
          <cell r="K10937">
            <v>7</v>
          </cell>
        </row>
        <row r="10938">
          <cell r="C10938" t="str">
            <v>蕭金椿</v>
          </cell>
          <cell r="J10938">
            <v>46160</v>
          </cell>
          <cell r="K10938">
            <v>1</v>
          </cell>
        </row>
        <row r="10939">
          <cell r="C10939" t="str">
            <v>蕭金椿</v>
          </cell>
          <cell r="F10939" t="str">
            <v>K251101R1</v>
          </cell>
          <cell r="J10939">
            <v>46161</v>
          </cell>
          <cell r="K10939">
            <v>8</v>
          </cell>
        </row>
        <row r="10940">
          <cell r="C10940" t="str">
            <v>張文魁</v>
          </cell>
          <cell r="F10940" t="str">
            <v>A150100C2</v>
          </cell>
          <cell r="J10940">
            <v>45470</v>
          </cell>
          <cell r="K10940">
            <v>8</v>
          </cell>
        </row>
        <row r="10941">
          <cell r="C10941" t="str">
            <v>張文魁</v>
          </cell>
          <cell r="F10941" t="str">
            <v>A150100C2</v>
          </cell>
          <cell r="J10941">
            <v>45471</v>
          </cell>
          <cell r="K10941">
            <v>8</v>
          </cell>
        </row>
        <row r="10942">
          <cell r="C10942" t="str">
            <v>張文魁</v>
          </cell>
          <cell r="F10942" t="str">
            <v>K200501R1</v>
          </cell>
          <cell r="J10942">
            <v>45474</v>
          </cell>
          <cell r="K10942">
            <v>8</v>
          </cell>
        </row>
        <row r="10943">
          <cell r="C10943" t="str">
            <v>張文魁</v>
          </cell>
          <cell r="F10943" t="str">
            <v>K200501R1</v>
          </cell>
          <cell r="J10943">
            <v>45475</v>
          </cell>
          <cell r="K10943">
            <v>8</v>
          </cell>
        </row>
        <row r="10944">
          <cell r="C10944" t="str">
            <v>張文魁</v>
          </cell>
          <cell r="F10944" t="str">
            <v>K200501R1</v>
          </cell>
          <cell r="J10944">
            <v>45476</v>
          </cell>
          <cell r="K10944">
            <v>8</v>
          </cell>
        </row>
        <row r="10945">
          <cell r="C10945" t="str">
            <v>張文魁</v>
          </cell>
          <cell r="F10945" t="str">
            <v>K200501R1</v>
          </cell>
          <cell r="J10945">
            <v>45477</v>
          </cell>
          <cell r="K10945">
            <v>8</v>
          </cell>
        </row>
        <row r="10946">
          <cell r="C10946" t="str">
            <v>張文魁</v>
          </cell>
          <cell r="F10946" t="str">
            <v>K200501R1</v>
          </cell>
          <cell r="J10946">
            <v>45478</v>
          </cell>
          <cell r="K10946">
            <v>8</v>
          </cell>
        </row>
        <row r="10947">
          <cell r="C10947" t="str">
            <v>張文魁</v>
          </cell>
          <cell r="F10947" t="str">
            <v>K200501R1</v>
          </cell>
          <cell r="J10947">
            <v>45481</v>
          </cell>
          <cell r="K10947">
            <v>8</v>
          </cell>
        </row>
        <row r="10948">
          <cell r="C10948" t="str">
            <v>張文魁</v>
          </cell>
          <cell r="F10948" t="str">
            <v>K200501R1</v>
          </cell>
          <cell r="J10948">
            <v>45482</v>
          </cell>
          <cell r="K10948">
            <v>8</v>
          </cell>
        </row>
        <row r="10949">
          <cell r="C10949" t="str">
            <v>張文魁</v>
          </cell>
          <cell r="F10949" t="str">
            <v>K200501R1</v>
          </cell>
          <cell r="J10949">
            <v>45483</v>
          </cell>
          <cell r="K10949">
            <v>8</v>
          </cell>
        </row>
        <row r="10950">
          <cell r="C10950" t="str">
            <v>張文魁</v>
          </cell>
          <cell r="F10950" t="str">
            <v>K200501R1</v>
          </cell>
          <cell r="J10950">
            <v>45484</v>
          </cell>
          <cell r="K10950">
            <v>8</v>
          </cell>
        </row>
        <row r="10951">
          <cell r="C10951" t="str">
            <v>張文魁</v>
          </cell>
          <cell r="F10951" t="str">
            <v>K200501R1</v>
          </cell>
          <cell r="J10951">
            <v>45485</v>
          </cell>
          <cell r="K10951">
            <v>4</v>
          </cell>
        </row>
        <row r="10952">
          <cell r="C10952" t="str">
            <v>張文魁</v>
          </cell>
          <cell r="F10952" t="str">
            <v>M220101R1</v>
          </cell>
          <cell r="J10952">
            <v>45485</v>
          </cell>
          <cell r="K10952">
            <v>4</v>
          </cell>
        </row>
        <row r="10953">
          <cell r="C10953" t="str">
            <v>張文魁</v>
          </cell>
          <cell r="F10953" t="str">
            <v>M220101R1</v>
          </cell>
          <cell r="J10953">
            <v>45488</v>
          </cell>
          <cell r="K10953">
            <v>8</v>
          </cell>
        </row>
        <row r="10954">
          <cell r="C10954" t="str">
            <v>張文魁</v>
          </cell>
          <cell r="F10954" t="str">
            <v>K200501R1</v>
          </cell>
          <cell r="J10954">
            <v>45489</v>
          </cell>
          <cell r="K10954">
            <v>8</v>
          </cell>
        </row>
        <row r="10955">
          <cell r="C10955" t="str">
            <v>張文魁</v>
          </cell>
          <cell r="F10955" t="str">
            <v>M220101R1</v>
          </cell>
          <cell r="J10955">
            <v>45490</v>
          </cell>
          <cell r="K10955">
            <v>8</v>
          </cell>
        </row>
        <row r="10956">
          <cell r="C10956" t="str">
            <v>張文魁</v>
          </cell>
          <cell r="F10956" t="str">
            <v>K200501R1</v>
          </cell>
          <cell r="J10956">
            <v>45491</v>
          </cell>
          <cell r="K10956">
            <v>8</v>
          </cell>
        </row>
        <row r="10957">
          <cell r="C10957" t="str">
            <v>張文魁</v>
          </cell>
          <cell r="F10957" t="str">
            <v>K200501R1</v>
          </cell>
          <cell r="J10957">
            <v>45495</v>
          </cell>
          <cell r="K10957">
            <v>8</v>
          </cell>
        </row>
        <row r="10958">
          <cell r="C10958" t="str">
            <v>張文魁</v>
          </cell>
          <cell r="F10958" t="str">
            <v>K200501R1</v>
          </cell>
          <cell r="J10958">
            <v>45496</v>
          </cell>
          <cell r="K10958">
            <v>8</v>
          </cell>
        </row>
        <row r="10959">
          <cell r="C10959" t="str">
            <v>張文魁</v>
          </cell>
          <cell r="F10959" t="str">
            <v>K200501R1</v>
          </cell>
          <cell r="J10959">
            <v>45497</v>
          </cell>
          <cell r="K10959">
            <v>8</v>
          </cell>
        </row>
        <row r="10960">
          <cell r="C10960" t="str">
            <v>張文魁</v>
          </cell>
          <cell r="F10960" t="str">
            <v>K200501R1</v>
          </cell>
          <cell r="J10960">
            <v>45498</v>
          </cell>
          <cell r="K10960">
            <v>8</v>
          </cell>
        </row>
        <row r="10961">
          <cell r="C10961" t="str">
            <v>張文魁</v>
          </cell>
          <cell r="F10961" t="str">
            <v>K200501R1</v>
          </cell>
          <cell r="J10961">
            <v>45499</v>
          </cell>
          <cell r="K10961">
            <v>8</v>
          </cell>
        </row>
        <row r="10962">
          <cell r="C10962" t="str">
            <v>張文魁</v>
          </cell>
          <cell r="F10962" t="str">
            <v>K200501R1</v>
          </cell>
          <cell r="J10962">
            <v>45502</v>
          </cell>
          <cell r="K10962">
            <v>8</v>
          </cell>
        </row>
        <row r="10963">
          <cell r="C10963" t="str">
            <v>張文魁</v>
          </cell>
          <cell r="F10963" t="str">
            <v>K200501R1</v>
          </cell>
          <cell r="J10963">
            <v>45503</v>
          </cell>
          <cell r="K10963">
            <v>8</v>
          </cell>
        </row>
        <row r="10964">
          <cell r="C10964" t="str">
            <v>張文魁</v>
          </cell>
          <cell r="F10964" t="str">
            <v>M240705R1</v>
          </cell>
          <cell r="J10964">
            <v>45504</v>
          </cell>
          <cell r="K10964">
            <v>8</v>
          </cell>
        </row>
        <row r="10965">
          <cell r="C10965" t="str">
            <v>張文魁</v>
          </cell>
          <cell r="F10965" t="str">
            <v>K200501R1</v>
          </cell>
          <cell r="J10965">
            <v>45505</v>
          </cell>
          <cell r="K10965">
            <v>8</v>
          </cell>
        </row>
        <row r="10966">
          <cell r="C10966" t="str">
            <v>張文魁</v>
          </cell>
          <cell r="F10966" t="str">
            <v>K200501R1</v>
          </cell>
          <cell r="J10966">
            <v>45506</v>
          </cell>
          <cell r="K10966">
            <v>8</v>
          </cell>
        </row>
        <row r="10967">
          <cell r="C10967" t="str">
            <v>張文魁</v>
          </cell>
          <cell r="F10967" t="str">
            <v>K200501R1</v>
          </cell>
          <cell r="J10967">
            <v>45509</v>
          </cell>
          <cell r="K10967">
            <v>8</v>
          </cell>
        </row>
        <row r="10968">
          <cell r="C10968" t="str">
            <v>張文魁</v>
          </cell>
          <cell r="F10968" t="str">
            <v>M240702R1</v>
          </cell>
          <cell r="J10968">
            <v>45510</v>
          </cell>
          <cell r="K10968">
            <v>8</v>
          </cell>
        </row>
        <row r="10969">
          <cell r="C10969" t="str">
            <v>張文魁</v>
          </cell>
          <cell r="F10969" t="str">
            <v>M240702R1</v>
          </cell>
          <cell r="J10969">
            <v>45511</v>
          </cell>
          <cell r="K10969">
            <v>4</v>
          </cell>
        </row>
        <row r="10970">
          <cell r="C10970" t="str">
            <v>張文魁</v>
          </cell>
          <cell r="F10970" t="str">
            <v>M240702R1</v>
          </cell>
          <cell r="J10970">
            <v>45511</v>
          </cell>
          <cell r="K10970">
            <v>4</v>
          </cell>
        </row>
        <row r="10971">
          <cell r="C10971" t="str">
            <v>張文魁</v>
          </cell>
          <cell r="F10971" t="str">
            <v>M240702R1</v>
          </cell>
          <cell r="J10971">
            <v>45512</v>
          </cell>
          <cell r="K10971">
            <v>8</v>
          </cell>
        </row>
        <row r="10972">
          <cell r="C10972" t="str">
            <v>張文魁</v>
          </cell>
          <cell r="F10972" t="str">
            <v>M240702R1</v>
          </cell>
          <cell r="J10972">
            <v>45513</v>
          </cell>
          <cell r="K10972">
            <v>8</v>
          </cell>
        </row>
        <row r="10973">
          <cell r="C10973" t="str">
            <v>張文魁</v>
          </cell>
          <cell r="F10973" t="str">
            <v>M240702R1</v>
          </cell>
          <cell r="J10973">
            <v>45516</v>
          </cell>
          <cell r="K10973">
            <v>8</v>
          </cell>
        </row>
        <row r="10974">
          <cell r="C10974" t="str">
            <v>張文魁</v>
          </cell>
          <cell r="F10974" t="str">
            <v>M240702R1</v>
          </cell>
          <cell r="J10974">
            <v>45517</v>
          </cell>
          <cell r="K10974">
            <v>8</v>
          </cell>
        </row>
        <row r="10975">
          <cell r="C10975" t="str">
            <v>張文魁</v>
          </cell>
          <cell r="F10975" t="str">
            <v>M240702R1</v>
          </cell>
          <cell r="J10975">
            <v>45518</v>
          </cell>
          <cell r="K10975">
            <v>8</v>
          </cell>
        </row>
        <row r="10976">
          <cell r="C10976" t="str">
            <v>張文魁</v>
          </cell>
          <cell r="F10976" t="str">
            <v>M240702R1</v>
          </cell>
          <cell r="J10976">
            <v>45519</v>
          </cell>
          <cell r="K10976">
            <v>8</v>
          </cell>
        </row>
        <row r="10977">
          <cell r="C10977" t="str">
            <v>張文魁</v>
          </cell>
          <cell r="F10977" t="str">
            <v>M240702R1</v>
          </cell>
          <cell r="J10977">
            <v>45520</v>
          </cell>
          <cell r="K10977">
            <v>8</v>
          </cell>
        </row>
        <row r="10978">
          <cell r="C10978" t="str">
            <v>張文魁</v>
          </cell>
          <cell r="F10978" t="str">
            <v>M240702R1</v>
          </cell>
          <cell r="J10978">
            <v>45523</v>
          </cell>
          <cell r="K10978">
            <v>8</v>
          </cell>
        </row>
        <row r="10979">
          <cell r="C10979" t="str">
            <v>張文魁</v>
          </cell>
          <cell r="F10979" t="str">
            <v>M240705R1</v>
          </cell>
          <cell r="J10979">
            <v>45524</v>
          </cell>
          <cell r="K10979">
            <v>8</v>
          </cell>
        </row>
        <row r="10980">
          <cell r="C10980" t="str">
            <v>張文魁</v>
          </cell>
          <cell r="F10980" t="str">
            <v>M240705R1</v>
          </cell>
          <cell r="J10980">
            <v>45525</v>
          </cell>
          <cell r="K10980">
            <v>8</v>
          </cell>
        </row>
        <row r="10981">
          <cell r="C10981" t="str">
            <v>張文魁</v>
          </cell>
          <cell r="F10981" t="str">
            <v>M240705R1</v>
          </cell>
          <cell r="J10981">
            <v>45526</v>
          </cell>
          <cell r="K10981">
            <v>8</v>
          </cell>
        </row>
        <row r="10982">
          <cell r="C10982" t="str">
            <v>張文魁</v>
          </cell>
          <cell r="F10982" t="str">
            <v>M240705R1</v>
          </cell>
          <cell r="J10982">
            <v>45527</v>
          </cell>
          <cell r="K10982">
            <v>8</v>
          </cell>
        </row>
        <row r="10983">
          <cell r="C10983" t="str">
            <v>張文魁</v>
          </cell>
          <cell r="F10983" t="str">
            <v>M240705R1</v>
          </cell>
          <cell r="J10983">
            <v>45530</v>
          </cell>
          <cell r="K10983">
            <v>8</v>
          </cell>
        </row>
        <row r="10984">
          <cell r="C10984" t="str">
            <v>張文魁</v>
          </cell>
          <cell r="F10984" t="str">
            <v>K200501R1</v>
          </cell>
          <cell r="J10984">
            <v>45531</v>
          </cell>
          <cell r="K10984">
            <v>4</v>
          </cell>
        </row>
        <row r="10985">
          <cell r="C10985" t="str">
            <v>張文魁</v>
          </cell>
          <cell r="J10985">
            <v>45531</v>
          </cell>
          <cell r="K10985">
            <v>4</v>
          </cell>
        </row>
        <row r="10986">
          <cell r="C10986" t="str">
            <v>張文魁</v>
          </cell>
          <cell r="J10986">
            <v>45532</v>
          </cell>
          <cell r="K10986">
            <v>8</v>
          </cell>
        </row>
        <row r="10987">
          <cell r="C10987" t="str">
            <v>張文魁</v>
          </cell>
          <cell r="J10987">
            <v>45533</v>
          </cell>
          <cell r="K10987">
            <v>8</v>
          </cell>
        </row>
        <row r="10988">
          <cell r="C10988" t="str">
            <v>張文魁</v>
          </cell>
          <cell r="F10988" t="str">
            <v>M240705R1</v>
          </cell>
          <cell r="J10988">
            <v>45534</v>
          </cell>
          <cell r="K10988">
            <v>8</v>
          </cell>
        </row>
        <row r="10989">
          <cell r="C10989" t="str">
            <v>張文魁</v>
          </cell>
          <cell r="J10989">
            <v>45537</v>
          </cell>
          <cell r="K10989">
            <v>4</v>
          </cell>
        </row>
        <row r="10990">
          <cell r="C10990" t="str">
            <v>張文魁</v>
          </cell>
          <cell r="F10990" t="str">
            <v>M240705R1</v>
          </cell>
          <cell r="J10990">
            <v>45537</v>
          </cell>
          <cell r="K10990">
            <v>4</v>
          </cell>
        </row>
        <row r="10991">
          <cell r="C10991" t="str">
            <v>張文魁</v>
          </cell>
          <cell r="F10991" t="str">
            <v>M240705R1</v>
          </cell>
          <cell r="J10991">
            <v>45538</v>
          </cell>
          <cell r="K10991">
            <v>8</v>
          </cell>
        </row>
        <row r="10992">
          <cell r="C10992" t="str">
            <v>張文魁</v>
          </cell>
          <cell r="F10992" t="str">
            <v>M240705R1</v>
          </cell>
          <cell r="J10992">
            <v>45539</v>
          </cell>
          <cell r="K10992">
            <v>8</v>
          </cell>
        </row>
        <row r="10993">
          <cell r="C10993" t="str">
            <v>張文魁</v>
          </cell>
          <cell r="F10993" t="str">
            <v>M240705R1</v>
          </cell>
          <cell r="J10993">
            <v>45540</v>
          </cell>
          <cell r="K10993">
            <v>8</v>
          </cell>
        </row>
        <row r="10994">
          <cell r="C10994" t="str">
            <v>張文魁</v>
          </cell>
          <cell r="F10994" t="str">
            <v>K200501R1</v>
          </cell>
          <cell r="J10994">
            <v>45541</v>
          </cell>
          <cell r="K10994">
            <v>8</v>
          </cell>
        </row>
        <row r="10995">
          <cell r="C10995" t="str">
            <v>張文魁</v>
          </cell>
          <cell r="F10995" t="str">
            <v>M240705R1</v>
          </cell>
          <cell r="J10995">
            <v>45544</v>
          </cell>
          <cell r="K10995">
            <v>8</v>
          </cell>
        </row>
        <row r="10996">
          <cell r="C10996" t="str">
            <v>張文魁</v>
          </cell>
          <cell r="F10996" t="str">
            <v>K200501R1</v>
          </cell>
          <cell r="J10996">
            <v>45545</v>
          </cell>
          <cell r="K10996">
            <v>8</v>
          </cell>
        </row>
        <row r="10997">
          <cell r="C10997" t="str">
            <v>張文魁</v>
          </cell>
          <cell r="F10997" t="str">
            <v>K200501R1</v>
          </cell>
          <cell r="J10997">
            <v>45546</v>
          </cell>
          <cell r="K10997">
            <v>8</v>
          </cell>
        </row>
        <row r="10998">
          <cell r="C10998" t="str">
            <v>張文魁</v>
          </cell>
          <cell r="F10998" t="str">
            <v>K200501R1</v>
          </cell>
          <cell r="J10998">
            <v>45547</v>
          </cell>
          <cell r="K10998">
            <v>8</v>
          </cell>
        </row>
        <row r="10999">
          <cell r="C10999" t="str">
            <v>張文魁</v>
          </cell>
          <cell r="F10999" t="str">
            <v>K200501R1</v>
          </cell>
          <cell r="J10999">
            <v>45548</v>
          </cell>
          <cell r="K10999">
            <v>8</v>
          </cell>
        </row>
        <row r="11000">
          <cell r="C11000" t="str">
            <v>張文魁</v>
          </cell>
          <cell r="F11000" t="str">
            <v>M240702R1</v>
          </cell>
          <cell r="J11000">
            <v>45551</v>
          </cell>
          <cell r="K11000">
            <v>8</v>
          </cell>
        </row>
        <row r="11001">
          <cell r="C11001" t="str">
            <v>張文魁</v>
          </cell>
          <cell r="F11001" t="str">
            <v>K200501R1</v>
          </cell>
          <cell r="J11001">
            <v>45553</v>
          </cell>
          <cell r="K11001">
            <v>8</v>
          </cell>
        </row>
        <row r="11002">
          <cell r="C11002" t="str">
            <v>張文魁</v>
          </cell>
          <cell r="F11002" t="str">
            <v>M240705R1</v>
          </cell>
          <cell r="J11002">
            <v>45554</v>
          </cell>
          <cell r="K11002">
            <v>8</v>
          </cell>
        </row>
        <row r="11003">
          <cell r="C11003" t="str">
            <v>張文魁</v>
          </cell>
          <cell r="F11003" t="str">
            <v>M240705R1</v>
          </cell>
          <cell r="J11003">
            <v>45555</v>
          </cell>
          <cell r="K11003">
            <v>8</v>
          </cell>
        </row>
        <row r="11004">
          <cell r="C11004" t="str">
            <v>張文魁</v>
          </cell>
          <cell r="F11004" t="str">
            <v>M240702R1</v>
          </cell>
          <cell r="J11004">
            <v>45558</v>
          </cell>
          <cell r="K11004">
            <v>8</v>
          </cell>
        </row>
        <row r="11005">
          <cell r="C11005" t="str">
            <v>張文魁</v>
          </cell>
          <cell r="F11005" t="str">
            <v>M240702R1</v>
          </cell>
          <cell r="J11005">
            <v>45559</v>
          </cell>
          <cell r="K11005">
            <v>8</v>
          </cell>
        </row>
        <row r="11006">
          <cell r="C11006" t="str">
            <v>張文魁</v>
          </cell>
          <cell r="F11006" t="str">
            <v>M240702R1</v>
          </cell>
          <cell r="J11006">
            <v>45560</v>
          </cell>
          <cell r="K11006">
            <v>8</v>
          </cell>
        </row>
        <row r="11007">
          <cell r="C11007" t="str">
            <v>張文魁</v>
          </cell>
          <cell r="F11007" t="str">
            <v>M240704R1</v>
          </cell>
          <cell r="J11007">
            <v>45561</v>
          </cell>
          <cell r="K11007">
            <v>8</v>
          </cell>
        </row>
        <row r="11008">
          <cell r="C11008" t="str">
            <v>張文魁</v>
          </cell>
          <cell r="F11008" t="str">
            <v>M240704R1</v>
          </cell>
          <cell r="J11008">
            <v>45562</v>
          </cell>
          <cell r="K11008">
            <v>8</v>
          </cell>
        </row>
        <row r="11009">
          <cell r="C11009" t="str">
            <v>張文魁</v>
          </cell>
          <cell r="F11009" t="str">
            <v>M240704R1</v>
          </cell>
          <cell r="J11009">
            <v>45565</v>
          </cell>
          <cell r="K11009">
            <v>8</v>
          </cell>
        </row>
        <row r="11010">
          <cell r="C11010" t="str">
            <v>張文魁</v>
          </cell>
          <cell r="F11010" t="str">
            <v>M240702R1</v>
          </cell>
          <cell r="J11010">
            <v>45566</v>
          </cell>
          <cell r="K11010">
            <v>8</v>
          </cell>
        </row>
        <row r="11011">
          <cell r="C11011" t="str">
            <v>張文魁</v>
          </cell>
          <cell r="F11011" t="str">
            <v>M240704R1</v>
          </cell>
          <cell r="J11011">
            <v>45569</v>
          </cell>
          <cell r="K11011">
            <v>8</v>
          </cell>
        </row>
        <row r="11012">
          <cell r="C11012" t="str">
            <v>張文魁</v>
          </cell>
          <cell r="F11012" t="str">
            <v>M240704R1</v>
          </cell>
          <cell r="J11012">
            <v>45572</v>
          </cell>
          <cell r="K11012">
            <v>8</v>
          </cell>
        </row>
        <row r="11013">
          <cell r="C11013" t="str">
            <v>張文魁</v>
          </cell>
          <cell r="F11013" t="str">
            <v>M240704R1</v>
          </cell>
          <cell r="J11013">
            <v>45573</v>
          </cell>
          <cell r="K11013">
            <v>8</v>
          </cell>
        </row>
        <row r="11014">
          <cell r="C11014" t="str">
            <v>張文魁</v>
          </cell>
          <cell r="F11014" t="str">
            <v>K240801R1</v>
          </cell>
          <cell r="J11014">
            <v>45574</v>
          </cell>
          <cell r="K11014">
            <v>8</v>
          </cell>
        </row>
        <row r="11015">
          <cell r="C11015" t="str">
            <v>張文魁</v>
          </cell>
          <cell r="F11015" t="str">
            <v>K240801R1</v>
          </cell>
          <cell r="J11015">
            <v>45579</v>
          </cell>
          <cell r="K11015">
            <v>8</v>
          </cell>
        </row>
        <row r="11016">
          <cell r="C11016" t="str">
            <v>張文魁</v>
          </cell>
          <cell r="F11016" t="str">
            <v>K240801R1</v>
          </cell>
          <cell r="J11016">
            <v>45580</v>
          </cell>
          <cell r="K11016">
            <v>8</v>
          </cell>
        </row>
        <row r="11017">
          <cell r="C11017" t="str">
            <v>張文魁</v>
          </cell>
          <cell r="F11017" t="str">
            <v>M240702R1</v>
          </cell>
          <cell r="J11017">
            <v>45581</v>
          </cell>
          <cell r="K11017">
            <v>8</v>
          </cell>
        </row>
        <row r="11018">
          <cell r="C11018" t="str">
            <v>張文魁</v>
          </cell>
          <cell r="F11018" t="str">
            <v>M240702R1</v>
          </cell>
          <cell r="J11018">
            <v>45582</v>
          </cell>
          <cell r="K11018">
            <v>8</v>
          </cell>
        </row>
        <row r="11019">
          <cell r="C11019" t="str">
            <v>張文魁</v>
          </cell>
          <cell r="F11019" t="str">
            <v>K240801R1</v>
          </cell>
          <cell r="J11019">
            <v>45583</v>
          </cell>
          <cell r="K11019">
            <v>8</v>
          </cell>
        </row>
        <row r="11020">
          <cell r="C11020" t="str">
            <v>張文魁</v>
          </cell>
          <cell r="F11020" t="str">
            <v>K240801R1</v>
          </cell>
          <cell r="J11020">
            <v>45586</v>
          </cell>
          <cell r="K11020">
            <v>8</v>
          </cell>
        </row>
        <row r="11021">
          <cell r="C11021" t="str">
            <v>張文魁</v>
          </cell>
          <cell r="F11021" t="str">
            <v>K240801R1</v>
          </cell>
          <cell r="J11021">
            <v>45587</v>
          </cell>
          <cell r="K11021">
            <v>8</v>
          </cell>
        </row>
        <row r="11022">
          <cell r="C11022" t="str">
            <v>張文魁</v>
          </cell>
          <cell r="F11022" t="str">
            <v>K240801R1</v>
          </cell>
          <cell r="J11022">
            <v>45588</v>
          </cell>
          <cell r="K11022">
            <v>8</v>
          </cell>
        </row>
        <row r="11023">
          <cell r="C11023" t="str">
            <v>張文魁</v>
          </cell>
          <cell r="F11023" t="str">
            <v>K240801R1</v>
          </cell>
          <cell r="J11023">
            <v>45589</v>
          </cell>
          <cell r="K11023">
            <v>8</v>
          </cell>
        </row>
        <row r="11024">
          <cell r="C11024" t="str">
            <v>張文魁</v>
          </cell>
          <cell r="F11024" t="str">
            <v>K240801R1</v>
          </cell>
          <cell r="J11024">
            <v>45590</v>
          </cell>
          <cell r="K11024">
            <v>8</v>
          </cell>
        </row>
        <row r="11025">
          <cell r="C11025" t="str">
            <v>張文魁</v>
          </cell>
          <cell r="F11025" t="str">
            <v>K240801R1</v>
          </cell>
          <cell r="J11025">
            <v>45593</v>
          </cell>
          <cell r="K11025">
            <v>8</v>
          </cell>
        </row>
        <row r="11026">
          <cell r="C11026" t="str">
            <v>張文魁</v>
          </cell>
          <cell r="F11026" t="str">
            <v>K240801R1</v>
          </cell>
          <cell r="J11026">
            <v>45594</v>
          </cell>
          <cell r="K11026">
            <v>8</v>
          </cell>
        </row>
        <row r="11027">
          <cell r="C11027" t="str">
            <v>張文魁</v>
          </cell>
          <cell r="F11027" t="str">
            <v>M240704R1</v>
          </cell>
          <cell r="J11027">
            <v>45595</v>
          </cell>
          <cell r="K11027">
            <v>8</v>
          </cell>
        </row>
        <row r="11028">
          <cell r="C11028" t="str">
            <v>張文魁</v>
          </cell>
          <cell r="F11028" t="str">
            <v>M240704R1</v>
          </cell>
          <cell r="J11028">
            <v>45597</v>
          </cell>
          <cell r="K11028">
            <v>8</v>
          </cell>
        </row>
        <row r="11029">
          <cell r="C11029" t="str">
            <v>張文魁</v>
          </cell>
          <cell r="F11029" t="str">
            <v>M240704R1</v>
          </cell>
          <cell r="J11029">
            <v>45600</v>
          </cell>
          <cell r="K11029">
            <v>8</v>
          </cell>
        </row>
        <row r="11030">
          <cell r="C11030" t="str">
            <v>張文魁</v>
          </cell>
          <cell r="F11030" t="str">
            <v>M240704R1</v>
          </cell>
          <cell r="J11030">
            <v>45601</v>
          </cell>
          <cell r="K11030">
            <v>8</v>
          </cell>
        </row>
        <row r="11031">
          <cell r="C11031" t="str">
            <v>張文魁</v>
          </cell>
          <cell r="F11031" t="str">
            <v>M240704R1</v>
          </cell>
          <cell r="J11031">
            <v>45602</v>
          </cell>
          <cell r="K11031">
            <v>8</v>
          </cell>
        </row>
        <row r="11032">
          <cell r="C11032" t="str">
            <v>張文魁</v>
          </cell>
          <cell r="F11032" t="str">
            <v>K200501R1</v>
          </cell>
          <cell r="J11032">
            <v>45603</v>
          </cell>
          <cell r="K11032">
            <v>8</v>
          </cell>
        </row>
        <row r="11033">
          <cell r="C11033" t="str">
            <v>張文魁</v>
          </cell>
          <cell r="F11033" t="str">
            <v>K200501R1</v>
          </cell>
          <cell r="J11033">
            <v>45604</v>
          </cell>
          <cell r="K11033">
            <v>8</v>
          </cell>
        </row>
        <row r="11034">
          <cell r="C11034" t="str">
            <v>張文魁</v>
          </cell>
          <cell r="F11034" t="str">
            <v>M240704R1</v>
          </cell>
          <cell r="J11034">
            <v>45607</v>
          </cell>
          <cell r="K11034">
            <v>8</v>
          </cell>
        </row>
        <row r="11035">
          <cell r="C11035" t="str">
            <v>張文魁</v>
          </cell>
          <cell r="F11035" t="str">
            <v>M240704R1</v>
          </cell>
          <cell r="J11035">
            <v>45607</v>
          </cell>
          <cell r="K11035">
            <v>8</v>
          </cell>
        </row>
        <row r="11036">
          <cell r="C11036" t="str">
            <v>張文魁</v>
          </cell>
          <cell r="F11036" t="str">
            <v>M240704R1</v>
          </cell>
          <cell r="J11036">
            <v>45608</v>
          </cell>
          <cell r="K11036">
            <v>8</v>
          </cell>
        </row>
        <row r="11037">
          <cell r="C11037" t="str">
            <v>張文魁</v>
          </cell>
          <cell r="F11037" t="str">
            <v>K200501R1</v>
          </cell>
          <cell r="J11037">
            <v>45609</v>
          </cell>
          <cell r="K11037">
            <v>8</v>
          </cell>
        </row>
        <row r="11038">
          <cell r="C11038" t="str">
            <v>張文魁</v>
          </cell>
          <cell r="F11038" t="str">
            <v>M240704R1</v>
          </cell>
          <cell r="J11038">
            <v>45610</v>
          </cell>
          <cell r="K11038">
            <v>8</v>
          </cell>
        </row>
        <row r="11039">
          <cell r="C11039" t="str">
            <v>張文魁</v>
          </cell>
          <cell r="F11039" t="str">
            <v>K200501R1</v>
          </cell>
          <cell r="J11039">
            <v>45611</v>
          </cell>
          <cell r="K11039">
            <v>8</v>
          </cell>
        </row>
        <row r="11040">
          <cell r="C11040" t="str">
            <v>張文魁</v>
          </cell>
          <cell r="F11040" t="str">
            <v>M240704R1</v>
          </cell>
          <cell r="J11040">
            <v>45614</v>
          </cell>
          <cell r="K11040">
            <v>8</v>
          </cell>
        </row>
        <row r="11041">
          <cell r="C11041" t="str">
            <v>張文魁</v>
          </cell>
          <cell r="F11041" t="str">
            <v>M240704R1</v>
          </cell>
          <cell r="J11041">
            <v>45615</v>
          </cell>
          <cell r="K11041">
            <v>8</v>
          </cell>
        </row>
        <row r="11042">
          <cell r="C11042" t="str">
            <v>張文魁</v>
          </cell>
          <cell r="F11042" t="str">
            <v>M240704R1</v>
          </cell>
          <cell r="J11042">
            <v>45616</v>
          </cell>
          <cell r="K11042">
            <v>8</v>
          </cell>
        </row>
        <row r="11043">
          <cell r="C11043" t="str">
            <v>張文魁</v>
          </cell>
          <cell r="F11043" t="str">
            <v>M240704R1</v>
          </cell>
          <cell r="J11043">
            <v>45617</v>
          </cell>
          <cell r="K11043">
            <v>8</v>
          </cell>
        </row>
        <row r="11044">
          <cell r="C11044" t="str">
            <v>張文魁</v>
          </cell>
          <cell r="F11044" t="str">
            <v>M240704R1</v>
          </cell>
          <cell r="J11044">
            <v>45618</v>
          </cell>
          <cell r="K11044">
            <v>8</v>
          </cell>
        </row>
        <row r="11045">
          <cell r="C11045" t="str">
            <v>張文魁</v>
          </cell>
          <cell r="F11045" t="str">
            <v>M240704R1</v>
          </cell>
          <cell r="J11045">
            <v>45621</v>
          </cell>
          <cell r="K11045">
            <v>8</v>
          </cell>
        </row>
        <row r="11046">
          <cell r="C11046" t="str">
            <v>張文魁</v>
          </cell>
          <cell r="F11046" t="str">
            <v>M240704R1</v>
          </cell>
          <cell r="J11046">
            <v>45622</v>
          </cell>
          <cell r="K11046">
            <v>8</v>
          </cell>
        </row>
        <row r="11047">
          <cell r="C11047" t="str">
            <v>張文魁</v>
          </cell>
          <cell r="F11047" t="str">
            <v>M240704R1</v>
          </cell>
          <cell r="J11047">
            <v>45623</v>
          </cell>
          <cell r="K11047">
            <v>8</v>
          </cell>
        </row>
        <row r="11048">
          <cell r="C11048" t="str">
            <v>張文魁</v>
          </cell>
          <cell r="F11048" t="str">
            <v>M240704R1</v>
          </cell>
          <cell r="J11048">
            <v>45624</v>
          </cell>
          <cell r="K11048">
            <v>8</v>
          </cell>
        </row>
        <row r="11049">
          <cell r="C11049" t="str">
            <v>張文魁</v>
          </cell>
          <cell r="F11049" t="str">
            <v>M240704R1</v>
          </cell>
          <cell r="J11049">
            <v>45628</v>
          </cell>
          <cell r="K11049">
            <v>8</v>
          </cell>
        </row>
        <row r="11050">
          <cell r="C11050" t="str">
            <v>張文魁</v>
          </cell>
          <cell r="F11050" t="str">
            <v>M240704R1</v>
          </cell>
          <cell r="J11050">
            <v>45629</v>
          </cell>
          <cell r="K11050">
            <v>8</v>
          </cell>
        </row>
        <row r="11051">
          <cell r="C11051" t="str">
            <v>張文魁</v>
          </cell>
          <cell r="F11051" t="str">
            <v>M240704R1</v>
          </cell>
          <cell r="J11051">
            <v>45630</v>
          </cell>
          <cell r="K11051">
            <v>8</v>
          </cell>
        </row>
        <row r="11052">
          <cell r="C11052" t="str">
            <v>張文魁</v>
          </cell>
          <cell r="F11052" t="str">
            <v>M240704R1</v>
          </cell>
          <cell r="J11052">
            <v>45631</v>
          </cell>
          <cell r="K11052">
            <v>8</v>
          </cell>
        </row>
        <row r="11053">
          <cell r="C11053" t="str">
            <v>張文魁</v>
          </cell>
          <cell r="F11053" t="str">
            <v>M240704R1</v>
          </cell>
          <cell r="J11053">
            <v>45632</v>
          </cell>
          <cell r="K11053">
            <v>8</v>
          </cell>
        </row>
        <row r="11054">
          <cell r="C11054" t="str">
            <v>張文魁</v>
          </cell>
          <cell r="F11054" t="str">
            <v>M240704R1</v>
          </cell>
          <cell r="J11054">
            <v>45635</v>
          </cell>
          <cell r="K11054">
            <v>8</v>
          </cell>
        </row>
        <row r="11055">
          <cell r="C11055" t="str">
            <v>張文魁</v>
          </cell>
          <cell r="F11055" t="str">
            <v>M240704R1</v>
          </cell>
          <cell r="J11055">
            <v>45636</v>
          </cell>
          <cell r="K11055">
            <v>8</v>
          </cell>
        </row>
        <row r="11056">
          <cell r="C11056" t="str">
            <v>張文魁</v>
          </cell>
          <cell r="F11056" t="str">
            <v>M240704R1</v>
          </cell>
          <cell r="J11056">
            <v>45637</v>
          </cell>
          <cell r="K11056">
            <v>8</v>
          </cell>
        </row>
        <row r="11057">
          <cell r="C11057" t="str">
            <v>張文魁</v>
          </cell>
          <cell r="F11057" t="str">
            <v>M240704R1</v>
          </cell>
          <cell r="J11057">
            <v>45638</v>
          </cell>
          <cell r="K11057">
            <v>8</v>
          </cell>
        </row>
        <row r="11058">
          <cell r="C11058" t="str">
            <v>張文魁</v>
          </cell>
          <cell r="F11058" t="str">
            <v>M240704R1</v>
          </cell>
          <cell r="J11058">
            <v>45639</v>
          </cell>
          <cell r="K11058">
            <v>8</v>
          </cell>
        </row>
        <row r="11059">
          <cell r="C11059" t="str">
            <v>張文魁</v>
          </cell>
          <cell r="F11059" t="str">
            <v>M240704R1</v>
          </cell>
          <cell r="J11059">
            <v>45642</v>
          </cell>
          <cell r="K11059">
            <v>8</v>
          </cell>
        </row>
        <row r="11060">
          <cell r="C11060" t="str">
            <v>張文魁</v>
          </cell>
          <cell r="J11060">
            <v>45643</v>
          </cell>
          <cell r="K11060">
            <v>4</v>
          </cell>
        </row>
        <row r="11061">
          <cell r="C11061" t="str">
            <v>張文魁</v>
          </cell>
          <cell r="F11061" t="str">
            <v>M240704R1</v>
          </cell>
          <cell r="J11061">
            <v>45643</v>
          </cell>
          <cell r="K11061">
            <v>4</v>
          </cell>
        </row>
        <row r="11062">
          <cell r="C11062" t="str">
            <v>張文魁</v>
          </cell>
          <cell r="F11062" t="str">
            <v>M240704R1</v>
          </cell>
          <cell r="J11062">
            <v>45644</v>
          </cell>
          <cell r="K11062">
            <v>8</v>
          </cell>
        </row>
        <row r="11063">
          <cell r="C11063" t="str">
            <v>張文魁</v>
          </cell>
          <cell r="F11063" t="str">
            <v>M240704R1</v>
          </cell>
          <cell r="J11063">
            <v>45645</v>
          </cell>
          <cell r="K11063">
            <v>8</v>
          </cell>
        </row>
        <row r="11064">
          <cell r="C11064" t="str">
            <v>張文魁</v>
          </cell>
          <cell r="F11064" t="str">
            <v>M240704R1</v>
          </cell>
          <cell r="J11064">
            <v>45646</v>
          </cell>
          <cell r="K11064">
            <v>8</v>
          </cell>
        </row>
        <row r="11065">
          <cell r="C11065" t="str">
            <v>張文魁</v>
          </cell>
          <cell r="F11065" t="str">
            <v>K200501R1</v>
          </cell>
          <cell r="J11065">
            <v>45649</v>
          </cell>
          <cell r="K11065">
            <v>8</v>
          </cell>
        </row>
        <row r="11066">
          <cell r="C11066" t="str">
            <v>張文魁</v>
          </cell>
          <cell r="F11066" t="str">
            <v>K200501R1</v>
          </cell>
          <cell r="J11066">
            <v>45650</v>
          </cell>
          <cell r="K11066">
            <v>8</v>
          </cell>
        </row>
        <row r="11067">
          <cell r="C11067" t="str">
            <v>張文魁</v>
          </cell>
          <cell r="F11067" t="str">
            <v>K200501R1</v>
          </cell>
          <cell r="J11067">
            <v>45651</v>
          </cell>
          <cell r="K11067">
            <v>8</v>
          </cell>
        </row>
        <row r="11068">
          <cell r="C11068" t="str">
            <v>張文魁</v>
          </cell>
          <cell r="F11068" t="str">
            <v>K200501R1</v>
          </cell>
          <cell r="J11068">
            <v>45652</v>
          </cell>
          <cell r="K11068">
            <v>8</v>
          </cell>
        </row>
        <row r="11069">
          <cell r="C11069" t="str">
            <v>張文魁</v>
          </cell>
          <cell r="F11069" t="str">
            <v>K200501R1</v>
          </cell>
          <cell r="J11069">
            <v>45653</v>
          </cell>
          <cell r="K11069">
            <v>8</v>
          </cell>
        </row>
        <row r="11070">
          <cell r="C11070" t="str">
            <v>張文魁</v>
          </cell>
          <cell r="F11070" t="str">
            <v>M240704R1</v>
          </cell>
          <cell r="J11070">
            <v>45656</v>
          </cell>
          <cell r="K11070">
            <v>8</v>
          </cell>
        </row>
        <row r="11071">
          <cell r="C11071" t="str">
            <v>張文魁</v>
          </cell>
          <cell r="F11071" t="str">
            <v>M240704R1</v>
          </cell>
          <cell r="J11071">
            <v>45657</v>
          </cell>
          <cell r="K11071">
            <v>8</v>
          </cell>
        </row>
        <row r="11072">
          <cell r="C11072" t="str">
            <v>張文魁</v>
          </cell>
          <cell r="F11072" t="str">
            <v>M240801R1</v>
          </cell>
          <cell r="J11072">
            <v>45659</v>
          </cell>
          <cell r="K11072">
            <v>8</v>
          </cell>
        </row>
        <row r="11073">
          <cell r="C11073" t="str">
            <v>張文魁</v>
          </cell>
          <cell r="F11073" t="str">
            <v>M240801R1</v>
          </cell>
          <cell r="J11073">
            <v>45660</v>
          </cell>
          <cell r="K11073">
            <v>8</v>
          </cell>
        </row>
        <row r="11074">
          <cell r="C11074" t="str">
            <v>張文魁</v>
          </cell>
          <cell r="F11074" t="str">
            <v>M240801R1</v>
          </cell>
          <cell r="J11074">
            <v>45663</v>
          </cell>
          <cell r="K11074">
            <v>8</v>
          </cell>
        </row>
        <row r="11075">
          <cell r="C11075" t="str">
            <v>張文魁</v>
          </cell>
          <cell r="F11075" t="str">
            <v>M240704R1</v>
          </cell>
          <cell r="J11075">
            <v>45664</v>
          </cell>
          <cell r="K11075">
            <v>8</v>
          </cell>
        </row>
        <row r="11076">
          <cell r="C11076" t="str">
            <v>張文魁</v>
          </cell>
          <cell r="F11076" t="str">
            <v>M240704R1</v>
          </cell>
          <cell r="J11076">
            <v>45665</v>
          </cell>
          <cell r="K11076">
            <v>8</v>
          </cell>
        </row>
        <row r="11077">
          <cell r="C11077" t="str">
            <v>張文魁</v>
          </cell>
          <cell r="F11077" t="str">
            <v>M240704R1</v>
          </cell>
          <cell r="J11077">
            <v>45666</v>
          </cell>
          <cell r="K11077">
            <v>8</v>
          </cell>
        </row>
        <row r="11078">
          <cell r="C11078" t="str">
            <v>張文魁</v>
          </cell>
          <cell r="F11078" t="str">
            <v>M240704R1</v>
          </cell>
          <cell r="J11078">
            <v>45667</v>
          </cell>
          <cell r="K11078">
            <v>8</v>
          </cell>
        </row>
        <row r="11079">
          <cell r="C11079" t="str">
            <v>張文魁</v>
          </cell>
          <cell r="F11079" t="str">
            <v>M240801R1</v>
          </cell>
          <cell r="J11079">
            <v>45670</v>
          </cell>
          <cell r="K11079">
            <v>8</v>
          </cell>
        </row>
        <row r="11080">
          <cell r="C11080" t="str">
            <v>張文魁</v>
          </cell>
          <cell r="F11080" t="str">
            <v>M240704R1</v>
          </cell>
          <cell r="J11080">
            <v>45671</v>
          </cell>
          <cell r="K11080">
            <v>8</v>
          </cell>
        </row>
        <row r="11081">
          <cell r="C11081" t="str">
            <v>張文魁</v>
          </cell>
          <cell r="F11081" t="str">
            <v>M240801R1</v>
          </cell>
          <cell r="J11081">
            <v>45672</v>
          </cell>
          <cell r="K11081">
            <v>8</v>
          </cell>
        </row>
        <row r="11082">
          <cell r="C11082" t="str">
            <v>張文魁</v>
          </cell>
          <cell r="F11082" t="str">
            <v>M240704R1</v>
          </cell>
          <cell r="J11082">
            <v>45673</v>
          </cell>
          <cell r="K11082">
            <v>8</v>
          </cell>
        </row>
        <row r="11083">
          <cell r="C11083" t="str">
            <v>張文魁</v>
          </cell>
          <cell r="F11083" t="str">
            <v>M240704R1</v>
          </cell>
          <cell r="J11083">
            <v>45674</v>
          </cell>
          <cell r="K11083">
            <v>8</v>
          </cell>
        </row>
        <row r="11084">
          <cell r="C11084" t="str">
            <v>張文魁</v>
          </cell>
          <cell r="F11084" t="str">
            <v>M240704R1</v>
          </cell>
          <cell r="J11084">
            <v>45677</v>
          </cell>
          <cell r="K11084">
            <v>8</v>
          </cell>
        </row>
        <row r="11085">
          <cell r="C11085" t="str">
            <v>張文魁</v>
          </cell>
          <cell r="F11085" t="str">
            <v>M240704R1</v>
          </cell>
          <cell r="J11085">
            <v>45678</v>
          </cell>
          <cell r="K11085">
            <v>8</v>
          </cell>
        </row>
        <row r="11086">
          <cell r="C11086" t="str">
            <v>張文魁</v>
          </cell>
          <cell r="F11086" t="str">
            <v>M240704R1</v>
          </cell>
          <cell r="J11086">
            <v>45679</v>
          </cell>
          <cell r="K11086">
            <v>8</v>
          </cell>
        </row>
        <row r="11087">
          <cell r="C11087" t="str">
            <v>張文魁</v>
          </cell>
          <cell r="F11087" t="str">
            <v>M240704R1</v>
          </cell>
          <cell r="J11087">
            <v>45680</v>
          </cell>
          <cell r="K11087">
            <v>8</v>
          </cell>
        </row>
        <row r="11088">
          <cell r="C11088" t="str">
            <v>張文魁</v>
          </cell>
          <cell r="F11088" t="str">
            <v>M240704R1</v>
          </cell>
          <cell r="J11088">
            <v>45681</v>
          </cell>
          <cell r="K11088">
            <v>8</v>
          </cell>
        </row>
        <row r="11089">
          <cell r="C11089" t="str">
            <v>張文魁</v>
          </cell>
          <cell r="F11089" t="str">
            <v>M240704R1</v>
          </cell>
          <cell r="J11089">
            <v>45691</v>
          </cell>
          <cell r="K11089">
            <v>8</v>
          </cell>
        </row>
        <row r="11090">
          <cell r="C11090" t="str">
            <v>張文魁</v>
          </cell>
          <cell r="F11090" t="str">
            <v>M240704R1</v>
          </cell>
          <cell r="J11090">
            <v>45692</v>
          </cell>
          <cell r="K11090">
            <v>8</v>
          </cell>
        </row>
        <row r="11091">
          <cell r="C11091" t="str">
            <v>張文魁</v>
          </cell>
          <cell r="F11091" t="str">
            <v>M240704R1</v>
          </cell>
          <cell r="J11091">
            <v>45693</v>
          </cell>
          <cell r="K11091">
            <v>8</v>
          </cell>
        </row>
        <row r="11092">
          <cell r="C11092" t="str">
            <v>張文魁</v>
          </cell>
          <cell r="F11092" t="str">
            <v>M240704R1</v>
          </cell>
          <cell r="J11092">
            <v>45694</v>
          </cell>
          <cell r="K11092">
            <v>8</v>
          </cell>
        </row>
        <row r="11093">
          <cell r="C11093" t="str">
            <v>張文魁</v>
          </cell>
          <cell r="F11093" t="str">
            <v>M240801R1</v>
          </cell>
          <cell r="J11093">
            <v>45695</v>
          </cell>
          <cell r="K11093">
            <v>4</v>
          </cell>
        </row>
        <row r="11094">
          <cell r="C11094" t="str">
            <v>張文魁</v>
          </cell>
          <cell r="J11094">
            <v>45695</v>
          </cell>
          <cell r="K11094">
            <v>4</v>
          </cell>
        </row>
        <row r="11095">
          <cell r="C11095" t="str">
            <v>張文魁</v>
          </cell>
          <cell r="F11095" t="str">
            <v>M240801R1</v>
          </cell>
          <cell r="J11095">
            <v>45696</v>
          </cell>
          <cell r="K11095">
            <v>8</v>
          </cell>
        </row>
        <row r="11096">
          <cell r="C11096" t="str">
            <v>張文魁</v>
          </cell>
          <cell r="F11096" t="str">
            <v>M240801R1</v>
          </cell>
          <cell r="J11096">
            <v>45698</v>
          </cell>
          <cell r="K11096">
            <v>8</v>
          </cell>
        </row>
        <row r="11097">
          <cell r="C11097" t="str">
            <v>張文魁</v>
          </cell>
          <cell r="F11097" t="str">
            <v>M240702R1</v>
          </cell>
          <cell r="J11097">
            <v>45699</v>
          </cell>
          <cell r="K11097">
            <v>8</v>
          </cell>
        </row>
        <row r="11098">
          <cell r="C11098" t="str">
            <v>張文魁</v>
          </cell>
          <cell r="F11098" t="str">
            <v>M240702R1</v>
          </cell>
          <cell r="J11098">
            <v>45700</v>
          </cell>
          <cell r="K11098">
            <v>8</v>
          </cell>
        </row>
        <row r="11099">
          <cell r="C11099" t="str">
            <v>張文魁</v>
          </cell>
          <cell r="F11099" t="str">
            <v>M240801R1</v>
          </cell>
          <cell r="J11099">
            <v>45701</v>
          </cell>
          <cell r="K11099">
            <v>8</v>
          </cell>
        </row>
        <row r="11100">
          <cell r="C11100" t="str">
            <v>張文魁</v>
          </cell>
          <cell r="F11100" t="str">
            <v>M240801R1</v>
          </cell>
          <cell r="J11100">
            <v>45702</v>
          </cell>
          <cell r="K11100">
            <v>4</v>
          </cell>
        </row>
        <row r="11101">
          <cell r="C11101" t="str">
            <v>張文魁</v>
          </cell>
          <cell r="J11101">
            <v>45702</v>
          </cell>
          <cell r="K11101">
            <v>4</v>
          </cell>
        </row>
        <row r="11102">
          <cell r="C11102" t="str">
            <v>張文魁</v>
          </cell>
          <cell r="F11102" t="str">
            <v>M240704R1</v>
          </cell>
          <cell r="J11102">
            <v>45705</v>
          </cell>
          <cell r="K11102">
            <v>8</v>
          </cell>
        </row>
        <row r="11103">
          <cell r="C11103" t="str">
            <v>張文魁</v>
          </cell>
          <cell r="F11103" t="str">
            <v>M240704R1</v>
          </cell>
          <cell r="J11103">
            <v>45706</v>
          </cell>
          <cell r="K11103">
            <v>8</v>
          </cell>
        </row>
        <row r="11104">
          <cell r="C11104" t="str">
            <v>張文魁</v>
          </cell>
          <cell r="F11104" t="str">
            <v>M240704R1</v>
          </cell>
          <cell r="J11104">
            <v>45707</v>
          </cell>
          <cell r="K11104">
            <v>8</v>
          </cell>
        </row>
        <row r="11105">
          <cell r="C11105" t="str">
            <v>張文魁</v>
          </cell>
          <cell r="F11105" t="str">
            <v>M240704R1</v>
          </cell>
          <cell r="J11105">
            <v>45708</v>
          </cell>
          <cell r="K11105">
            <v>8</v>
          </cell>
        </row>
        <row r="11106">
          <cell r="C11106" t="str">
            <v>張文魁</v>
          </cell>
          <cell r="F11106" t="str">
            <v>M240704R1</v>
          </cell>
          <cell r="J11106">
            <v>45709</v>
          </cell>
          <cell r="K11106">
            <v>8</v>
          </cell>
        </row>
        <row r="11107">
          <cell r="C11107" t="str">
            <v>張文魁</v>
          </cell>
          <cell r="F11107" t="str">
            <v>M240801R1</v>
          </cell>
          <cell r="J11107">
            <v>45712</v>
          </cell>
          <cell r="K11107">
            <v>8</v>
          </cell>
        </row>
        <row r="11108">
          <cell r="C11108" t="str">
            <v>張文魁</v>
          </cell>
          <cell r="F11108" t="str">
            <v>K240801R2</v>
          </cell>
          <cell r="J11108">
            <v>45713</v>
          </cell>
          <cell r="K11108">
            <v>8</v>
          </cell>
        </row>
        <row r="11109">
          <cell r="C11109" t="str">
            <v>張文魁</v>
          </cell>
          <cell r="F11109" t="str">
            <v>K240801R2</v>
          </cell>
          <cell r="J11109">
            <v>45714</v>
          </cell>
          <cell r="K11109">
            <v>8</v>
          </cell>
        </row>
        <row r="11110">
          <cell r="C11110" t="str">
            <v>張文魁</v>
          </cell>
          <cell r="F11110" t="str">
            <v>K240801R2</v>
          </cell>
          <cell r="J11110">
            <v>45715</v>
          </cell>
          <cell r="K11110">
            <v>8</v>
          </cell>
        </row>
        <row r="11111">
          <cell r="C11111" t="str">
            <v>張文魁</v>
          </cell>
          <cell r="F11111" t="str">
            <v>K240801R2</v>
          </cell>
          <cell r="J11111">
            <v>45719</v>
          </cell>
          <cell r="K11111">
            <v>8</v>
          </cell>
        </row>
        <row r="11112">
          <cell r="C11112" t="str">
            <v>張文魁</v>
          </cell>
          <cell r="F11112" t="str">
            <v>K240801R2</v>
          </cell>
          <cell r="J11112">
            <v>45720</v>
          </cell>
          <cell r="K11112">
            <v>8</v>
          </cell>
        </row>
        <row r="11113">
          <cell r="C11113" t="str">
            <v>張文魁</v>
          </cell>
          <cell r="F11113" t="str">
            <v>K240801R2</v>
          </cell>
          <cell r="J11113">
            <v>45721</v>
          </cell>
          <cell r="K11113">
            <v>8</v>
          </cell>
        </row>
        <row r="11114">
          <cell r="C11114" t="str">
            <v>張文魁</v>
          </cell>
          <cell r="F11114" t="str">
            <v>K240801R2</v>
          </cell>
          <cell r="J11114">
            <v>45722</v>
          </cell>
          <cell r="K11114">
            <v>8</v>
          </cell>
        </row>
        <row r="11115">
          <cell r="C11115" t="str">
            <v>張文魁</v>
          </cell>
          <cell r="F11115" t="str">
            <v>K240801R2</v>
          </cell>
          <cell r="J11115">
            <v>45723</v>
          </cell>
          <cell r="K11115">
            <v>8</v>
          </cell>
        </row>
        <row r="11116">
          <cell r="C11116" t="str">
            <v>張文魁</v>
          </cell>
          <cell r="F11116" t="str">
            <v>K240801R2</v>
          </cell>
          <cell r="J11116">
            <v>45726</v>
          </cell>
          <cell r="K11116">
            <v>8</v>
          </cell>
        </row>
        <row r="11117">
          <cell r="C11117" t="str">
            <v>張文魁</v>
          </cell>
          <cell r="F11117" t="str">
            <v>K240801R2</v>
          </cell>
          <cell r="J11117">
            <v>45727</v>
          </cell>
          <cell r="K11117">
            <v>8</v>
          </cell>
        </row>
        <row r="11118">
          <cell r="C11118" t="str">
            <v>張文魁</v>
          </cell>
          <cell r="F11118" t="str">
            <v>K240801R2</v>
          </cell>
          <cell r="J11118">
            <v>45728</v>
          </cell>
          <cell r="K11118">
            <v>8</v>
          </cell>
        </row>
        <row r="11119">
          <cell r="C11119" t="str">
            <v>張文魁</v>
          </cell>
          <cell r="F11119" t="str">
            <v>K240801R2</v>
          </cell>
          <cell r="J11119">
            <v>45729</v>
          </cell>
          <cell r="K11119">
            <v>8</v>
          </cell>
        </row>
        <row r="11120">
          <cell r="C11120" t="str">
            <v>張文魁</v>
          </cell>
          <cell r="F11120" t="str">
            <v>K240801R2</v>
          </cell>
          <cell r="J11120">
            <v>45730</v>
          </cell>
          <cell r="K11120">
            <v>4</v>
          </cell>
        </row>
        <row r="11121">
          <cell r="C11121" t="str">
            <v>張文魁</v>
          </cell>
          <cell r="F11121" t="str">
            <v>K200501R1</v>
          </cell>
          <cell r="J11121">
            <v>45733</v>
          </cell>
          <cell r="K11121">
            <v>8</v>
          </cell>
        </row>
        <row r="11122">
          <cell r="C11122" t="str">
            <v>張文魁</v>
          </cell>
          <cell r="F11122" t="str">
            <v>K200501R1</v>
          </cell>
          <cell r="J11122">
            <v>45734</v>
          </cell>
          <cell r="K11122">
            <v>8</v>
          </cell>
        </row>
        <row r="11123">
          <cell r="C11123" t="str">
            <v>張文魁</v>
          </cell>
          <cell r="F11123" t="str">
            <v>K200501R1</v>
          </cell>
          <cell r="J11123">
            <v>45735</v>
          </cell>
          <cell r="K11123">
            <v>8</v>
          </cell>
        </row>
        <row r="11124">
          <cell r="C11124" t="str">
            <v>張文魁</v>
          </cell>
          <cell r="F11124" t="str">
            <v>K200501R1</v>
          </cell>
          <cell r="J11124">
            <v>45736</v>
          </cell>
          <cell r="K11124">
            <v>8</v>
          </cell>
        </row>
        <row r="11125">
          <cell r="C11125" t="str">
            <v>張文魁</v>
          </cell>
          <cell r="F11125" t="str">
            <v>K200501R1</v>
          </cell>
          <cell r="J11125">
            <v>45737</v>
          </cell>
          <cell r="K11125">
            <v>8</v>
          </cell>
        </row>
        <row r="11126">
          <cell r="C11126" t="str">
            <v>張文魁</v>
          </cell>
          <cell r="F11126" t="str">
            <v>K200501R1</v>
          </cell>
          <cell r="J11126">
            <v>45740</v>
          </cell>
          <cell r="K11126">
            <v>8</v>
          </cell>
        </row>
        <row r="11127">
          <cell r="C11127" t="str">
            <v>張文魁</v>
          </cell>
          <cell r="F11127" t="str">
            <v>K200501R1</v>
          </cell>
          <cell r="J11127">
            <v>45741</v>
          </cell>
          <cell r="K11127">
            <v>8</v>
          </cell>
        </row>
        <row r="11128">
          <cell r="C11128" t="str">
            <v>張文魁</v>
          </cell>
          <cell r="F11128" t="str">
            <v>K200501R1</v>
          </cell>
          <cell r="J11128">
            <v>45742</v>
          </cell>
          <cell r="K11128">
            <v>8</v>
          </cell>
        </row>
        <row r="11129">
          <cell r="C11129" t="str">
            <v>張文魁</v>
          </cell>
          <cell r="F11129" t="str">
            <v>K200501R1</v>
          </cell>
          <cell r="J11129">
            <v>45743</v>
          </cell>
          <cell r="K11129">
            <v>8</v>
          </cell>
        </row>
        <row r="11130">
          <cell r="C11130" t="str">
            <v>張文魁</v>
          </cell>
          <cell r="F11130" t="str">
            <v>K200501R1</v>
          </cell>
          <cell r="J11130">
            <v>45744</v>
          </cell>
          <cell r="K11130">
            <v>8</v>
          </cell>
        </row>
        <row r="11131">
          <cell r="C11131" t="str">
            <v>張文魁</v>
          </cell>
          <cell r="F11131" t="str">
            <v>K200501R1</v>
          </cell>
          <cell r="J11131">
            <v>45747</v>
          </cell>
          <cell r="K11131">
            <v>8</v>
          </cell>
        </row>
        <row r="11132">
          <cell r="C11132" t="str">
            <v>張文魁</v>
          </cell>
          <cell r="F11132" t="str">
            <v>K240801R2</v>
          </cell>
          <cell r="J11132">
            <v>45748</v>
          </cell>
          <cell r="K11132">
            <v>8</v>
          </cell>
        </row>
        <row r="11133">
          <cell r="C11133" t="str">
            <v>張文魁</v>
          </cell>
          <cell r="F11133" t="str">
            <v>K240801R2</v>
          </cell>
          <cell r="J11133">
            <v>45749</v>
          </cell>
          <cell r="K11133">
            <v>8</v>
          </cell>
        </row>
        <row r="11134">
          <cell r="C11134" t="str">
            <v>張文魁</v>
          </cell>
          <cell r="F11134" t="str">
            <v>K240801R2</v>
          </cell>
          <cell r="J11134">
            <v>45754</v>
          </cell>
          <cell r="K11134">
            <v>8</v>
          </cell>
        </row>
        <row r="11135">
          <cell r="C11135" t="str">
            <v>張文魁</v>
          </cell>
          <cell r="F11135" t="str">
            <v>K240801R2</v>
          </cell>
          <cell r="J11135">
            <v>45755</v>
          </cell>
          <cell r="K11135">
            <v>8</v>
          </cell>
        </row>
        <row r="11136">
          <cell r="C11136" t="str">
            <v>張文魁</v>
          </cell>
          <cell r="F11136" t="str">
            <v>K240801R2</v>
          </cell>
          <cell r="J11136">
            <v>45756</v>
          </cell>
          <cell r="K11136">
            <v>8</v>
          </cell>
        </row>
        <row r="11137">
          <cell r="C11137" t="str">
            <v>張文魁</v>
          </cell>
          <cell r="F11137" t="str">
            <v>K240801R2</v>
          </cell>
          <cell r="J11137">
            <v>45757</v>
          </cell>
          <cell r="K11137">
            <v>8</v>
          </cell>
        </row>
        <row r="11138">
          <cell r="C11138" t="str">
            <v>張文魁</v>
          </cell>
          <cell r="F11138" t="str">
            <v>K240801R2</v>
          </cell>
          <cell r="J11138">
            <v>45758</v>
          </cell>
          <cell r="K11138">
            <v>8</v>
          </cell>
        </row>
        <row r="11139">
          <cell r="C11139" t="str">
            <v>張文魁</v>
          </cell>
          <cell r="F11139" t="str">
            <v>K240801R2</v>
          </cell>
          <cell r="J11139">
            <v>45761</v>
          </cell>
          <cell r="K11139">
            <v>8</v>
          </cell>
        </row>
        <row r="11140">
          <cell r="C11140" t="str">
            <v>張文魁</v>
          </cell>
          <cell r="F11140" t="str">
            <v>K240801R2</v>
          </cell>
          <cell r="J11140">
            <v>45762</v>
          </cell>
          <cell r="K11140">
            <v>8</v>
          </cell>
        </row>
        <row r="11141">
          <cell r="C11141" t="str">
            <v>張文魁</v>
          </cell>
          <cell r="F11141" t="str">
            <v>K240801R2</v>
          </cell>
          <cell r="J11141">
            <v>45763</v>
          </cell>
          <cell r="K11141">
            <v>8</v>
          </cell>
        </row>
        <row r="11142">
          <cell r="C11142" t="str">
            <v>張文魁</v>
          </cell>
          <cell r="F11142" t="str">
            <v>M240704R1</v>
          </cell>
          <cell r="J11142">
            <v>45764</v>
          </cell>
          <cell r="K11142">
            <v>8</v>
          </cell>
        </row>
        <row r="11143">
          <cell r="C11143" t="str">
            <v>張文魁</v>
          </cell>
          <cell r="F11143" t="str">
            <v>M240704R1</v>
          </cell>
          <cell r="J11143">
            <v>45765</v>
          </cell>
          <cell r="K11143">
            <v>8</v>
          </cell>
        </row>
        <row r="11144">
          <cell r="C11144" t="str">
            <v>張文魁</v>
          </cell>
          <cell r="F11144" t="str">
            <v>K240801R2</v>
          </cell>
          <cell r="J11144">
            <v>45768</v>
          </cell>
          <cell r="K11144">
            <v>8</v>
          </cell>
        </row>
        <row r="11145">
          <cell r="C11145" t="str">
            <v>張文魁</v>
          </cell>
          <cell r="F11145" t="str">
            <v>K200501R1</v>
          </cell>
          <cell r="J11145">
            <v>45769</v>
          </cell>
          <cell r="K11145">
            <v>8</v>
          </cell>
        </row>
        <row r="11146">
          <cell r="C11146" t="str">
            <v>張文魁</v>
          </cell>
          <cell r="F11146" t="str">
            <v>K200501R1</v>
          </cell>
          <cell r="J11146">
            <v>45770</v>
          </cell>
          <cell r="K11146">
            <v>8</v>
          </cell>
        </row>
        <row r="11147">
          <cell r="C11147" t="str">
            <v>張文魁</v>
          </cell>
          <cell r="F11147" t="str">
            <v>K200501R1</v>
          </cell>
          <cell r="J11147">
            <v>45771</v>
          </cell>
          <cell r="K11147">
            <v>8</v>
          </cell>
        </row>
        <row r="11148">
          <cell r="C11148" t="str">
            <v>張文魁</v>
          </cell>
          <cell r="F11148" t="str">
            <v>K200501R1</v>
          </cell>
          <cell r="J11148">
            <v>45772</v>
          </cell>
          <cell r="K11148">
            <v>8</v>
          </cell>
        </row>
        <row r="11149">
          <cell r="C11149" t="str">
            <v>張文魁</v>
          </cell>
          <cell r="F11149" t="str">
            <v>M240704R1</v>
          </cell>
          <cell r="J11149">
            <v>45775</v>
          </cell>
          <cell r="K11149">
            <v>8</v>
          </cell>
        </row>
        <row r="11150">
          <cell r="C11150" t="str">
            <v>張文魁</v>
          </cell>
          <cell r="F11150" t="str">
            <v>M240704R1</v>
          </cell>
          <cell r="J11150">
            <v>45776</v>
          </cell>
          <cell r="K11150">
            <v>8</v>
          </cell>
        </row>
        <row r="11151">
          <cell r="C11151" t="str">
            <v>張文魁</v>
          </cell>
          <cell r="F11151" t="str">
            <v>K200501R1</v>
          </cell>
          <cell r="J11151">
            <v>45777</v>
          </cell>
          <cell r="K11151">
            <v>8</v>
          </cell>
        </row>
        <row r="11152">
          <cell r="C11152" t="str">
            <v>張文魁</v>
          </cell>
          <cell r="F11152" t="str">
            <v>K200501R1</v>
          </cell>
          <cell r="J11152">
            <v>45779</v>
          </cell>
          <cell r="K11152">
            <v>8</v>
          </cell>
        </row>
        <row r="11153">
          <cell r="C11153" t="str">
            <v>張文魁</v>
          </cell>
          <cell r="F11153" t="str">
            <v>K200501R1</v>
          </cell>
          <cell r="J11153">
            <v>45782</v>
          </cell>
          <cell r="K11153">
            <v>8</v>
          </cell>
        </row>
        <row r="11154">
          <cell r="C11154" t="str">
            <v>張文魁</v>
          </cell>
          <cell r="F11154" t="str">
            <v>K200501R1</v>
          </cell>
          <cell r="J11154">
            <v>45783</v>
          </cell>
          <cell r="K11154">
            <v>8</v>
          </cell>
        </row>
        <row r="11155">
          <cell r="C11155" t="str">
            <v>張文魁</v>
          </cell>
          <cell r="F11155" t="str">
            <v>K200501R1</v>
          </cell>
          <cell r="J11155">
            <v>45784</v>
          </cell>
          <cell r="K11155">
            <v>8</v>
          </cell>
        </row>
        <row r="11156">
          <cell r="C11156" t="str">
            <v>張文魁</v>
          </cell>
          <cell r="F11156" t="str">
            <v>K200501R1</v>
          </cell>
          <cell r="J11156">
            <v>45785</v>
          </cell>
          <cell r="K11156">
            <v>8</v>
          </cell>
        </row>
        <row r="11157">
          <cell r="C11157" t="str">
            <v>張文魁</v>
          </cell>
          <cell r="F11157" t="str">
            <v>K200501R1</v>
          </cell>
          <cell r="J11157">
            <v>45786</v>
          </cell>
          <cell r="K11157">
            <v>8</v>
          </cell>
        </row>
        <row r="11158">
          <cell r="C11158" t="str">
            <v>張文魁</v>
          </cell>
          <cell r="F11158" t="str">
            <v>K200501R1</v>
          </cell>
          <cell r="J11158">
            <v>45789</v>
          </cell>
          <cell r="K11158">
            <v>8</v>
          </cell>
        </row>
        <row r="11159">
          <cell r="C11159" t="str">
            <v>張文魁</v>
          </cell>
          <cell r="F11159" t="str">
            <v>K200501R1</v>
          </cell>
          <cell r="J11159">
            <v>45790</v>
          </cell>
          <cell r="K11159">
            <v>8</v>
          </cell>
        </row>
        <row r="11160">
          <cell r="C11160" t="str">
            <v>張文魁</v>
          </cell>
          <cell r="F11160" t="str">
            <v>K200501R1</v>
          </cell>
          <cell r="J11160">
            <v>45791</v>
          </cell>
          <cell r="K11160">
            <v>8</v>
          </cell>
        </row>
        <row r="11161">
          <cell r="C11161" t="str">
            <v>張文魁</v>
          </cell>
          <cell r="F11161" t="str">
            <v>K200501R1</v>
          </cell>
          <cell r="J11161">
            <v>45792</v>
          </cell>
          <cell r="K11161">
            <v>8</v>
          </cell>
        </row>
        <row r="11162">
          <cell r="C11162" t="str">
            <v>張文魁</v>
          </cell>
          <cell r="F11162" t="str">
            <v>K200501R1</v>
          </cell>
          <cell r="J11162">
            <v>45793</v>
          </cell>
          <cell r="K11162">
            <v>8</v>
          </cell>
        </row>
        <row r="11163">
          <cell r="C11163" t="str">
            <v>張文魁</v>
          </cell>
          <cell r="F11163" t="str">
            <v>K200501R1</v>
          </cell>
          <cell r="J11163">
            <v>45796</v>
          </cell>
          <cell r="K11163">
            <v>8</v>
          </cell>
        </row>
        <row r="11164">
          <cell r="C11164" t="str">
            <v>張文魁</v>
          </cell>
          <cell r="F11164" t="str">
            <v>K200501R1</v>
          </cell>
          <cell r="J11164">
            <v>45797</v>
          </cell>
          <cell r="K11164">
            <v>8</v>
          </cell>
        </row>
        <row r="11165">
          <cell r="C11165" t="str">
            <v>張文魁</v>
          </cell>
          <cell r="F11165" t="str">
            <v>K200501R1</v>
          </cell>
          <cell r="J11165">
            <v>45798</v>
          </cell>
          <cell r="K11165">
            <v>8</v>
          </cell>
        </row>
        <row r="11166">
          <cell r="C11166" t="str">
            <v>張文魁</v>
          </cell>
          <cell r="F11166" t="str">
            <v>K200501R1</v>
          </cell>
          <cell r="J11166">
            <v>45799</v>
          </cell>
          <cell r="K11166">
            <v>8</v>
          </cell>
        </row>
        <row r="11167">
          <cell r="C11167" t="str">
            <v>張文魁</v>
          </cell>
          <cell r="F11167" t="str">
            <v>K200501R1</v>
          </cell>
          <cell r="J11167">
            <v>45800</v>
          </cell>
          <cell r="K11167">
            <v>8</v>
          </cell>
        </row>
        <row r="11168">
          <cell r="C11168" t="str">
            <v>張文魁</v>
          </cell>
          <cell r="F11168" t="str">
            <v>K200501R1</v>
          </cell>
          <cell r="J11168">
            <v>45803</v>
          </cell>
          <cell r="K11168">
            <v>8</v>
          </cell>
        </row>
        <row r="11169">
          <cell r="C11169" t="str">
            <v>張文魁</v>
          </cell>
          <cell r="F11169" t="str">
            <v>K200501R1</v>
          </cell>
          <cell r="J11169">
            <v>45804</v>
          </cell>
          <cell r="K11169">
            <v>8</v>
          </cell>
        </row>
        <row r="11170">
          <cell r="C11170" t="str">
            <v>張文魁</v>
          </cell>
          <cell r="F11170" t="str">
            <v>M240704R1</v>
          </cell>
          <cell r="J11170">
            <v>45805</v>
          </cell>
          <cell r="K11170">
            <v>8</v>
          </cell>
        </row>
        <row r="11171">
          <cell r="C11171" t="str">
            <v>張文魁</v>
          </cell>
          <cell r="F11171" t="str">
            <v>M240704R1</v>
          </cell>
          <cell r="J11171">
            <v>45806</v>
          </cell>
          <cell r="K11171">
            <v>8</v>
          </cell>
        </row>
        <row r="11172">
          <cell r="C11172" t="str">
            <v>張文魁</v>
          </cell>
          <cell r="F11172" t="str">
            <v>M240704R1</v>
          </cell>
          <cell r="J11172">
            <v>45807</v>
          </cell>
          <cell r="K11172">
            <v>8</v>
          </cell>
        </row>
        <row r="11173">
          <cell r="C11173" t="str">
            <v>張文魁</v>
          </cell>
          <cell r="F11173" t="str">
            <v>M240704R1</v>
          </cell>
          <cell r="J11173">
            <v>45810</v>
          </cell>
          <cell r="K11173">
            <v>8</v>
          </cell>
        </row>
        <row r="11174">
          <cell r="C11174" t="str">
            <v>張文魁</v>
          </cell>
          <cell r="F11174" t="str">
            <v>M240704R1</v>
          </cell>
          <cell r="J11174">
            <v>45811</v>
          </cell>
          <cell r="K11174">
            <v>8</v>
          </cell>
        </row>
        <row r="11175">
          <cell r="C11175" t="str">
            <v>張文魁</v>
          </cell>
          <cell r="F11175" t="str">
            <v>M240704R1</v>
          </cell>
          <cell r="J11175">
            <v>45812</v>
          </cell>
          <cell r="K11175">
            <v>8</v>
          </cell>
        </row>
        <row r="11176">
          <cell r="C11176" t="str">
            <v>張文魁</v>
          </cell>
          <cell r="F11176" t="str">
            <v>M240704R1</v>
          </cell>
          <cell r="J11176">
            <v>45813</v>
          </cell>
          <cell r="K11176">
            <v>8</v>
          </cell>
        </row>
        <row r="11177">
          <cell r="C11177" t="str">
            <v>張文魁</v>
          </cell>
          <cell r="F11177" t="str">
            <v>M240704R1</v>
          </cell>
          <cell r="J11177">
            <v>45814</v>
          </cell>
          <cell r="K11177">
            <v>8</v>
          </cell>
        </row>
        <row r="11178">
          <cell r="C11178" t="str">
            <v>張文魁</v>
          </cell>
          <cell r="F11178" t="str">
            <v>M240704R1</v>
          </cell>
          <cell r="J11178">
            <v>45817</v>
          </cell>
          <cell r="K11178">
            <v>8</v>
          </cell>
        </row>
        <row r="11179">
          <cell r="C11179" t="str">
            <v>張文魁</v>
          </cell>
          <cell r="F11179" t="str">
            <v>M240704R1</v>
          </cell>
          <cell r="J11179">
            <v>45818</v>
          </cell>
          <cell r="K11179">
            <v>8</v>
          </cell>
        </row>
        <row r="11180">
          <cell r="C11180" t="str">
            <v>張文魁</v>
          </cell>
          <cell r="F11180" t="str">
            <v>M240704R1</v>
          </cell>
          <cell r="J11180">
            <v>45819</v>
          </cell>
          <cell r="K11180">
            <v>8</v>
          </cell>
        </row>
        <row r="11181">
          <cell r="C11181" t="str">
            <v>張文魁</v>
          </cell>
          <cell r="F11181" t="str">
            <v>M240704R1</v>
          </cell>
          <cell r="J11181">
            <v>45820</v>
          </cell>
          <cell r="K11181">
            <v>8</v>
          </cell>
        </row>
        <row r="11182">
          <cell r="C11182" t="str">
            <v>張文魁</v>
          </cell>
          <cell r="J11182">
            <v>45821</v>
          </cell>
          <cell r="K11182">
            <v>8</v>
          </cell>
        </row>
        <row r="11183">
          <cell r="C11183" t="str">
            <v>張文魁</v>
          </cell>
          <cell r="F11183" t="str">
            <v>K240801R2</v>
          </cell>
          <cell r="J11183">
            <v>45824</v>
          </cell>
          <cell r="K11183">
            <v>8</v>
          </cell>
        </row>
        <row r="11184">
          <cell r="C11184" t="str">
            <v>張文魁</v>
          </cell>
          <cell r="F11184" t="str">
            <v>K240801R2</v>
          </cell>
          <cell r="J11184">
            <v>45825</v>
          </cell>
          <cell r="K11184">
            <v>8</v>
          </cell>
        </row>
        <row r="11185">
          <cell r="C11185" t="str">
            <v>張文魁</v>
          </cell>
          <cell r="F11185" t="str">
            <v>K240801R2</v>
          </cell>
          <cell r="J11185">
            <v>45826</v>
          </cell>
          <cell r="K11185">
            <v>8</v>
          </cell>
        </row>
        <row r="11186">
          <cell r="C11186" t="str">
            <v>張文魁</v>
          </cell>
          <cell r="F11186" t="str">
            <v>M240704R1</v>
          </cell>
          <cell r="J11186">
            <v>45827</v>
          </cell>
          <cell r="K11186">
            <v>8</v>
          </cell>
        </row>
        <row r="11187">
          <cell r="C11187" t="str">
            <v>張文魁</v>
          </cell>
          <cell r="F11187" t="str">
            <v>M240704R1</v>
          </cell>
          <cell r="J11187">
            <v>45828</v>
          </cell>
          <cell r="K11187">
            <v>8</v>
          </cell>
        </row>
        <row r="11188">
          <cell r="C11188" t="str">
            <v>張文魁</v>
          </cell>
          <cell r="F11188" t="str">
            <v>K240801R2</v>
          </cell>
          <cell r="J11188">
            <v>45831</v>
          </cell>
          <cell r="K11188">
            <v>8</v>
          </cell>
        </row>
        <row r="11189">
          <cell r="C11189" t="str">
            <v>張文魁</v>
          </cell>
          <cell r="F11189" t="str">
            <v>K240801R2</v>
          </cell>
          <cell r="J11189">
            <v>45832</v>
          </cell>
          <cell r="K11189">
            <v>8</v>
          </cell>
        </row>
        <row r="11190">
          <cell r="C11190" t="str">
            <v>張文魁</v>
          </cell>
          <cell r="F11190" t="str">
            <v>K240801R2</v>
          </cell>
          <cell r="J11190">
            <v>45833</v>
          </cell>
          <cell r="K11190">
            <v>8</v>
          </cell>
        </row>
        <row r="11191">
          <cell r="C11191" t="str">
            <v>張文魁</v>
          </cell>
          <cell r="F11191" t="str">
            <v>M240704R1</v>
          </cell>
          <cell r="J11191">
            <v>45834</v>
          </cell>
          <cell r="K11191">
            <v>8</v>
          </cell>
        </row>
        <row r="11192">
          <cell r="C11192" t="str">
            <v>張文魁</v>
          </cell>
          <cell r="F11192" t="str">
            <v>M240704R1</v>
          </cell>
          <cell r="J11192">
            <v>45835</v>
          </cell>
          <cell r="K11192">
            <v>8</v>
          </cell>
        </row>
        <row r="11193">
          <cell r="C11193" t="str">
            <v>張文魁</v>
          </cell>
          <cell r="F11193" t="str">
            <v>M240704R1</v>
          </cell>
          <cell r="J11193">
            <v>45838</v>
          </cell>
          <cell r="K11193">
            <v>8</v>
          </cell>
        </row>
        <row r="11194">
          <cell r="C11194" t="str">
            <v>張文魁</v>
          </cell>
          <cell r="F11194" t="str">
            <v>K240801R2</v>
          </cell>
          <cell r="J11194">
            <v>45839</v>
          </cell>
          <cell r="K11194">
            <v>8</v>
          </cell>
        </row>
        <row r="11195">
          <cell r="C11195" t="str">
            <v>張文魁</v>
          </cell>
          <cell r="F11195" t="str">
            <v>M240704R1</v>
          </cell>
          <cell r="J11195">
            <v>45840</v>
          </cell>
          <cell r="K11195">
            <v>8</v>
          </cell>
        </row>
        <row r="11196">
          <cell r="C11196" t="str">
            <v>張文魁</v>
          </cell>
          <cell r="F11196" t="str">
            <v>M240704R1</v>
          </cell>
          <cell r="J11196">
            <v>45841</v>
          </cell>
          <cell r="K11196">
            <v>8</v>
          </cell>
        </row>
        <row r="11197">
          <cell r="C11197" t="str">
            <v>張文魁</v>
          </cell>
          <cell r="F11197" t="str">
            <v>K200501R1</v>
          </cell>
          <cell r="J11197">
            <v>45842</v>
          </cell>
          <cell r="K11197">
            <v>8</v>
          </cell>
        </row>
        <row r="11198">
          <cell r="C11198" t="str">
            <v>張文魁</v>
          </cell>
          <cell r="F11198" t="str">
            <v>K200501R1</v>
          </cell>
          <cell r="J11198">
            <v>45845</v>
          </cell>
          <cell r="K11198">
            <v>8</v>
          </cell>
        </row>
        <row r="11199">
          <cell r="C11199" t="str">
            <v>張文魁</v>
          </cell>
          <cell r="F11199" t="str">
            <v>K200501R1</v>
          </cell>
          <cell r="J11199">
            <v>45846</v>
          </cell>
          <cell r="K11199">
            <v>8</v>
          </cell>
        </row>
        <row r="11200">
          <cell r="C11200" t="str">
            <v>張文魁</v>
          </cell>
          <cell r="F11200" t="str">
            <v>K200501R1</v>
          </cell>
          <cell r="J11200">
            <v>45847</v>
          </cell>
          <cell r="K11200">
            <v>8</v>
          </cell>
        </row>
        <row r="11201">
          <cell r="C11201" t="str">
            <v>張文魁</v>
          </cell>
          <cell r="F11201" t="str">
            <v>K200501R1</v>
          </cell>
          <cell r="J11201">
            <v>45848</v>
          </cell>
          <cell r="K11201">
            <v>8</v>
          </cell>
        </row>
        <row r="11202">
          <cell r="C11202" t="str">
            <v>張文魁</v>
          </cell>
          <cell r="F11202" t="str">
            <v>K200501R1</v>
          </cell>
          <cell r="J11202">
            <v>45849</v>
          </cell>
          <cell r="K11202">
            <v>8</v>
          </cell>
        </row>
        <row r="11203">
          <cell r="C11203" t="str">
            <v>張文魁</v>
          </cell>
          <cell r="F11203" t="str">
            <v>K200501R1</v>
          </cell>
          <cell r="J11203">
            <v>45852</v>
          </cell>
          <cell r="K11203">
            <v>8</v>
          </cell>
        </row>
        <row r="11204">
          <cell r="C11204" t="str">
            <v>張文魁</v>
          </cell>
          <cell r="F11204" t="str">
            <v>K200501R1</v>
          </cell>
          <cell r="J11204">
            <v>45853</v>
          </cell>
          <cell r="K11204">
            <v>8</v>
          </cell>
        </row>
        <row r="11205">
          <cell r="C11205" t="str">
            <v>張文魁</v>
          </cell>
          <cell r="F11205" t="str">
            <v>K200501R1</v>
          </cell>
          <cell r="J11205">
            <v>45854</v>
          </cell>
          <cell r="K11205">
            <v>8</v>
          </cell>
        </row>
        <row r="11206">
          <cell r="C11206" t="str">
            <v>張文魁</v>
          </cell>
          <cell r="F11206" t="str">
            <v>K200501R1</v>
          </cell>
          <cell r="J11206">
            <v>45855</v>
          </cell>
          <cell r="K11206">
            <v>8</v>
          </cell>
        </row>
        <row r="11207">
          <cell r="C11207" t="str">
            <v>張文魁</v>
          </cell>
          <cell r="F11207" t="str">
            <v>K200501R1</v>
          </cell>
          <cell r="J11207">
            <v>45856</v>
          </cell>
          <cell r="K11207">
            <v>8</v>
          </cell>
        </row>
        <row r="11208">
          <cell r="C11208" t="str">
            <v>張文魁</v>
          </cell>
          <cell r="F11208" t="str">
            <v>K200501R1</v>
          </cell>
          <cell r="J11208">
            <v>45859</v>
          </cell>
          <cell r="K11208">
            <v>8</v>
          </cell>
        </row>
        <row r="11209">
          <cell r="C11209" t="str">
            <v>張文魁</v>
          </cell>
          <cell r="F11209" t="str">
            <v>K200501R1</v>
          </cell>
          <cell r="J11209">
            <v>45860</v>
          </cell>
          <cell r="K11209">
            <v>8</v>
          </cell>
        </row>
        <row r="11210">
          <cell r="C11210" t="str">
            <v>張文魁</v>
          </cell>
          <cell r="F11210" t="str">
            <v>K200501R1</v>
          </cell>
          <cell r="J11210">
            <v>45861</v>
          </cell>
          <cell r="K11210">
            <v>8</v>
          </cell>
        </row>
        <row r="11211">
          <cell r="C11211" t="str">
            <v>張文魁</v>
          </cell>
          <cell r="F11211" t="str">
            <v>K200501R1</v>
          </cell>
          <cell r="J11211">
            <v>45862</v>
          </cell>
          <cell r="K11211">
            <v>8</v>
          </cell>
        </row>
        <row r="11212">
          <cell r="C11212" t="str">
            <v>張文魁</v>
          </cell>
          <cell r="F11212" t="str">
            <v>K200501R1</v>
          </cell>
          <cell r="J11212">
            <v>45863</v>
          </cell>
          <cell r="K11212">
            <v>8</v>
          </cell>
        </row>
        <row r="11213">
          <cell r="C11213" t="str">
            <v>張文魁</v>
          </cell>
          <cell r="F11213" t="str">
            <v>K200501R1</v>
          </cell>
          <cell r="J11213">
            <v>45866</v>
          </cell>
          <cell r="K11213">
            <v>8</v>
          </cell>
        </row>
        <row r="11214">
          <cell r="C11214" t="str">
            <v>張文魁</v>
          </cell>
          <cell r="F11214" t="str">
            <v>K200501R1</v>
          </cell>
          <cell r="J11214">
            <v>45867</v>
          </cell>
          <cell r="K11214">
            <v>8</v>
          </cell>
        </row>
        <row r="11215">
          <cell r="C11215" t="str">
            <v>張文魁</v>
          </cell>
          <cell r="F11215" t="str">
            <v>K200501R1</v>
          </cell>
          <cell r="J11215">
            <v>45868</v>
          </cell>
          <cell r="K11215">
            <v>8</v>
          </cell>
        </row>
        <row r="11216">
          <cell r="C11216" t="str">
            <v>張文魁</v>
          </cell>
          <cell r="F11216" t="str">
            <v>K200501R1</v>
          </cell>
          <cell r="J11216">
            <v>45869</v>
          </cell>
          <cell r="K11216">
            <v>8</v>
          </cell>
        </row>
        <row r="11217">
          <cell r="C11217" t="str">
            <v>張文魁</v>
          </cell>
          <cell r="F11217" t="str">
            <v>K200501R1</v>
          </cell>
          <cell r="J11217">
            <v>45870</v>
          </cell>
          <cell r="K11217">
            <v>8</v>
          </cell>
        </row>
        <row r="11218">
          <cell r="C11218" t="str">
            <v>張文魁</v>
          </cell>
          <cell r="F11218" t="str">
            <v>K200501R1</v>
          </cell>
          <cell r="J11218">
            <v>45873</v>
          </cell>
          <cell r="K11218">
            <v>8</v>
          </cell>
        </row>
        <row r="11219">
          <cell r="C11219" t="str">
            <v>張文魁</v>
          </cell>
          <cell r="F11219" t="str">
            <v>K200501R1</v>
          </cell>
          <cell r="J11219">
            <v>45874</v>
          </cell>
          <cell r="K11219">
            <v>8</v>
          </cell>
        </row>
        <row r="11220">
          <cell r="C11220" t="str">
            <v>張文魁</v>
          </cell>
          <cell r="F11220" t="str">
            <v>K200501R1</v>
          </cell>
          <cell r="J11220">
            <v>45875</v>
          </cell>
          <cell r="K11220">
            <v>8</v>
          </cell>
        </row>
        <row r="11221">
          <cell r="C11221" t="str">
            <v>張文魁</v>
          </cell>
          <cell r="F11221" t="str">
            <v>K200501R1</v>
          </cell>
          <cell r="J11221">
            <v>45876</v>
          </cell>
          <cell r="K11221">
            <v>8</v>
          </cell>
        </row>
        <row r="11222">
          <cell r="C11222" t="str">
            <v>張文魁</v>
          </cell>
          <cell r="F11222" t="str">
            <v>K200501R1</v>
          </cell>
          <cell r="J11222">
            <v>45877</v>
          </cell>
          <cell r="K11222">
            <v>8</v>
          </cell>
        </row>
        <row r="11223">
          <cell r="C11223" t="str">
            <v>張文魁</v>
          </cell>
          <cell r="F11223" t="str">
            <v>K200501R1</v>
          </cell>
          <cell r="J11223">
            <v>45880</v>
          </cell>
          <cell r="K11223">
            <v>8</v>
          </cell>
        </row>
        <row r="11224">
          <cell r="C11224" t="str">
            <v>張文魁</v>
          </cell>
          <cell r="F11224" t="str">
            <v>K200501R1</v>
          </cell>
          <cell r="J11224">
            <v>45881</v>
          </cell>
          <cell r="K11224">
            <v>8</v>
          </cell>
        </row>
        <row r="11225">
          <cell r="C11225" t="str">
            <v>張文魁</v>
          </cell>
          <cell r="F11225" t="str">
            <v>K200501R1</v>
          </cell>
          <cell r="J11225">
            <v>45882</v>
          </cell>
          <cell r="K11225">
            <v>8</v>
          </cell>
        </row>
        <row r="11226">
          <cell r="C11226" t="str">
            <v>張文魁</v>
          </cell>
          <cell r="F11226" t="str">
            <v>M240704R1</v>
          </cell>
          <cell r="J11226">
            <v>45883</v>
          </cell>
          <cell r="K11226">
            <v>8</v>
          </cell>
        </row>
        <row r="11227">
          <cell r="C11227" t="str">
            <v>張文魁</v>
          </cell>
          <cell r="F11227" t="str">
            <v>M240704R1</v>
          </cell>
          <cell r="J11227">
            <v>45884</v>
          </cell>
          <cell r="K11227">
            <v>8</v>
          </cell>
        </row>
        <row r="11228">
          <cell r="C11228" t="str">
            <v>張文魁</v>
          </cell>
          <cell r="F11228" t="str">
            <v>M240704R1</v>
          </cell>
          <cell r="J11228">
            <v>45887</v>
          </cell>
          <cell r="K11228">
            <v>8</v>
          </cell>
        </row>
        <row r="11229">
          <cell r="C11229" t="str">
            <v>張文魁</v>
          </cell>
          <cell r="F11229" t="str">
            <v>M240704R1</v>
          </cell>
          <cell r="J11229">
            <v>45888</v>
          </cell>
          <cell r="K11229">
            <v>8</v>
          </cell>
        </row>
        <row r="11230">
          <cell r="C11230" t="str">
            <v>張文魁</v>
          </cell>
          <cell r="F11230" t="str">
            <v>M240704R1</v>
          </cell>
          <cell r="J11230">
            <v>45889</v>
          </cell>
          <cell r="K11230">
            <v>8</v>
          </cell>
        </row>
        <row r="11231">
          <cell r="C11231" t="str">
            <v>張文魁</v>
          </cell>
          <cell r="F11231" t="str">
            <v>K240801R2</v>
          </cell>
          <cell r="J11231">
            <v>45890</v>
          </cell>
          <cell r="K11231">
            <v>8</v>
          </cell>
        </row>
        <row r="11232">
          <cell r="C11232" t="str">
            <v>張文魁</v>
          </cell>
          <cell r="F11232" t="str">
            <v>M240704R1</v>
          </cell>
          <cell r="J11232">
            <v>45891</v>
          </cell>
          <cell r="K11232">
            <v>8</v>
          </cell>
        </row>
        <row r="11233">
          <cell r="C11233" t="str">
            <v>張文魁</v>
          </cell>
          <cell r="F11233" t="str">
            <v>M240704R1</v>
          </cell>
          <cell r="J11233">
            <v>45894</v>
          </cell>
          <cell r="K11233">
            <v>8</v>
          </cell>
        </row>
        <row r="11234">
          <cell r="C11234" t="str">
            <v>張文魁</v>
          </cell>
          <cell r="F11234" t="str">
            <v>M240704R1</v>
          </cell>
          <cell r="J11234">
            <v>45895</v>
          </cell>
          <cell r="K11234">
            <v>8</v>
          </cell>
        </row>
        <row r="11235">
          <cell r="C11235" t="str">
            <v>張文魁</v>
          </cell>
          <cell r="F11235" t="str">
            <v>M240704R1</v>
          </cell>
          <cell r="J11235">
            <v>45896</v>
          </cell>
          <cell r="K11235">
            <v>8</v>
          </cell>
        </row>
        <row r="11236">
          <cell r="C11236" t="str">
            <v>張文魁</v>
          </cell>
          <cell r="F11236" t="str">
            <v>M240704R1</v>
          </cell>
          <cell r="J11236">
            <v>45897</v>
          </cell>
          <cell r="K11236">
            <v>8</v>
          </cell>
        </row>
        <row r="11237">
          <cell r="C11237" t="str">
            <v>張文魁</v>
          </cell>
          <cell r="J11237">
            <v>45898</v>
          </cell>
          <cell r="K11237">
            <v>4</v>
          </cell>
        </row>
        <row r="11238">
          <cell r="C11238" t="str">
            <v>張文魁</v>
          </cell>
          <cell r="F11238" t="str">
            <v>M240704R1</v>
          </cell>
          <cell r="J11238">
            <v>45898</v>
          </cell>
          <cell r="K11238">
            <v>4</v>
          </cell>
        </row>
        <row r="11239">
          <cell r="C11239" t="str">
            <v>張文魁</v>
          </cell>
          <cell r="F11239" t="str">
            <v>K200501R1</v>
          </cell>
          <cell r="J11239">
            <v>45901</v>
          </cell>
          <cell r="K11239">
            <v>8</v>
          </cell>
        </row>
        <row r="11240">
          <cell r="C11240" t="str">
            <v>張文魁</v>
          </cell>
          <cell r="F11240" t="str">
            <v>K200501R1</v>
          </cell>
          <cell r="J11240">
            <v>45902</v>
          </cell>
          <cell r="K11240">
            <v>8</v>
          </cell>
        </row>
        <row r="11241">
          <cell r="C11241" t="str">
            <v>張文魁</v>
          </cell>
          <cell r="F11241" t="str">
            <v>K200501R1</v>
          </cell>
          <cell r="J11241">
            <v>45903</v>
          </cell>
          <cell r="K11241">
            <v>8</v>
          </cell>
        </row>
        <row r="11242">
          <cell r="C11242" t="str">
            <v>張文魁</v>
          </cell>
          <cell r="F11242" t="str">
            <v>K200501R1</v>
          </cell>
          <cell r="J11242">
            <v>45904</v>
          </cell>
          <cell r="K11242">
            <v>8</v>
          </cell>
        </row>
        <row r="11243">
          <cell r="C11243" t="str">
            <v>張文魁</v>
          </cell>
          <cell r="F11243" t="str">
            <v>K200501R1</v>
          </cell>
          <cell r="J11243">
            <v>45905</v>
          </cell>
          <cell r="K11243">
            <v>8</v>
          </cell>
        </row>
        <row r="11244">
          <cell r="C11244" t="str">
            <v>張文魁</v>
          </cell>
          <cell r="F11244" t="str">
            <v>K200501R1</v>
          </cell>
          <cell r="J11244">
            <v>45908</v>
          </cell>
          <cell r="K11244">
            <v>8</v>
          </cell>
        </row>
        <row r="11245">
          <cell r="C11245" t="str">
            <v>張文魁</v>
          </cell>
          <cell r="F11245" t="str">
            <v>M240702R1</v>
          </cell>
          <cell r="J11245">
            <v>45909</v>
          </cell>
          <cell r="K11245">
            <v>8</v>
          </cell>
        </row>
        <row r="11246">
          <cell r="C11246" t="str">
            <v>張文魁</v>
          </cell>
          <cell r="F11246" t="str">
            <v>M240704R1</v>
          </cell>
          <cell r="J11246">
            <v>45910</v>
          </cell>
          <cell r="K11246">
            <v>8</v>
          </cell>
        </row>
        <row r="11247">
          <cell r="C11247" t="str">
            <v>張文魁</v>
          </cell>
          <cell r="F11247" t="str">
            <v>K200501R1</v>
          </cell>
          <cell r="J11247">
            <v>45911</v>
          </cell>
          <cell r="K11247">
            <v>8</v>
          </cell>
        </row>
        <row r="11248">
          <cell r="C11248" t="str">
            <v>張文魁</v>
          </cell>
          <cell r="F11248" t="str">
            <v>K240801R2</v>
          </cell>
          <cell r="J11248">
            <v>45912</v>
          </cell>
          <cell r="K11248">
            <v>8</v>
          </cell>
        </row>
        <row r="11249">
          <cell r="C11249" t="str">
            <v>張文魁</v>
          </cell>
          <cell r="F11249" t="str">
            <v>M240704R1</v>
          </cell>
          <cell r="J11249">
            <v>45915</v>
          </cell>
          <cell r="K11249">
            <v>8</v>
          </cell>
        </row>
        <row r="11250">
          <cell r="C11250" t="str">
            <v>張文魁</v>
          </cell>
          <cell r="F11250" t="str">
            <v>M240704R1</v>
          </cell>
          <cell r="J11250">
            <v>45916</v>
          </cell>
          <cell r="K11250">
            <v>8</v>
          </cell>
        </row>
        <row r="11251">
          <cell r="C11251" t="str">
            <v>張文魁</v>
          </cell>
          <cell r="F11251" t="str">
            <v>M240704R1</v>
          </cell>
          <cell r="J11251">
            <v>45917</v>
          </cell>
          <cell r="K11251">
            <v>8</v>
          </cell>
        </row>
        <row r="11252">
          <cell r="C11252" t="str">
            <v>張文魁</v>
          </cell>
          <cell r="F11252" t="str">
            <v>K240801R2</v>
          </cell>
          <cell r="J11252">
            <v>45918</v>
          </cell>
          <cell r="K11252">
            <v>8</v>
          </cell>
        </row>
        <row r="11253">
          <cell r="C11253" t="str">
            <v>張文魁</v>
          </cell>
          <cell r="F11253" t="str">
            <v>K240801R2</v>
          </cell>
          <cell r="J11253">
            <v>45919</v>
          </cell>
          <cell r="K11253">
            <v>8</v>
          </cell>
        </row>
        <row r="11254">
          <cell r="C11254" t="str">
            <v>張文魁</v>
          </cell>
          <cell r="F11254" t="str">
            <v>K240801R2</v>
          </cell>
          <cell r="J11254">
            <v>45922</v>
          </cell>
          <cell r="K11254">
            <v>8</v>
          </cell>
        </row>
        <row r="11255">
          <cell r="C11255" t="str">
            <v>張文魁</v>
          </cell>
          <cell r="F11255" t="str">
            <v>K240801R2</v>
          </cell>
          <cell r="J11255">
            <v>45923</v>
          </cell>
          <cell r="K11255">
            <v>8</v>
          </cell>
        </row>
        <row r="11256">
          <cell r="C11256" t="str">
            <v>張文魁</v>
          </cell>
          <cell r="F11256" t="str">
            <v>K240801R2</v>
          </cell>
          <cell r="J11256">
            <v>45924</v>
          </cell>
          <cell r="K11256">
            <v>8</v>
          </cell>
        </row>
        <row r="11257">
          <cell r="C11257" t="str">
            <v>張文魁</v>
          </cell>
          <cell r="F11257" t="str">
            <v>K200501R1</v>
          </cell>
          <cell r="J11257">
            <v>45925</v>
          </cell>
          <cell r="K11257">
            <v>8</v>
          </cell>
        </row>
        <row r="11258">
          <cell r="C11258" t="str">
            <v>張文魁</v>
          </cell>
          <cell r="J11258">
            <v>45926</v>
          </cell>
          <cell r="K11258">
            <v>4</v>
          </cell>
        </row>
        <row r="11259">
          <cell r="C11259" t="str">
            <v>張文魁</v>
          </cell>
          <cell r="F11259" t="str">
            <v>K200501R1</v>
          </cell>
          <cell r="J11259">
            <v>45926</v>
          </cell>
          <cell r="K11259">
            <v>4</v>
          </cell>
        </row>
        <row r="11260">
          <cell r="C11260" t="str">
            <v>張文魁</v>
          </cell>
          <cell r="F11260" t="str">
            <v>K200501R1</v>
          </cell>
          <cell r="J11260">
            <v>45930</v>
          </cell>
          <cell r="K11260">
            <v>8</v>
          </cell>
        </row>
        <row r="11261">
          <cell r="C11261" t="str">
            <v>張文魁</v>
          </cell>
          <cell r="F11261" t="str">
            <v>K240801R2</v>
          </cell>
          <cell r="J11261">
            <v>45931</v>
          </cell>
          <cell r="K11261">
            <v>8</v>
          </cell>
        </row>
        <row r="11262">
          <cell r="C11262" t="str">
            <v>張文魁</v>
          </cell>
          <cell r="F11262" t="str">
            <v>K200501R1</v>
          </cell>
          <cell r="J11262">
            <v>45932</v>
          </cell>
          <cell r="K11262">
            <v>8</v>
          </cell>
        </row>
        <row r="11263">
          <cell r="C11263" t="str">
            <v>張文魁</v>
          </cell>
          <cell r="J11263">
            <v>45933</v>
          </cell>
          <cell r="K11263">
            <v>4</v>
          </cell>
        </row>
        <row r="11264">
          <cell r="C11264" t="str">
            <v>張文魁</v>
          </cell>
          <cell r="F11264" t="str">
            <v>K200501R1</v>
          </cell>
          <cell r="J11264">
            <v>45933</v>
          </cell>
          <cell r="K11264">
            <v>4</v>
          </cell>
        </row>
        <row r="11265">
          <cell r="C11265" t="str">
            <v>張文魁</v>
          </cell>
          <cell r="F11265" t="str">
            <v>K200501R1</v>
          </cell>
          <cell r="J11265">
            <v>45937</v>
          </cell>
          <cell r="K11265">
            <v>8</v>
          </cell>
        </row>
        <row r="11266">
          <cell r="C11266" t="str">
            <v>張文魁</v>
          </cell>
          <cell r="F11266" t="str">
            <v>K240801R2</v>
          </cell>
          <cell r="J11266">
            <v>45938</v>
          </cell>
          <cell r="K11266">
            <v>8</v>
          </cell>
        </row>
        <row r="11267">
          <cell r="C11267" t="str">
            <v>張文魁</v>
          </cell>
          <cell r="F11267" t="str">
            <v>K200501R1</v>
          </cell>
          <cell r="J11267">
            <v>45939</v>
          </cell>
          <cell r="K11267">
            <v>8</v>
          </cell>
        </row>
        <row r="11268">
          <cell r="C11268" t="str">
            <v>張文魁</v>
          </cell>
          <cell r="F11268" t="str">
            <v>K200501R1</v>
          </cell>
          <cell r="J11268">
            <v>45943</v>
          </cell>
          <cell r="K11268">
            <v>8</v>
          </cell>
        </row>
        <row r="11269">
          <cell r="C11269" t="str">
            <v>張文魁</v>
          </cell>
          <cell r="F11269" t="str">
            <v>K200501R1</v>
          </cell>
          <cell r="J11269">
            <v>45944</v>
          </cell>
          <cell r="K11269">
            <v>8</v>
          </cell>
        </row>
        <row r="11270">
          <cell r="C11270" t="str">
            <v>張文魁</v>
          </cell>
          <cell r="F11270" t="str">
            <v>K200501R1</v>
          </cell>
          <cell r="J11270">
            <v>45945</v>
          </cell>
          <cell r="K11270">
            <v>8</v>
          </cell>
        </row>
        <row r="11271">
          <cell r="C11271" t="str">
            <v>張文魁</v>
          </cell>
          <cell r="F11271" t="str">
            <v>K200501R1</v>
          </cell>
          <cell r="J11271">
            <v>45946</v>
          </cell>
          <cell r="K11271">
            <v>8</v>
          </cell>
        </row>
        <row r="11272">
          <cell r="C11272" t="str">
            <v>張文魁</v>
          </cell>
          <cell r="F11272" t="str">
            <v>K200501R1</v>
          </cell>
          <cell r="J11272">
            <v>45947</v>
          </cell>
          <cell r="K11272">
            <v>8</v>
          </cell>
        </row>
        <row r="11273">
          <cell r="C11273" t="str">
            <v>張文魁</v>
          </cell>
          <cell r="F11273" t="str">
            <v>K200501R1</v>
          </cell>
          <cell r="J11273">
            <v>45950</v>
          </cell>
          <cell r="K11273">
            <v>8</v>
          </cell>
        </row>
        <row r="11274">
          <cell r="C11274" t="str">
            <v>張文魁</v>
          </cell>
          <cell r="F11274" t="str">
            <v>K200501R1</v>
          </cell>
          <cell r="J11274">
            <v>45951</v>
          </cell>
          <cell r="K11274">
            <v>8</v>
          </cell>
        </row>
        <row r="11275">
          <cell r="C11275" t="str">
            <v>張文魁</v>
          </cell>
          <cell r="F11275" t="str">
            <v>M240704R1</v>
          </cell>
          <cell r="J11275">
            <v>45952</v>
          </cell>
          <cell r="K11275">
            <v>8</v>
          </cell>
        </row>
        <row r="11276">
          <cell r="C11276" t="str">
            <v>張文魁</v>
          </cell>
          <cell r="J11276">
            <v>45953</v>
          </cell>
          <cell r="K11276">
            <v>4</v>
          </cell>
        </row>
        <row r="11277">
          <cell r="C11277" t="str">
            <v>張文魁</v>
          </cell>
          <cell r="F11277" t="str">
            <v>K200501R1</v>
          </cell>
          <cell r="J11277">
            <v>45953</v>
          </cell>
          <cell r="K11277">
            <v>4</v>
          </cell>
        </row>
        <row r="11278">
          <cell r="C11278" t="str">
            <v>張文魁</v>
          </cell>
          <cell r="F11278" t="str">
            <v>K200501R1</v>
          </cell>
          <cell r="J11278">
            <v>45957</v>
          </cell>
          <cell r="K11278">
            <v>8</v>
          </cell>
        </row>
        <row r="11279">
          <cell r="C11279" t="str">
            <v>張文魁</v>
          </cell>
          <cell r="F11279" t="str">
            <v>K200501R1</v>
          </cell>
          <cell r="J11279">
            <v>45958</v>
          </cell>
          <cell r="K11279">
            <v>8</v>
          </cell>
        </row>
        <row r="11280">
          <cell r="C11280" t="str">
            <v>張文魁</v>
          </cell>
          <cell r="F11280" t="str">
            <v>M240704R1</v>
          </cell>
          <cell r="J11280">
            <v>45959</v>
          </cell>
          <cell r="K11280">
            <v>8</v>
          </cell>
        </row>
        <row r="11281">
          <cell r="C11281" t="str">
            <v>張文魁</v>
          </cell>
          <cell r="F11281" t="str">
            <v>K200501R1</v>
          </cell>
          <cell r="J11281">
            <v>45960</v>
          </cell>
          <cell r="K11281">
            <v>8</v>
          </cell>
        </row>
        <row r="11282">
          <cell r="C11282" t="str">
            <v>張文魁</v>
          </cell>
          <cell r="F11282" t="str">
            <v>K200501R1</v>
          </cell>
          <cell r="J11282">
            <v>45961</v>
          </cell>
          <cell r="K11282">
            <v>8</v>
          </cell>
        </row>
        <row r="11283">
          <cell r="C11283" t="str">
            <v>張文魁</v>
          </cell>
          <cell r="F11283" t="str">
            <v>M240704R1</v>
          </cell>
          <cell r="J11283">
            <v>45964</v>
          </cell>
          <cell r="K11283">
            <v>8</v>
          </cell>
        </row>
        <row r="11284">
          <cell r="C11284" t="str">
            <v>張文魁</v>
          </cell>
          <cell r="F11284" t="str">
            <v>M240704R1</v>
          </cell>
          <cell r="J11284">
            <v>45965</v>
          </cell>
          <cell r="K11284">
            <v>8</v>
          </cell>
        </row>
        <row r="11285">
          <cell r="C11285" t="str">
            <v>張文魁</v>
          </cell>
          <cell r="F11285" t="str">
            <v>M240704R1</v>
          </cell>
          <cell r="J11285">
            <v>45966</v>
          </cell>
          <cell r="K11285">
            <v>8</v>
          </cell>
        </row>
        <row r="11286">
          <cell r="C11286" t="str">
            <v>張文魁</v>
          </cell>
          <cell r="F11286" t="str">
            <v>M240704R1</v>
          </cell>
          <cell r="J11286">
            <v>45967</v>
          </cell>
          <cell r="K11286">
            <v>8</v>
          </cell>
        </row>
        <row r="11287">
          <cell r="C11287" t="str">
            <v>張文魁</v>
          </cell>
          <cell r="J11287">
            <v>45968</v>
          </cell>
          <cell r="K11287">
            <v>8</v>
          </cell>
        </row>
        <row r="11288">
          <cell r="C11288" t="str">
            <v>張文魁</v>
          </cell>
          <cell r="F11288" t="str">
            <v>K200501R1</v>
          </cell>
          <cell r="J11288">
            <v>45971</v>
          </cell>
          <cell r="K11288">
            <v>8</v>
          </cell>
        </row>
        <row r="11289">
          <cell r="C11289" t="str">
            <v>張文魁</v>
          </cell>
          <cell r="F11289" t="str">
            <v>K200501R1</v>
          </cell>
          <cell r="J11289">
            <v>45972</v>
          </cell>
          <cell r="K11289">
            <v>8</v>
          </cell>
        </row>
        <row r="11290">
          <cell r="C11290" t="str">
            <v>張文魁</v>
          </cell>
          <cell r="F11290" t="str">
            <v>M240704R1</v>
          </cell>
          <cell r="J11290">
            <v>45973</v>
          </cell>
          <cell r="K11290">
            <v>8</v>
          </cell>
        </row>
        <row r="11291">
          <cell r="C11291" t="str">
            <v>張文魁</v>
          </cell>
          <cell r="F11291" t="str">
            <v>M240704R1</v>
          </cell>
          <cell r="J11291">
            <v>45974</v>
          </cell>
          <cell r="K11291">
            <v>8</v>
          </cell>
        </row>
        <row r="11292">
          <cell r="C11292" t="str">
            <v>張文魁</v>
          </cell>
          <cell r="J11292">
            <v>45975</v>
          </cell>
          <cell r="K11292">
            <v>8</v>
          </cell>
        </row>
        <row r="11293">
          <cell r="C11293" t="str">
            <v>張文魁</v>
          </cell>
          <cell r="F11293" t="str">
            <v>M240704R1</v>
          </cell>
          <cell r="J11293">
            <v>45978</v>
          </cell>
          <cell r="K11293">
            <v>8</v>
          </cell>
        </row>
        <row r="11294">
          <cell r="C11294" t="str">
            <v>張文魁</v>
          </cell>
          <cell r="F11294" t="str">
            <v>K200501R1</v>
          </cell>
          <cell r="J11294">
            <v>45979</v>
          </cell>
          <cell r="K11294">
            <v>8</v>
          </cell>
        </row>
        <row r="11295">
          <cell r="C11295" t="str">
            <v>張文魁</v>
          </cell>
          <cell r="F11295" t="str">
            <v>K200501R1</v>
          </cell>
          <cell r="J11295">
            <v>45980</v>
          </cell>
          <cell r="K11295">
            <v>8</v>
          </cell>
        </row>
        <row r="11296">
          <cell r="C11296" t="str">
            <v>張文魁</v>
          </cell>
          <cell r="F11296" t="str">
            <v>K200501R1</v>
          </cell>
          <cell r="J11296">
            <v>45981</v>
          </cell>
          <cell r="K11296">
            <v>8</v>
          </cell>
        </row>
        <row r="11297">
          <cell r="C11297" t="str">
            <v>張文魁</v>
          </cell>
          <cell r="J11297">
            <v>45982</v>
          </cell>
          <cell r="K11297">
            <v>8</v>
          </cell>
        </row>
        <row r="11298">
          <cell r="C11298" t="str">
            <v>張文魁</v>
          </cell>
          <cell r="F11298" t="str">
            <v>M240704R1</v>
          </cell>
          <cell r="J11298">
            <v>45985</v>
          </cell>
          <cell r="K11298">
            <v>8</v>
          </cell>
        </row>
        <row r="11299">
          <cell r="C11299" t="str">
            <v>張文魁</v>
          </cell>
          <cell r="F11299" t="str">
            <v>M240704R1</v>
          </cell>
          <cell r="J11299">
            <v>45986</v>
          </cell>
          <cell r="K11299">
            <v>8</v>
          </cell>
        </row>
        <row r="11300">
          <cell r="C11300" t="str">
            <v>張文魁</v>
          </cell>
          <cell r="F11300" t="str">
            <v>M240704R1</v>
          </cell>
          <cell r="J11300">
            <v>45987</v>
          </cell>
          <cell r="K11300">
            <v>8</v>
          </cell>
        </row>
        <row r="11301">
          <cell r="C11301" t="str">
            <v>張文魁</v>
          </cell>
          <cell r="F11301" t="str">
            <v>M240702R1</v>
          </cell>
          <cell r="J11301">
            <v>45988</v>
          </cell>
          <cell r="K11301">
            <v>8</v>
          </cell>
        </row>
        <row r="11302">
          <cell r="C11302" t="str">
            <v>張文魁</v>
          </cell>
          <cell r="F11302" t="str">
            <v>M240704R1</v>
          </cell>
          <cell r="J11302">
            <v>45989</v>
          </cell>
          <cell r="K11302">
            <v>8</v>
          </cell>
        </row>
        <row r="11303">
          <cell r="C11303" t="str">
            <v>張文魁</v>
          </cell>
          <cell r="F11303" t="str">
            <v>M240704R1</v>
          </cell>
          <cell r="J11303">
            <v>45992</v>
          </cell>
          <cell r="K11303">
            <v>8</v>
          </cell>
        </row>
        <row r="11304">
          <cell r="C11304" t="str">
            <v>張文魁</v>
          </cell>
          <cell r="F11304" t="str">
            <v>M240704R1</v>
          </cell>
          <cell r="J11304">
            <v>45993</v>
          </cell>
          <cell r="K11304">
            <v>8</v>
          </cell>
        </row>
        <row r="11305">
          <cell r="C11305" t="str">
            <v>張文魁</v>
          </cell>
          <cell r="F11305" t="str">
            <v>M240705R1</v>
          </cell>
          <cell r="J11305">
            <v>45994</v>
          </cell>
          <cell r="K11305">
            <v>8</v>
          </cell>
        </row>
        <row r="11306">
          <cell r="C11306" t="str">
            <v>張文魁</v>
          </cell>
          <cell r="F11306" t="str">
            <v>K200501R1</v>
          </cell>
          <cell r="J11306">
            <v>45995</v>
          </cell>
          <cell r="K11306">
            <v>8</v>
          </cell>
        </row>
        <row r="11307">
          <cell r="C11307" t="str">
            <v>張文魁</v>
          </cell>
          <cell r="J11307">
            <v>45996</v>
          </cell>
          <cell r="K11307">
            <v>8</v>
          </cell>
        </row>
        <row r="11308">
          <cell r="C11308" t="str">
            <v>張文魁</v>
          </cell>
          <cell r="F11308" t="str">
            <v>K200501R1</v>
          </cell>
          <cell r="J11308">
            <v>45999</v>
          </cell>
          <cell r="K11308">
            <v>8</v>
          </cell>
        </row>
        <row r="11309">
          <cell r="C11309" t="str">
            <v>張文魁</v>
          </cell>
          <cell r="F11309" t="str">
            <v>M240704R1</v>
          </cell>
          <cell r="J11309">
            <v>46000</v>
          </cell>
          <cell r="K11309">
            <v>8</v>
          </cell>
        </row>
        <row r="11310">
          <cell r="C11310" t="str">
            <v>張文魁</v>
          </cell>
          <cell r="F11310" t="str">
            <v>K200501R1</v>
          </cell>
          <cell r="J11310">
            <v>46001</v>
          </cell>
          <cell r="K11310">
            <v>8</v>
          </cell>
        </row>
        <row r="11311">
          <cell r="C11311" t="str">
            <v>張文魁</v>
          </cell>
          <cell r="F11311" t="str">
            <v>K200501R1</v>
          </cell>
          <cell r="J11311">
            <v>46002</v>
          </cell>
          <cell r="K11311">
            <v>8</v>
          </cell>
        </row>
        <row r="11312">
          <cell r="C11312" t="str">
            <v>張文魁</v>
          </cell>
          <cell r="J11312">
            <v>46003</v>
          </cell>
          <cell r="K11312">
            <v>8</v>
          </cell>
        </row>
        <row r="11313">
          <cell r="C11313" t="str">
            <v>張文魁</v>
          </cell>
          <cell r="F11313" t="str">
            <v>K200501R1</v>
          </cell>
          <cell r="J11313">
            <v>46006</v>
          </cell>
          <cell r="K11313">
            <v>8</v>
          </cell>
        </row>
        <row r="11314">
          <cell r="C11314" t="str">
            <v>張文魁</v>
          </cell>
          <cell r="F11314" t="str">
            <v>K200501R1</v>
          </cell>
          <cell r="J11314">
            <v>46007</v>
          </cell>
          <cell r="K11314">
            <v>8</v>
          </cell>
        </row>
        <row r="11315">
          <cell r="C11315" t="str">
            <v>張文魁</v>
          </cell>
          <cell r="F11315" t="str">
            <v>M240702R1</v>
          </cell>
          <cell r="J11315">
            <v>46008</v>
          </cell>
          <cell r="K11315">
            <v>8</v>
          </cell>
        </row>
        <row r="11316">
          <cell r="C11316" t="str">
            <v>張文魁</v>
          </cell>
          <cell r="F11316" t="str">
            <v>M240705R1</v>
          </cell>
          <cell r="J11316">
            <v>46009</v>
          </cell>
          <cell r="K11316">
            <v>8</v>
          </cell>
        </row>
        <row r="11317">
          <cell r="C11317" t="str">
            <v>張文魁</v>
          </cell>
          <cell r="F11317" t="str">
            <v>M240705R1</v>
          </cell>
          <cell r="J11317">
            <v>46010</v>
          </cell>
          <cell r="K11317">
            <v>8</v>
          </cell>
        </row>
        <row r="11318">
          <cell r="C11318" t="str">
            <v>張文魁</v>
          </cell>
          <cell r="J11318">
            <v>46013</v>
          </cell>
          <cell r="K11318">
            <v>8</v>
          </cell>
        </row>
        <row r="11319">
          <cell r="C11319" t="str">
            <v>張文魁</v>
          </cell>
          <cell r="J11319">
            <v>46014</v>
          </cell>
          <cell r="K11319">
            <v>8</v>
          </cell>
        </row>
        <row r="11320">
          <cell r="C11320" t="str">
            <v>張文魁</v>
          </cell>
          <cell r="J11320">
            <v>46015</v>
          </cell>
          <cell r="K11320">
            <v>8</v>
          </cell>
        </row>
        <row r="11321">
          <cell r="C11321" t="str">
            <v>張文魁</v>
          </cell>
          <cell r="J11321">
            <v>46017</v>
          </cell>
          <cell r="K11321">
            <v>8</v>
          </cell>
        </row>
        <row r="11322">
          <cell r="C11322" t="str">
            <v>張文魁</v>
          </cell>
          <cell r="J11322">
            <v>46020</v>
          </cell>
          <cell r="K11322">
            <v>8</v>
          </cell>
        </row>
        <row r="11323">
          <cell r="C11323" t="str">
            <v>張文魁</v>
          </cell>
          <cell r="J11323">
            <v>46021</v>
          </cell>
          <cell r="K11323">
            <v>8</v>
          </cell>
        </row>
        <row r="11324">
          <cell r="C11324" t="str">
            <v>張文魁</v>
          </cell>
          <cell r="J11324">
            <v>46022</v>
          </cell>
          <cell r="K11324">
            <v>4</v>
          </cell>
        </row>
        <row r="11325">
          <cell r="C11325" t="str">
            <v>張文魁</v>
          </cell>
          <cell r="J11325">
            <v>46022</v>
          </cell>
          <cell r="K11325">
            <v>4</v>
          </cell>
        </row>
        <row r="11326">
          <cell r="C11326" t="str">
            <v>張文魁</v>
          </cell>
          <cell r="J11326">
            <v>46024</v>
          </cell>
          <cell r="K11326">
            <v>8</v>
          </cell>
        </row>
        <row r="11327">
          <cell r="C11327" t="str">
            <v>張文魁</v>
          </cell>
          <cell r="J11327">
            <v>46027</v>
          </cell>
          <cell r="K11327">
            <v>8</v>
          </cell>
        </row>
        <row r="11328">
          <cell r="C11328" t="str">
            <v>張文魁</v>
          </cell>
          <cell r="J11328">
            <v>46028</v>
          </cell>
          <cell r="K11328">
            <v>8</v>
          </cell>
        </row>
        <row r="11329">
          <cell r="C11329" t="str">
            <v>張文魁</v>
          </cell>
          <cell r="J11329">
            <v>46029</v>
          </cell>
          <cell r="K11329">
            <v>8</v>
          </cell>
        </row>
        <row r="11330">
          <cell r="C11330" t="str">
            <v>張文魁</v>
          </cell>
          <cell r="J11330">
            <v>46030</v>
          </cell>
          <cell r="K11330">
            <v>8</v>
          </cell>
        </row>
        <row r="11331">
          <cell r="C11331" t="str">
            <v>張文魁</v>
          </cell>
          <cell r="J11331">
            <v>46031</v>
          </cell>
          <cell r="K11331">
            <v>8</v>
          </cell>
        </row>
        <row r="11332">
          <cell r="C11332" t="str">
            <v>張文魁</v>
          </cell>
          <cell r="F11332" t="str">
            <v>K200501R1</v>
          </cell>
          <cell r="J11332">
            <v>46034</v>
          </cell>
          <cell r="K11332">
            <v>8</v>
          </cell>
        </row>
        <row r="11333">
          <cell r="C11333" t="str">
            <v>張文魁</v>
          </cell>
          <cell r="F11333" t="str">
            <v>M240702R1</v>
          </cell>
          <cell r="J11333">
            <v>46035</v>
          </cell>
          <cell r="K11333">
            <v>8</v>
          </cell>
        </row>
        <row r="11334">
          <cell r="C11334" t="str">
            <v>張文魁</v>
          </cell>
          <cell r="F11334" t="str">
            <v>K250501R2</v>
          </cell>
          <cell r="J11334">
            <v>46036</v>
          </cell>
          <cell r="K11334">
            <v>8</v>
          </cell>
        </row>
        <row r="11335">
          <cell r="C11335" t="str">
            <v>張文魁</v>
          </cell>
          <cell r="F11335" t="str">
            <v>K250501R2</v>
          </cell>
          <cell r="J11335">
            <v>46037</v>
          </cell>
          <cell r="K11335">
            <v>8</v>
          </cell>
        </row>
        <row r="11336">
          <cell r="C11336" t="str">
            <v>張文魁</v>
          </cell>
          <cell r="F11336" t="str">
            <v>K250501R2</v>
          </cell>
          <cell r="J11336">
            <v>46038</v>
          </cell>
          <cell r="K11336">
            <v>8</v>
          </cell>
        </row>
        <row r="11337">
          <cell r="C11337" t="str">
            <v>張文魁</v>
          </cell>
          <cell r="F11337" t="str">
            <v>K250501R2</v>
          </cell>
          <cell r="J11337">
            <v>46041</v>
          </cell>
          <cell r="K11337">
            <v>8</v>
          </cell>
        </row>
        <row r="11338">
          <cell r="C11338" t="str">
            <v>張文魁</v>
          </cell>
          <cell r="F11338" t="str">
            <v>K250501R2</v>
          </cell>
          <cell r="J11338">
            <v>46042</v>
          </cell>
          <cell r="K11338">
            <v>8</v>
          </cell>
        </row>
        <row r="11339">
          <cell r="C11339" t="str">
            <v>張文魁</v>
          </cell>
          <cell r="F11339" t="str">
            <v>K250501R2</v>
          </cell>
          <cell r="J11339">
            <v>46043</v>
          </cell>
          <cell r="K11339">
            <v>8</v>
          </cell>
        </row>
        <row r="11340">
          <cell r="C11340" t="str">
            <v>張文魁</v>
          </cell>
          <cell r="F11340" t="str">
            <v>K250501R2</v>
          </cell>
          <cell r="J11340">
            <v>46044</v>
          </cell>
          <cell r="K11340">
            <v>8</v>
          </cell>
        </row>
        <row r="11341">
          <cell r="C11341" t="str">
            <v>張文魁</v>
          </cell>
          <cell r="F11341" t="str">
            <v>M240702R1</v>
          </cell>
          <cell r="J11341">
            <v>46045</v>
          </cell>
          <cell r="K11341">
            <v>8</v>
          </cell>
        </row>
        <row r="11342">
          <cell r="C11342" t="str">
            <v>張文魁</v>
          </cell>
          <cell r="F11342" t="str">
            <v>M240702R1</v>
          </cell>
          <cell r="J11342">
            <v>46048</v>
          </cell>
          <cell r="K11342">
            <v>8</v>
          </cell>
        </row>
        <row r="11343">
          <cell r="C11343" t="str">
            <v>張文魁</v>
          </cell>
          <cell r="F11343" t="str">
            <v>M240702R1</v>
          </cell>
          <cell r="J11343">
            <v>46049</v>
          </cell>
          <cell r="K11343">
            <v>8</v>
          </cell>
        </row>
        <row r="11344">
          <cell r="C11344" t="str">
            <v>張文魁</v>
          </cell>
          <cell r="F11344" t="str">
            <v>M240702R1</v>
          </cell>
          <cell r="J11344">
            <v>46050</v>
          </cell>
          <cell r="K11344">
            <v>8</v>
          </cell>
        </row>
        <row r="11345">
          <cell r="C11345" t="str">
            <v>張文魁</v>
          </cell>
          <cell r="F11345" t="str">
            <v>M240702R1</v>
          </cell>
          <cell r="J11345">
            <v>46051</v>
          </cell>
          <cell r="K11345">
            <v>8</v>
          </cell>
        </row>
        <row r="11346">
          <cell r="C11346" t="str">
            <v>張文魁</v>
          </cell>
          <cell r="F11346" t="str">
            <v>M240702R1</v>
          </cell>
          <cell r="J11346">
            <v>46052</v>
          </cell>
          <cell r="K11346">
            <v>8</v>
          </cell>
        </row>
        <row r="11347">
          <cell r="C11347" t="str">
            <v>張文魁</v>
          </cell>
          <cell r="F11347" t="str">
            <v>M240702R1</v>
          </cell>
          <cell r="J11347">
            <v>46055</v>
          </cell>
          <cell r="K11347">
            <v>8</v>
          </cell>
        </row>
        <row r="11348">
          <cell r="C11348" t="str">
            <v>張文魁</v>
          </cell>
          <cell r="F11348" t="str">
            <v>K250501R2</v>
          </cell>
          <cell r="J11348">
            <v>46056</v>
          </cell>
          <cell r="K11348">
            <v>8</v>
          </cell>
        </row>
        <row r="11349">
          <cell r="C11349" t="str">
            <v>張文魁</v>
          </cell>
          <cell r="F11349" t="str">
            <v>M240702R1</v>
          </cell>
          <cell r="J11349">
            <v>46057</v>
          </cell>
          <cell r="K11349">
            <v>8</v>
          </cell>
        </row>
        <row r="11350">
          <cell r="C11350" t="str">
            <v>張文魁</v>
          </cell>
          <cell r="F11350" t="str">
            <v>K250501R2</v>
          </cell>
          <cell r="J11350">
            <v>46058</v>
          </cell>
          <cell r="K11350">
            <v>8</v>
          </cell>
        </row>
        <row r="11351">
          <cell r="C11351" t="str">
            <v>張文魁</v>
          </cell>
          <cell r="F11351" t="str">
            <v>K250501R2</v>
          </cell>
          <cell r="J11351">
            <v>46059</v>
          </cell>
          <cell r="K11351">
            <v>8</v>
          </cell>
        </row>
        <row r="11352">
          <cell r="C11352" t="str">
            <v>張文魁</v>
          </cell>
          <cell r="F11352" t="str">
            <v>K250501R2</v>
          </cell>
          <cell r="J11352">
            <v>46062</v>
          </cell>
          <cell r="K11352">
            <v>8</v>
          </cell>
        </row>
        <row r="11353">
          <cell r="C11353" t="str">
            <v>張文魁</v>
          </cell>
          <cell r="F11353" t="str">
            <v>K250501R2</v>
          </cell>
          <cell r="J11353">
            <v>46063</v>
          </cell>
          <cell r="K11353">
            <v>8</v>
          </cell>
        </row>
        <row r="11354">
          <cell r="C11354" t="str">
            <v>張文魁</v>
          </cell>
          <cell r="F11354" t="str">
            <v>K250501R2</v>
          </cell>
          <cell r="J11354">
            <v>46064</v>
          </cell>
          <cell r="K11354">
            <v>8</v>
          </cell>
        </row>
        <row r="11355">
          <cell r="C11355" t="str">
            <v>張文魁</v>
          </cell>
          <cell r="F11355" t="str">
            <v>D260102R1</v>
          </cell>
          <cell r="J11355">
            <v>46065</v>
          </cell>
          <cell r="K11355">
            <v>8</v>
          </cell>
        </row>
        <row r="11356">
          <cell r="C11356" t="str">
            <v>張文魁</v>
          </cell>
          <cell r="F11356" t="str">
            <v>K250501R2</v>
          </cell>
          <cell r="J11356">
            <v>46066</v>
          </cell>
          <cell r="K11356">
            <v>8</v>
          </cell>
        </row>
        <row r="11357">
          <cell r="C11357" t="str">
            <v>張文魁</v>
          </cell>
          <cell r="F11357" t="str">
            <v>K250501R2</v>
          </cell>
          <cell r="J11357">
            <v>46076</v>
          </cell>
          <cell r="K11357">
            <v>8</v>
          </cell>
        </row>
        <row r="11358">
          <cell r="C11358" t="str">
            <v>張文魁</v>
          </cell>
          <cell r="F11358" t="str">
            <v>D260102R1</v>
          </cell>
          <cell r="J11358">
            <v>46077</v>
          </cell>
          <cell r="K11358">
            <v>8</v>
          </cell>
        </row>
        <row r="11359">
          <cell r="C11359" t="str">
            <v>張文魁</v>
          </cell>
          <cell r="F11359" t="str">
            <v>D260102R1</v>
          </cell>
          <cell r="J11359">
            <v>46078</v>
          </cell>
          <cell r="K11359">
            <v>8</v>
          </cell>
        </row>
        <row r="11360">
          <cell r="C11360" t="str">
            <v>張文魁</v>
          </cell>
          <cell r="F11360" t="str">
            <v>D260102R1</v>
          </cell>
          <cell r="J11360">
            <v>46079</v>
          </cell>
          <cell r="K11360">
            <v>8</v>
          </cell>
        </row>
        <row r="11361">
          <cell r="C11361" t="str">
            <v>張文魁</v>
          </cell>
          <cell r="F11361" t="str">
            <v>D260102R1</v>
          </cell>
          <cell r="J11361">
            <v>46083</v>
          </cell>
          <cell r="K11361">
            <v>8</v>
          </cell>
        </row>
        <row r="11362">
          <cell r="C11362" t="str">
            <v>張文魁</v>
          </cell>
          <cell r="F11362" t="str">
            <v>D260102R1</v>
          </cell>
          <cell r="J11362">
            <v>46084</v>
          </cell>
          <cell r="K11362">
            <v>8</v>
          </cell>
        </row>
        <row r="11363">
          <cell r="C11363" t="str">
            <v>張文魁</v>
          </cell>
          <cell r="F11363" t="str">
            <v>D260102R1</v>
          </cell>
          <cell r="J11363">
            <v>46085</v>
          </cell>
          <cell r="K11363">
            <v>8</v>
          </cell>
        </row>
        <row r="11364">
          <cell r="C11364" t="str">
            <v>張文魁</v>
          </cell>
          <cell r="F11364" t="str">
            <v>K250501R2</v>
          </cell>
          <cell r="J11364">
            <v>46086</v>
          </cell>
          <cell r="K11364">
            <v>8</v>
          </cell>
        </row>
        <row r="11365">
          <cell r="C11365" t="str">
            <v>張文魁</v>
          </cell>
          <cell r="F11365" t="str">
            <v>K250501R2</v>
          </cell>
          <cell r="J11365">
            <v>46087</v>
          </cell>
          <cell r="K11365">
            <v>8</v>
          </cell>
        </row>
        <row r="11366">
          <cell r="C11366" t="str">
            <v>張文魁</v>
          </cell>
          <cell r="F11366" t="str">
            <v>K250501R2</v>
          </cell>
          <cell r="J11366">
            <v>46090</v>
          </cell>
          <cell r="K11366">
            <v>8</v>
          </cell>
        </row>
        <row r="11367">
          <cell r="C11367" t="str">
            <v>張文魁</v>
          </cell>
          <cell r="F11367" t="str">
            <v>D260102R1</v>
          </cell>
          <cell r="J11367">
            <v>46090</v>
          </cell>
          <cell r="K11367">
            <v>8</v>
          </cell>
        </row>
        <row r="11368">
          <cell r="C11368" t="str">
            <v>張文魁</v>
          </cell>
          <cell r="F11368" t="str">
            <v>K250501R2</v>
          </cell>
          <cell r="J11368">
            <v>46091</v>
          </cell>
          <cell r="K11368">
            <v>8</v>
          </cell>
        </row>
        <row r="11369">
          <cell r="C11369" t="str">
            <v>張文魁</v>
          </cell>
          <cell r="F11369" t="str">
            <v>K250501R2</v>
          </cell>
          <cell r="J11369">
            <v>46092</v>
          </cell>
          <cell r="K11369">
            <v>8</v>
          </cell>
        </row>
        <row r="11370">
          <cell r="C11370" t="str">
            <v>張文魁</v>
          </cell>
          <cell r="F11370" t="str">
            <v>K250501R2</v>
          </cell>
          <cell r="J11370">
            <v>46093</v>
          </cell>
          <cell r="K11370">
            <v>8</v>
          </cell>
        </row>
        <row r="11371">
          <cell r="C11371" t="str">
            <v>張文魁</v>
          </cell>
          <cell r="F11371" t="str">
            <v>K250501R2</v>
          </cell>
          <cell r="J11371">
            <v>46094</v>
          </cell>
          <cell r="K11371">
            <v>8</v>
          </cell>
        </row>
        <row r="11372">
          <cell r="C11372" t="str">
            <v>張文魁</v>
          </cell>
          <cell r="F11372" t="str">
            <v>K250501R2</v>
          </cell>
          <cell r="J11372">
            <v>46097</v>
          </cell>
          <cell r="K11372">
            <v>8</v>
          </cell>
        </row>
        <row r="11373">
          <cell r="C11373" t="str">
            <v>張文魁</v>
          </cell>
          <cell r="F11373" t="str">
            <v>D260102R1</v>
          </cell>
          <cell r="J11373">
            <v>46098</v>
          </cell>
          <cell r="K11373">
            <v>8</v>
          </cell>
        </row>
        <row r="11374">
          <cell r="C11374" t="str">
            <v>張文魁</v>
          </cell>
          <cell r="F11374" t="str">
            <v>K250501R2</v>
          </cell>
          <cell r="J11374">
            <v>46098</v>
          </cell>
          <cell r="K11374">
            <v>8</v>
          </cell>
        </row>
        <row r="11375">
          <cell r="C11375" t="str">
            <v>張文魁</v>
          </cell>
          <cell r="F11375" t="str">
            <v>K250501R2</v>
          </cell>
          <cell r="J11375">
            <v>46099</v>
          </cell>
          <cell r="K11375">
            <v>8</v>
          </cell>
        </row>
        <row r="11376">
          <cell r="C11376" t="str">
            <v>張文魁</v>
          </cell>
          <cell r="F11376" t="str">
            <v>K250501R2</v>
          </cell>
          <cell r="J11376">
            <v>46100</v>
          </cell>
          <cell r="K11376">
            <v>8</v>
          </cell>
        </row>
        <row r="11377">
          <cell r="C11377" t="str">
            <v>張文魁</v>
          </cell>
          <cell r="F11377" t="str">
            <v>K250501R2</v>
          </cell>
          <cell r="J11377">
            <v>46101</v>
          </cell>
          <cell r="K11377">
            <v>8</v>
          </cell>
        </row>
        <row r="11378">
          <cell r="C11378" t="str">
            <v>張文魁</v>
          </cell>
          <cell r="F11378" t="str">
            <v>K250501R2</v>
          </cell>
          <cell r="J11378">
            <v>46104</v>
          </cell>
          <cell r="K11378">
            <v>8</v>
          </cell>
        </row>
        <row r="11379">
          <cell r="C11379" t="str">
            <v>張文魁</v>
          </cell>
          <cell r="F11379" t="str">
            <v>K250501R2</v>
          </cell>
          <cell r="J11379">
            <v>46105</v>
          </cell>
          <cell r="K11379">
            <v>8</v>
          </cell>
        </row>
        <row r="11380">
          <cell r="C11380" t="str">
            <v>張文魁</v>
          </cell>
          <cell r="F11380" t="str">
            <v>D260102R1</v>
          </cell>
          <cell r="J11380">
            <v>46106</v>
          </cell>
          <cell r="K11380">
            <v>8</v>
          </cell>
        </row>
        <row r="11381">
          <cell r="C11381" t="str">
            <v>張文魁</v>
          </cell>
          <cell r="F11381" t="str">
            <v>D260102R1</v>
          </cell>
          <cell r="J11381">
            <v>46107</v>
          </cell>
          <cell r="K11381">
            <v>8</v>
          </cell>
        </row>
        <row r="11382">
          <cell r="C11382" t="str">
            <v>張文魁</v>
          </cell>
          <cell r="F11382" t="str">
            <v>K250501R2</v>
          </cell>
          <cell r="J11382">
            <v>46108</v>
          </cell>
          <cell r="K11382">
            <v>8</v>
          </cell>
        </row>
        <row r="11383">
          <cell r="C11383" t="str">
            <v>張文魁</v>
          </cell>
          <cell r="F11383" t="str">
            <v>K250501R2</v>
          </cell>
          <cell r="J11383">
            <v>46111</v>
          </cell>
          <cell r="K11383">
            <v>8</v>
          </cell>
        </row>
        <row r="11384">
          <cell r="C11384" t="str">
            <v>張文魁</v>
          </cell>
          <cell r="F11384" t="str">
            <v>K250501R2</v>
          </cell>
          <cell r="J11384">
            <v>46112</v>
          </cell>
          <cell r="K11384">
            <v>8</v>
          </cell>
        </row>
        <row r="11385">
          <cell r="C11385" t="str">
            <v>張文魁</v>
          </cell>
          <cell r="F11385" t="str">
            <v>K250501R2</v>
          </cell>
          <cell r="J11385">
            <v>46113</v>
          </cell>
          <cell r="K11385">
            <v>8</v>
          </cell>
        </row>
        <row r="11386">
          <cell r="C11386" t="str">
            <v>張文魁</v>
          </cell>
          <cell r="F11386" t="str">
            <v>K250501R2</v>
          </cell>
          <cell r="J11386">
            <v>46114</v>
          </cell>
          <cell r="K11386">
            <v>8</v>
          </cell>
        </row>
        <row r="11387">
          <cell r="C11387" t="str">
            <v>張文魁</v>
          </cell>
          <cell r="J11387">
            <v>46119</v>
          </cell>
          <cell r="K11387">
            <v>8</v>
          </cell>
        </row>
        <row r="11388">
          <cell r="C11388" t="str">
            <v>張文魁</v>
          </cell>
          <cell r="F11388" t="str">
            <v>K250501R2</v>
          </cell>
          <cell r="J11388">
            <v>46120</v>
          </cell>
          <cell r="K11388">
            <v>8</v>
          </cell>
        </row>
        <row r="11389">
          <cell r="C11389" t="str">
            <v>張文魁</v>
          </cell>
          <cell r="J11389">
            <v>46121</v>
          </cell>
          <cell r="K11389">
            <v>8</v>
          </cell>
        </row>
        <row r="11390">
          <cell r="C11390" t="str">
            <v>張文魁</v>
          </cell>
          <cell r="F11390" t="str">
            <v>K250501R2</v>
          </cell>
          <cell r="J11390">
            <v>46122</v>
          </cell>
          <cell r="K11390">
            <v>8</v>
          </cell>
        </row>
        <row r="11391">
          <cell r="C11391" t="str">
            <v>張文魁</v>
          </cell>
          <cell r="F11391" t="str">
            <v>K250501R2</v>
          </cell>
          <cell r="J11391">
            <v>46125</v>
          </cell>
          <cell r="K11391">
            <v>8</v>
          </cell>
        </row>
        <row r="11392">
          <cell r="C11392" t="str">
            <v>張文魁</v>
          </cell>
          <cell r="F11392" t="str">
            <v>K250501R2</v>
          </cell>
          <cell r="J11392">
            <v>46126</v>
          </cell>
          <cell r="K11392">
            <v>8</v>
          </cell>
        </row>
        <row r="11393">
          <cell r="C11393" t="str">
            <v>張文魁</v>
          </cell>
          <cell r="F11393" t="str">
            <v>K250501R2</v>
          </cell>
          <cell r="J11393">
            <v>46127</v>
          </cell>
          <cell r="K11393">
            <v>8</v>
          </cell>
        </row>
        <row r="11394">
          <cell r="C11394" t="str">
            <v>張文魁</v>
          </cell>
          <cell r="F11394" t="str">
            <v>K250501R2</v>
          </cell>
          <cell r="J11394">
            <v>46128</v>
          </cell>
          <cell r="K11394">
            <v>8</v>
          </cell>
        </row>
        <row r="11395">
          <cell r="C11395" t="str">
            <v>張文魁</v>
          </cell>
          <cell r="F11395" t="str">
            <v>K250501R2</v>
          </cell>
          <cell r="J11395">
            <v>46129</v>
          </cell>
          <cell r="K11395">
            <v>8</v>
          </cell>
        </row>
        <row r="11396">
          <cell r="C11396" t="str">
            <v>張文魁</v>
          </cell>
          <cell r="F11396" t="str">
            <v>K250501R2</v>
          </cell>
          <cell r="J11396">
            <v>46132</v>
          </cell>
          <cell r="K11396">
            <v>8</v>
          </cell>
        </row>
        <row r="11397">
          <cell r="C11397" t="str">
            <v>張文魁</v>
          </cell>
          <cell r="F11397" t="str">
            <v>K250501R2</v>
          </cell>
          <cell r="J11397">
            <v>46133</v>
          </cell>
          <cell r="K11397">
            <v>8</v>
          </cell>
        </row>
        <row r="11398">
          <cell r="C11398" t="str">
            <v>張文魁</v>
          </cell>
          <cell r="F11398" t="str">
            <v>K250501R2</v>
          </cell>
          <cell r="J11398">
            <v>46134</v>
          </cell>
          <cell r="K11398">
            <v>8</v>
          </cell>
        </row>
        <row r="11399">
          <cell r="C11399" t="str">
            <v>張文魁</v>
          </cell>
          <cell r="F11399" t="str">
            <v>K250501R2</v>
          </cell>
          <cell r="J11399">
            <v>46135</v>
          </cell>
          <cell r="K11399">
            <v>8</v>
          </cell>
        </row>
        <row r="11400">
          <cell r="C11400" t="str">
            <v>張文魁</v>
          </cell>
          <cell r="F11400" t="str">
            <v>K250501R2</v>
          </cell>
          <cell r="J11400">
            <v>46136</v>
          </cell>
          <cell r="K11400">
            <v>8</v>
          </cell>
        </row>
        <row r="11401">
          <cell r="C11401" t="str">
            <v>張文魁</v>
          </cell>
          <cell r="F11401" t="str">
            <v>K250501R2</v>
          </cell>
          <cell r="J11401">
            <v>46139</v>
          </cell>
          <cell r="K11401">
            <v>8</v>
          </cell>
        </row>
        <row r="11402">
          <cell r="C11402" t="str">
            <v>張文魁</v>
          </cell>
          <cell r="F11402" t="str">
            <v>K250501R2</v>
          </cell>
          <cell r="J11402">
            <v>46140</v>
          </cell>
          <cell r="K11402">
            <v>8</v>
          </cell>
        </row>
        <row r="11403">
          <cell r="C11403" t="str">
            <v>張文魁</v>
          </cell>
          <cell r="F11403" t="str">
            <v>K250501R2</v>
          </cell>
          <cell r="J11403">
            <v>46141</v>
          </cell>
          <cell r="K11403">
            <v>8</v>
          </cell>
        </row>
        <row r="11404">
          <cell r="C11404" t="str">
            <v>張文魁</v>
          </cell>
          <cell r="F11404" t="str">
            <v>D260102R1</v>
          </cell>
          <cell r="J11404">
            <v>46142</v>
          </cell>
          <cell r="K11404">
            <v>4</v>
          </cell>
        </row>
        <row r="11405">
          <cell r="C11405" t="str">
            <v>張文魁</v>
          </cell>
          <cell r="J11405">
            <v>46142</v>
          </cell>
          <cell r="K11405">
            <v>4</v>
          </cell>
        </row>
        <row r="11406">
          <cell r="C11406" t="str">
            <v>張文魁</v>
          </cell>
          <cell r="F11406" t="str">
            <v>D260102R1</v>
          </cell>
          <cell r="J11406">
            <v>46146</v>
          </cell>
          <cell r="K11406">
            <v>8</v>
          </cell>
        </row>
        <row r="11407">
          <cell r="C11407" t="str">
            <v>張文魁</v>
          </cell>
          <cell r="F11407" t="str">
            <v>K250501R2</v>
          </cell>
          <cell r="J11407">
            <v>46147</v>
          </cell>
          <cell r="K11407">
            <v>8</v>
          </cell>
        </row>
        <row r="11408">
          <cell r="C11408" t="str">
            <v>張文魁</v>
          </cell>
          <cell r="F11408" t="str">
            <v>K250501R2</v>
          </cell>
          <cell r="J11408">
            <v>46148</v>
          </cell>
          <cell r="K11408">
            <v>8</v>
          </cell>
        </row>
        <row r="11409">
          <cell r="C11409" t="str">
            <v>張文魁</v>
          </cell>
          <cell r="F11409" t="str">
            <v>K250501R2</v>
          </cell>
          <cell r="J11409">
            <v>46149</v>
          </cell>
          <cell r="K11409">
            <v>8</v>
          </cell>
        </row>
        <row r="11410">
          <cell r="C11410" t="str">
            <v>張文魁</v>
          </cell>
          <cell r="F11410" t="str">
            <v>K250501R2</v>
          </cell>
          <cell r="J11410">
            <v>46150</v>
          </cell>
          <cell r="K11410">
            <v>8</v>
          </cell>
        </row>
        <row r="11411">
          <cell r="C11411" t="str">
            <v>張文魁</v>
          </cell>
          <cell r="F11411" t="str">
            <v>K250501R2</v>
          </cell>
          <cell r="J11411">
            <v>46153</v>
          </cell>
          <cell r="K11411">
            <v>8</v>
          </cell>
        </row>
        <row r="11412">
          <cell r="C11412" t="str">
            <v>張文魁</v>
          </cell>
          <cell r="F11412" t="str">
            <v>K250501R2</v>
          </cell>
          <cell r="J11412">
            <v>46154</v>
          </cell>
          <cell r="K11412">
            <v>8</v>
          </cell>
        </row>
        <row r="11413">
          <cell r="C11413" t="str">
            <v>張文魁</v>
          </cell>
          <cell r="F11413" t="str">
            <v>K250501R2</v>
          </cell>
          <cell r="J11413">
            <v>46155</v>
          </cell>
          <cell r="K11413">
            <v>8</v>
          </cell>
        </row>
        <row r="11414">
          <cell r="C11414" t="str">
            <v>張文魁</v>
          </cell>
          <cell r="F11414" t="str">
            <v>D260102R1</v>
          </cell>
          <cell r="J11414">
            <v>46156</v>
          </cell>
          <cell r="K11414">
            <v>8</v>
          </cell>
        </row>
        <row r="11415">
          <cell r="C11415" t="str">
            <v>張文魁</v>
          </cell>
          <cell r="F11415" t="str">
            <v>K250501R2</v>
          </cell>
          <cell r="J11415">
            <v>46157</v>
          </cell>
          <cell r="K11415">
            <v>8</v>
          </cell>
        </row>
        <row r="11416">
          <cell r="C11416" t="str">
            <v>張文魁</v>
          </cell>
          <cell r="F11416" t="str">
            <v>K250501R2</v>
          </cell>
          <cell r="J11416">
            <v>46160</v>
          </cell>
          <cell r="K11416">
            <v>8</v>
          </cell>
        </row>
        <row r="11417">
          <cell r="C11417" t="str">
            <v>張文魁</v>
          </cell>
          <cell r="F11417" t="str">
            <v>K250501R2</v>
          </cell>
          <cell r="J11417">
            <v>46161</v>
          </cell>
          <cell r="K11417">
            <v>8</v>
          </cell>
        </row>
        <row r="11418">
          <cell r="C11418" t="str">
            <v>吳政鴻</v>
          </cell>
          <cell r="J11418">
            <v>45470</v>
          </cell>
          <cell r="K11418">
            <v>8</v>
          </cell>
        </row>
        <row r="11419">
          <cell r="C11419" t="str">
            <v>吳政鴻</v>
          </cell>
          <cell r="F11419" t="str">
            <v>K231101R1</v>
          </cell>
          <cell r="J11419">
            <v>45471</v>
          </cell>
          <cell r="K11419">
            <v>8</v>
          </cell>
        </row>
        <row r="11420">
          <cell r="C11420" t="str">
            <v>吳政鴻</v>
          </cell>
          <cell r="F11420" t="str">
            <v>K231101R1</v>
          </cell>
          <cell r="J11420">
            <v>45474</v>
          </cell>
          <cell r="K11420">
            <v>9.5</v>
          </cell>
        </row>
        <row r="11421">
          <cell r="C11421" t="str">
            <v>吳政鴻</v>
          </cell>
          <cell r="F11421" t="str">
            <v>K231101R1</v>
          </cell>
          <cell r="J11421">
            <v>45475</v>
          </cell>
          <cell r="K11421">
            <v>8.5</v>
          </cell>
        </row>
        <row r="11422">
          <cell r="C11422" t="str">
            <v>吳政鴻</v>
          </cell>
          <cell r="F11422" t="str">
            <v>K231101R1</v>
          </cell>
          <cell r="J11422">
            <v>45476</v>
          </cell>
          <cell r="K11422">
            <v>9.5</v>
          </cell>
        </row>
        <row r="11423">
          <cell r="C11423" t="str">
            <v>吳政鴻</v>
          </cell>
          <cell r="F11423" t="str">
            <v>K231101R1</v>
          </cell>
          <cell r="J11423">
            <v>45477</v>
          </cell>
          <cell r="K11423">
            <v>9.5</v>
          </cell>
        </row>
        <row r="11424">
          <cell r="C11424" t="str">
            <v>吳政鴻</v>
          </cell>
          <cell r="F11424" t="str">
            <v>M240201R1</v>
          </cell>
          <cell r="J11424">
            <v>45478</v>
          </cell>
          <cell r="K11424">
            <v>4</v>
          </cell>
        </row>
        <row r="11425">
          <cell r="C11425" t="str">
            <v>吳政鴻</v>
          </cell>
          <cell r="F11425" t="str">
            <v>K231101R1</v>
          </cell>
          <cell r="J11425">
            <v>45478</v>
          </cell>
          <cell r="K11425">
            <v>5.5</v>
          </cell>
        </row>
        <row r="11426">
          <cell r="C11426" t="str">
            <v>吳政鴻</v>
          </cell>
          <cell r="F11426" t="str">
            <v>K231101R1</v>
          </cell>
          <cell r="J11426">
            <v>45481</v>
          </cell>
          <cell r="K11426">
            <v>9.5</v>
          </cell>
        </row>
        <row r="11427">
          <cell r="C11427" t="str">
            <v>吳政鴻</v>
          </cell>
          <cell r="F11427" t="str">
            <v>K231101R1</v>
          </cell>
          <cell r="J11427">
            <v>45482</v>
          </cell>
          <cell r="K11427">
            <v>8.5</v>
          </cell>
        </row>
        <row r="11428">
          <cell r="C11428" t="str">
            <v>吳政鴻</v>
          </cell>
          <cell r="F11428" t="str">
            <v>K231101R1</v>
          </cell>
          <cell r="J11428">
            <v>45483</v>
          </cell>
          <cell r="K11428">
            <v>9.5</v>
          </cell>
        </row>
        <row r="11429">
          <cell r="C11429" t="str">
            <v>吳政鴻</v>
          </cell>
          <cell r="F11429" t="str">
            <v>K231101R1</v>
          </cell>
          <cell r="J11429">
            <v>45484</v>
          </cell>
          <cell r="K11429">
            <v>9.5</v>
          </cell>
        </row>
        <row r="11430">
          <cell r="C11430" t="str">
            <v>吳政鴻</v>
          </cell>
          <cell r="F11430" t="str">
            <v>K231101R1</v>
          </cell>
          <cell r="J11430">
            <v>45485</v>
          </cell>
          <cell r="K11430">
            <v>9</v>
          </cell>
        </row>
        <row r="11431">
          <cell r="C11431" t="str">
            <v>吳政鴻</v>
          </cell>
          <cell r="F11431" t="str">
            <v>M240201R1</v>
          </cell>
          <cell r="J11431">
            <v>45488</v>
          </cell>
          <cell r="K11431">
            <v>9.5</v>
          </cell>
        </row>
        <row r="11432">
          <cell r="C11432" t="str">
            <v>吳政鴻</v>
          </cell>
          <cell r="F11432" t="str">
            <v>M240201R1</v>
          </cell>
          <cell r="J11432">
            <v>45489</v>
          </cell>
          <cell r="K11432">
            <v>9.5</v>
          </cell>
        </row>
        <row r="11433">
          <cell r="C11433" t="str">
            <v>吳政鴻</v>
          </cell>
          <cell r="F11433" t="str">
            <v>K231101R1</v>
          </cell>
          <cell r="J11433">
            <v>45490</v>
          </cell>
          <cell r="K11433">
            <v>9.5</v>
          </cell>
        </row>
        <row r="11434">
          <cell r="C11434" t="str">
            <v>吳政鴻</v>
          </cell>
          <cell r="F11434" t="str">
            <v>K231101R1</v>
          </cell>
          <cell r="J11434">
            <v>45491</v>
          </cell>
          <cell r="K11434">
            <v>8.5</v>
          </cell>
        </row>
        <row r="11435">
          <cell r="C11435" t="str">
            <v>吳政鴻</v>
          </cell>
          <cell r="F11435" t="str">
            <v>M240201R1</v>
          </cell>
          <cell r="J11435">
            <v>45492</v>
          </cell>
          <cell r="K11435">
            <v>7</v>
          </cell>
        </row>
        <row r="11436">
          <cell r="C11436" t="str">
            <v>吳政鴻</v>
          </cell>
          <cell r="J11436">
            <v>45492</v>
          </cell>
          <cell r="K11436">
            <v>1</v>
          </cell>
        </row>
        <row r="11437">
          <cell r="C11437" t="str">
            <v>吳政鴻</v>
          </cell>
          <cell r="F11437" t="str">
            <v>K231101R1</v>
          </cell>
          <cell r="J11437">
            <v>45495</v>
          </cell>
          <cell r="K11437">
            <v>9.5</v>
          </cell>
        </row>
        <row r="11438">
          <cell r="C11438" t="str">
            <v>吳政鴻</v>
          </cell>
          <cell r="F11438" t="str">
            <v>K231101R1</v>
          </cell>
          <cell r="J11438">
            <v>45496</v>
          </cell>
          <cell r="K11438">
            <v>8</v>
          </cell>
        </row>
        <row r="11439">
          <cell r="C11439" t="str">
            <v>吳政鴻</v>
          </cell>
          <cell r="J11439">
            <v>45497</v>
          </cell>
          <cell r="K11439">
            <v>8</v>
          </cell>
        </row>
        <row r="11440">
          <cell r="C11440" t="str">
            <v>吳政鴻</v>
          </cell>
          <cell r="J11440">
            <v>45498</v>
          </cell>
          <cell r="K11440">
            <v>8</v>
          </cell>
        </row>
        <row r="11441">
          <cell r="C11441" t="str">
            <v>吳政鴻</v>
          </cell>
          <cell r="F11441" t="str">
            <v>K231101R1</v>
          </cell>
          <cell r="J11441">
            <v>45499</v>
          </cell>
          <cell r="K11441">
            <v>9.5</v>
          </cell>
        </row>
        <row r="11442">
          <cell r="C11442" t="str">
            <v>吳政鴻</v>
          </cell>
          <cell r="F11442" t="str">
            <v>K231101R1</v>
          </cell>
          <cell r="J11442">
            <v>45502</v>
          </cell>
          <cell r="K11442">
            <v>9.5</v>
          </cell>
        </row>
        <row r="11443">
          <cell r="C11443" t="str">
            <v>吳政鴻</v>
          </cell>
          <cell r="F11443" t="str">
            <v>K231101R1</v>
          </cell>
          <cell r="J11443">
            <v>45503</v>
          </cell>
          <cell r="K11443">
            <v>8.5</v>
          </cell>
        </row>
        <row r="11444">
          <cell r="C11444" t="str">
            <v>吳政鴻</v>
          </cell>
          <cell r="F11444" t="str">
            <v>M240201R1</v>
          </cell>
          <cell r="J11444">
            <v>45504</v>
          </cell>
          <cell r="K11444">
            <v>1.5</v>
          </cell>
        </row>
        <row r="11445">
          <cell r="C11445" t="str">
            <v>吳政鴻</v>
          </cell>
          <cell r="F11445" t="str">
            <v>K231101R1</v>
          </cell>
          <cell r="J11445">
            <v>45504</v>
          </cell>
          <cell r="K11445">
            <v>7</v>
          </cell>
        </row>
        <row r="11446">
          <cell r="C11446" t="str">
            <v>吳政鴻</v>
          </cell>
          <cell r="F11446" t="str">
            <v>M240201R1</v>
          </cell>
          <cell r="J11446">
            <v>45505</v>
          </cell>
          <cell r="K11446">
            <v>9.5</v>
          </cell>
        </row>
        <row r="11447">
          <cell r="C11447" t="str">
            <v>吳政鴻</v>
          </cell>
          <cell r="F11447" t="str">
            <v>M240201R1</v>
          </cell>
          <cell r="J11447">
            <v>45506</v>
          </cell>
          <cell r="K11447">
            <v>9</v>
          </cell>
        </row>
        <row r="11448">
          <cell r="C11448" t="str">
            <v>吳政鴻</v>
          </cell>
          <cell r="F11448" t="str">
            <v>M240201R1</v>
          </cell>
          <cell r="J11448">
            <v>45509</v>
          </cell>
          <cell r="K11448">
            <v>9.5</v>
          </cell>
        </row>
        <row r="11449">
          <cell r="C11449" t="str">
            <v>吳政鴻</v>
          </cell>
          <cell r="F11449" t="str">
            <v>M240201R1</v>
          </cell>
          <cell r="J11449">
            <v>45510</v>
          </cell>
          <cell r="K11449">
            <v>9.5</v>
          </cell>
        </row>
        <row r="11450">
          <cell r="C11450" t="str">
            <v>吳政鴻</v>
          </cell>
          <cell r="F11450" t="str">
            <v>K231101R1</v>
          </cell>
          <cell r="J11450">
            <v>45511</v>
          </cell>
          <cell r="K11450">
            <v>8.5</v>
          </cell>
        </row>
        <row r="11451">
          <cell r="C11451" t="str">
            <v>吳政鴻</v>
          </cell>
          <cell r="F11451" t="str">
            <v>K231101R1</v>
          </cell>
          <cell r="J11451">
            <v>45512</v>
          </cell>
          <cell r="K11451">
            <v>8</v>
          </cell>
        </row>
        <row r="11452">
          <cell r="C11452" t="str">
            <v>吳政鴻</v>
          </cell>
          <cell r="F11452" t="str">
            <v>K231101R1</v>
          </cell>
          <cell r="J11452">
            <v>45513</v>
          </cell>
          <cell r="K11452">
            <v>9.5</v>
          </cell>
        </row>
        <row r="11453">
          <cell r="C11453" t="str">
            <v>吳政鴻</v>
          </cell>
          <cell r="F11453" t="str">
            <v>K231101R1</v>
          </cell>
          <cell r="J11453">
            <v>45516</v>
          </cell>
          <cell r="K11453">
            <v>8.5</v>
          </cell>
        </row>
        <row r="11454">
          <cell r="C11454" t="str">
            <v>吳政鴻</v>
          </cell>
          <cell r="F11454" t="str">
            <v>K231101R1</v>
          </cell>
          <cell r="J11454">
            <v>45517</v>
          </cell>
          <cell r="K11454">
            <v>8.5</v>
          </cell>
        </row>
        <row r="11455">
          <cell r="C11455" t="str">
            <v>吳政鴻</v>
          </cell>
          <cell r="F11455" t="str">
            <v>K231101R1</v>
          </cell>
          <cell r="J11455">
            <v>45518</v>
          </cell>
          <cell r="K11455">
            <v>8</v>
          </cell>
        </row>
        <row r="11456">
          <cell r="C11456" t="str">
            <v>吳政鴻</v>
          </cell>
          <cell r="J11456">
            <v>45519</v>
          </cell>
          <cell r="K11456">
            <v>8</v>
          </cell>
        </row>
        <row r="11457">
          <cell r="C11457" t="str">
            <v>吳政鴻</v>
          </cell>
          <cell r="J11457">
            <v>45520</v>
          </cell>
          <cell r="K11457">
            <v>8</v>
          </cell>
        </row>
        <row r="11458">
          <cell r="C11458" t="str">
            <v>吳政鴻</v>
          </cell>
          <cell r="F11458" t="str">
            <v>K231101R1</v>
          </cell>
          <cell r="J11458">
            <v>45523</v>
          </cell>
          <cell r="K11458">
            <v>9.5</v>
          </cell>
        </row>
        <row r="11459">
          <cell r="C11459" t="str">
            <v>吳政鴻</v>
          </cell>
          <cell r="F11459" t="str">
            <v>M240201R1</v>
          </cell>
          <cell r="J11459">
            <v>45524</v>
          </cell>
          <cell r="K11459">
            <v>9.5</v>
          </cell>
        </row>
        <row r="11460">
          <cell r="C11460" t="str">
            <v>吳政鴻</v>
          </cell>
          <cell r="F11460" t="str">
            <v>M240201R1</v>
          </cell>
          <cell r="J11460">
            <v>45525</v>
          </cell>
          <cell r="K11460">
            <v>8.5</v>
          </cell>
        </row>
        <row r="11461">
          <cell r="C11461" t="str">
            <v>吳政鴻</v>
          </cell>
          <cell r="F11461" t="str">
            <v>M240201R1</v>
          </cell>
          <cell r="J11461">
            <v>45526</v>
          </cell>
          <cell r="K11461">
            <v>8.5</v>
          </cell>
        </row>
        <row r="11462">
          <cell r="C11462" t="str">
            <v>吳政鴻</v>
          </cell>
          <cell r="J11462">
            <v>45526</v>
          </cell>
          <cell r="K11462">
            <v>1</v>
          </cell>
        </row>
        <row r="11463">
          <cell r="C11463" t="str">
            <v>吳政鴻</v>
          </cell>
          <cell r="F11463" t="str">
            <v>M240201R1</v>
          </cell>
          <cell r="J11463">
            <v>45527</v>
          </cell>
          <cell r="K11463">
            <v>8</v>
          </cell>
        </row>
        <row r="11464">
          <cell r="C11464" t="str">
            <v>吳政鴻</v>
          </cell>
          <cell r="F11464" t="str">
            <v>M240201R1</v>
          </cell>
          <cell r="J11464">
            <v>45530</v>
          </cell>
          <cell r="K11464">
            <v>9.5</v>
          </cell>
        </row>
        <row r="11465">
          <cell r="C11465" t="str">
            <v>吳政鴻</v>
          </cell>
          <cell r="F11465" t="str">
            <v>M240201R1</v>
          </cell>
          <cell r="J11465">
            <v>45531</v>
          </cell>
          <cell r="K11465">
            <v>8.5</v>
          </cell>
        </row>
        <row r="11466">
          <cell r="C11466" t="str">
            <v>吳政鴻</v>
          </cell>
          <cell r="F11466" t="str">
            <v>M240201R1</v>
          </cell>
          <cell r="J11466">
            <v>45532</v>
          </cell>
          <cell r="K11466">
            <v>7</v>
          </cell>
        </row>
        <row r="11467">
          <cell r="C11467" t="str">
            <v>吳政鴻</v>
          </cell>
          <cell r="J11467">
            <v>45532</v>
          </cell>
          <cell r="K11467">
            <v>1.5</v>
          </cell>
        </row>
        <row r="11468">
          <cell r="C11468" t="str">
            <v>吳政鴻</v>
          </cell>
          <cell r="J11468">
            <v>45533</v>
          </cell>
          <cell r="K11468">
            <v>1</v>
          </cell>
        </row>
        <row r="11469">
          <cell r="C11469" t="str">
            <v>吳政鴻</v>
          </cell>
          <cell r="F11469" t="str">
            <v>A150100C1</v>
          </cell>
          <cell r="J11469">
            <v>45533</v>
          </cell>
          <cell r="K11469">
            <v>8.5</v>
          </cell>
        </row>
        <row r="11470">
          <cell r="C11470" t="str">
            <v>吳政鴻</v>
          </cell>
          <cell r="F11470" t="str">
            <v>A150100C1</v>
          </cell>
          <cell r="J11470">
            <v>45534</v>
          </cell>
          <cell r="K11470">
            <v>8.5</v>
          </cell>
        </row>
        <row r="11471">
          <cell r="C11471" t="str">
            <v>吳政鴻</v>
          </cell>
          <cell r="F11471" t="str">
            <v>M240201R1</v>
          </cell>
          <cell r="J11471">
            <v>45537</v>
          </cell>
          <cell r="K11471">
            <v>9.5</v>
          </cell>
        </row>
        <row r="11472">
          <cell r="C11472" t="str">
            <v>吳政鴻</v>
          </cell>
          <cell r="F11472" t="str">
            <v>A150100C1</v>
          </cell>
          <cell r="J11472">
            <v>45538</v>
          </cell>
          <cell r="K11472">
            <v>8.5</v>
          </cell>
        </row>
        <row r="11473">
          <cell r="C11473" t="str">
            <v>吳政鴻</v>
          </cell>
          <cell r="F11473" t="str">
            <v>M240201R1</v>
          </cell>
          <cell r="J11473">
            <v>45539</v>
          </cell>
          <cell r="K11473">
            <v>8</v>
          </cell>
        </row>
        <row r="11474">
          <cell r="C11474" t="str">
            <v>吳政鴻</v>
          </cell>
          <cell r="F11474" t="str">
            <v>M240201R1</v>
          </cell>
          <cell r="J11474">
            <v>45540</v>
          </cell>
          <cell r="K11474">
            <v>9.5</v>
          </cell>
        </row>
        <row r="11475">
          <cell r="C11475" t="str">
            <v>吳政鴻</v>
          </cell>
          <cell r="F11475" t="str">
            <v>M240201R1</v>
          </cell>
          <cell r="J11475">
            <v>45541</v>
          </cell>
          <cell r="K11475">
            <v>8.5</v>
          </cell>
        </row>
        <row r="11476">
          <cell r="C11476" t="str">
            <v>吳政鴻</v>
          </cell>
          <cell r="F11476" t="str">
            <v>M240201R1</v>
          </cell>
          <cell r="J11476">
            <v>45544</v>
          </cell>
          <cell r="K11476">
            <v>9.5</v>
          </cell>
        </row>
        <row r="11477">
          <cell r="C11477" t="str">
            <v>吳政鴻</v>
          </cell>
          <cell r="F11477" t="str">
            <v>K231101R1</v>
          </cell>
          <cell r="J11477">
            <v>45545</v>
          </cell>
          <cell r="K11477">
            <v>9.5</v>
          </cell>
        </row>
        <row r="11478">
          <cell r="C11478" t="str">
            <v>吳政鴻</v>
          </cell>
          <cell r="F11478" t="str">
            <v>K231101R1</v>
          </cell>
          <cell r="J11478">
            <v>45546</v>
          </cell>
          <cell r="K11478">
            <v>8</v>
          </cell>
        </row>
        <row r="11479">
          <cell r="C11479" t="str">
            <v>吳政鴻</v>
          </cell>
          <cell r="F11479" t="str">
            <v>K231101R1</v>
          </cell>
          <cell r="J11479">
            <v>45547</v>
          </cell>
          <cell r="K11479">
            <v>9.5</v>
          </cell>
        </row>
        <row r="11480">
          <cell r="C11480" t="str">
            <v>吳政鴻</v>
          </cell>
          <cell r="F11480" t="str">
            <v>K231101R1</v>
          </cell>
          <cell r="J11480">
            <v>45548</v>
          </cell>
          <cell r="K11480">
            <v>9.5</v>
          </cell>
        </row>
        <row r="11481">
          <cell r="C11481" t="str">
            <v>吳政鴻</v>
          </cell>
          <cell r="F11481" t="str">
            <v>M240201R1</v>
          </cell>
          <cell r="J11481">
            <v>45551</v>
          </cell>
          <cell r="K11481">
            <v>3</v>
          </cell>
        </row>
        <row r="11482">
          <cell r="C11482" t="str">
            <v>吳政鴻</v>
          </cell>
          <cell r="F11482" t="str">
            <v>K231101R1</v>
          </cell>
          <cell r="J11482">
            <v>45551</v>
          </cell>
          <cell r="K11482">
            <v>2.5</v>
          </cell>
        </row>
        <row r="11483">
          <cell r="C11483" t="str">
            <v>吳政鴻</v>
          </cell>
          <cell r="J11483">
            <v>45551</v>
          </cell>
          <cell r="K11483">
            <v>4</v>
          </cell>
        </row>
        <row r="11484">
          <cell r="C11484" t="str">
            <v>吳政鴻</v>
          </cell>
          <cell r="F11484" t="str">
            <v>K231101R1</v>
          </cell>
          <cell r="J11484">
            <v>45553</v>
          </cell>
          <cell r="K11484">
            <v>9.5</v>
          </cell>
        </row>
        <row r="11485">
          <cell r="C11485" t="str">
            <v>吳政鴻</v>
          </cell>
          <cell r="F11485" t="str">
            <v>K231101R1</v>
          </cell>
          <cell r="J11485">
            <v>45554</v>
          </cell>
          <cell r="K11485">
            <v>9.5</v>
          </cell>
        </row>
        <row r="11486">
          <cell r="C11486" t="str">
            <v>吳政鴻</v>
          </cell>
          <cell r="F11486" t="str">
            <v>K231101R1</v>
          </cell>
          <cell r="J11486">
            <v>45555</v>
          </cell>
          <cell r="K11486">
            <v>9</v>
          </cell>
        </row>
        <row r="11487">
          <cell r="C11487" t="str">
            <v>吳政鴻</v>
          </cell>
          <cell r="F11487" t="str">
            <v>K231101R1</v>
          </cell>
          <cell r="J11487">
            <v>45558</v>
          </cell>
          <cell r="K11487">
            <v>9.5</v>
          </cell>
        </row>
        <row r="11488">
          <cell r="C11488" t="str">
            <v>吳政鴻</v>
          </cell>
          <cell r="F11488" t="str">
            <v>K231101R1</v>
          </cell>
          <cell r="J11488">
            <v>45559</v>
          </cell>
          <cell r="K11488">
            <v>5</v>
          </cell>
        </row>
        <row r="11489">
          <cell r="C11489" t="str">
            <v>吳政鴻</v>
          </cell>
          <cell r="F11489" t="str">
            <v>M240201R1</v>
          </cell>
          <cell r="J11489">
            <v>45559</v>
          </cell>
          <cell r="K11489">
            <v>4</v>
          </cell>
        </row>
        <row r="11490">
          <cell r="C11490" t="str">
            <v>吳政鴻</v>
          </cell>
          <cell r="J11490">
            <v>45560</v>
          </cell>
          <cell r="K11490">
            <v>1</v>
          </cell>
        </row>
        <row r="11491">
          <cell r="C11491" t="str">
            <v>吳政鴻</v>
          </cell>
          <cell r="F11491" t="str">
            <v>M240201R1</v>
          </cell>
          <cell r="J11491">
            <v>45560</v>
          </cell>
          <cell r="K11491">
            <v>7</v>
          </cell>
        </row>
        <row r="11492">
          <cell r="C11492" t="str">
            <v>吳政鴻</v>
          </cell>
          <cell r="F11492" t="str">
            <v>K231101R1</v>
          </cell>
          <cell r="J11492">
            <v>45561</v>
          </cell>
          <cell r="K11492">
            <v>8.5</v>
          </cell>
        </row>
        <row r="11493">
          <cell r="C11493" t="str">
            <v>吳政鴻</v>
          </cell>
          <cell r="F11493" t="str">
            <v>K231101R1</v>
          </cell>
          <cell r="J11493">
            <v>45562</v>
          </cell>
          <cell r="K11493">
            <v>7</v>
          </cell>
        </row>
        <row r="11494">
          <cell r="C11494" t="str">
            <v>吳政鴻</v>
          </cell>
          <cell r="J11494">
            <v>45562</v>
          </cell>
          <cell r="K11494">
            <v>1</v>
          </cell>
        </row>
        <row r="11495">
          <cell r="C11495" t="str">
            <v>吳政鴻</v>
          </cell>
          <cell r="F11495" t="str">
            <v>K231101R1</v>
          </cell>
          <cell r="J11495">
            <v>45565</v>
          </cell>
          <cell r="K11495">
            <v>8.5</v>
          </cell>
        </row>
        <row r="11496">
          <cell r="C11496" t="str">
            <v>吳政鴻</v>
          </cell>
          <cell r="F11496" t="str">
            <v>K231101R1</v>
          </cell>
          <cell r="J11496">
            <v>45566</v>
          </cell>
          <cell r="K11496">
            <v>8</v>
          </cell>
        </row>
        <row r="11497">
          <cell r="C11497" t="str">
            <v>吳政鴻</v>
          </cell>
          <cell r="J11497">
            <v>45567</v>
          </cell>
          <cell r="K11497">
            <v>8</v>
          </cell>
        </row>
        <row r="11498">
          <cell r="C11498" t="str">
            <v>吳政鴻</v>
          </cell>
          <cell r="J11498">
            <v>45568</v>
          </cell>
          <cell r="K11498">
            <v>8</v>
          </cell>
        </row>
        <row r="11499">
          <cell r="C11499" t="str">
            <v>吳政鴻</v>
          </cell>
          <cell r="F11499" t="str">
            <v>M240201R1</v>
          </cell>
          <cell r="J11499">
            <v>45569</v>
          </cell>
          <cell r="K11499">
            <v>8.5</v>
          </cell>
        </row>
        <row r="11500">
          <cell r="C11500" t="str">
            <v>吳政鴻</v>
          </cell>
          <cell r="F11500" t="str">
            <v>M240201R1</v>
          </cell>
          <cell r="J11500">
            <v>45572</v>
          </cell>
          <cell r="K11500">
            <v>9.5</v>
          </cell>
        </row>
        <row r="11501">
          <cell r="C11501" t="str">
            <v>吳政鴻</v>
          </cell>
          <cell r="F11501" t="str">
            <v>M240201R1</v>
          </cell>
          <cell r="J11501">
            <v>45573</v>
          </cell>
          <cell r="K11501">
            <v>8.5</v>
          </cell>
        </row>
        <row r="11502">
          <cell r="C11502" t="str">
            <v>吳政鴻</v>
          </cell>
          <cell r="F11502" t="str">
            <v>K231101R1</v>
          </cell>
          <cell r="J11502">
            <v>45574</v>
          </cell>
          <cell r="K11502">
            <v>8.5</v>
          </cell>
        </row>
        <row r="11503">
          <cell r="C11503" t="str">
            <v>吳政鴻</v>
          </cell>
          <cell r="F11503" t="str">
            <v>K231101R1</v>
          </cell>
          <cell r="J11503">
            <v>45576</v>
          </cell>
          <cell r="K11503">
            <v>8</v>
          </cell>
        </row>
        <row r="11504">
          <cell r="C11504" t="str">
            <v>吳政鴻</v>
          </cell>
          <cell r="F11504" t="str">
            <v>M240201R1</v>
          </cell>
          <cell r="J11504">
            <v>45579</v>
          </cell>
          <cell r="K11504">
            <v>9.5</v>
          </cell>
        </row>
        <row r="11505">
          <cell r="C11505" t="str">
            <v>吳政鴻</v>
          </cell>
          <cell r="F11505" t="str">
            <v>K231101R1</v>
          </cell>
          <cell r="J11505">
            <v>45580</v>
          </cell>
          <cell r="K11505">
            <v>8.5</v>
          </cell>
        </row>
        <row r="11506">
          <cell r="C11506" t="str">
            <v>吳政鴻</v>
          </cell>
          <cell r="F11506" t="str">
            <v>K231101R1</v>
          </cell>
          <cell r="J11506">
            <v>45581</v>
          </cell>
          <cell r="K11506">
            <v>9.5</v>
          </cell>
        </row>
        <row r="11507">
          <cell r="C11507" t="str">
            <v>吳政鴻</v>
          </cell>
          <cell r="F11507" t="str">
            <v>K231101R1</v>
          </cell>
          <cell r="J11507">
            <v>45582</v>
          </cell>
          <cell r="K11507">
            <v>8.5</v>
          </cell>
        </row>
        <row r="11508">
          <cell r="C11508" t="str">
            <v>吳政鴻</v>
          </cell>
          <cell r="F11508" t="str">
            <v>M240201R1</v>
          </cell>
          <cell r="J11508">
            <v>45583</v>
          </cell>
          <cell r="K11508">
            <v>8</v>
          </cell>
        </row>
        <row r="11509">
          <cell r="C11509" t="str">
            <v>吳政鴻</v>
          </cell>
          <cell r="F11509" t="str">
            <v>M240201R1</v>
          </cell>
          <cell r="J11509">
            <v>45586</v>
          </cell>
          <cell r="K11509">
            <v>9.5</v>
          </cell>
        </row>
        <row r="11510">
          <cell r="C11510" t="str">
            <v>吳政鴻</v>
          </cell>
          <cell r="F11510" t="str">
            <v>M240201R1</v>
          </cell>
          <cell r="J11510">
            <v>45587</v>
          </cell>
          <cell r="K11510">
            <v>8.5</v>
          </cell>
        </row>
        <row r="11511">
          <cell r="C11511" t="str">
            <v>吳政鴻</v>
          </cell>
          <cell r="F11511" t="str">
            <v>M240201R1</v>
          </cell>
          <cell r="J11511">
            <v>45588</v>
          </cell>
          <cell r="K11511">
            <v>8.5</v>
          </cell>
        </row>
        <row r="11512">
          <cell r="C11512" t="str">
            <v>吳政鴻</v>
          </cell>
          <cell r="F11512" t="str">
            <v>M240201R1</v>
          </cell>
          <cell r="J11512">
            <v>45589</v>
          </cell>
          <cell r="K11512">
            <v>9</v>
          </cell>
        </row>
        <row r="11513">
          <cell r="C11513" t="str">
            <v>吳政鴻</v>
          </cell>
          <cell r="F11513" t="str">
            <v>K231101R1</v>
          </cell>
          <cell r="J11513">
            <v>45590</v>
          </cell>
          <cell r="K11513">
            <v>9.5</v>
          </cell>
        </row>
        <row r="11514">
          <cell r="C11514" t="str">
            <v>吳政鴻</v>
          </cell>
          <cell r="F11514" t="str">
            <v>K231101R1</v>
          </cell>
          <cell r="J11514">
            <v>45593</v>
          </cell>
          <cell r="K11514">
            <v>9.5</v>
          </cell>
        </row>
        <row r="11515">
          <cell r="C11515" t="str">
            <v>吳政鴻</v>
          </cell>
          <cell r="F11515" t="str">
            <v>K231101R1</v>
          </cell>
          <cell r="J11515">
            <v>45594</v>
          </cell>
          <cell r="K11515">
            <v>8</v>
          </cell>
        </row>
        <row r="11516">
          <cell r="C11516" t="str">
            <v>吳政鴻</v>
          </cell>
          <cell r="F11516" t="str">
            <v>K231101R1</v>
          </cell>
          <cell r="J11516">
            <v>45597</v>
          </cell>
          <cell r="K11516">
            <v>8.5</v>
          </cell>
        </row>
        <row r="11517">
          <cell r="C11517" t="str">
            <v>吳政鴻</v>
          </cell>
          <cell r="F11517" t="str">
            <v>K231101R1</v>
          </cell>
          <cell r="J11517">
            <v>45600</v>
          </cell>
          <cell r="K11517">
            <v>9.5</v>
          </cell>
        </row>
        <row r="11518">
          <cell r="C11518" t="str">
            <v>吳政鴻</v>
          </cell>
          <cell r="F11518" t="str">
            <v>K231101R1</v>
          </cell>
          <cell r="J11518">
            <v>45601</v>
          </cell>
          <cell r="K11518">
            <v>8.5</v>
          </cell>
        </row>
        <row r="11519">
          <cell r="C11519" t="str">
            <v>吳政鴻</v>
          </cell>
          <cell r="F11519" t="str">
            <v>K231101R1</v>
          </cell>
          <cell r="J11519">
            <v>45602</v>
          </cell>
          <cell r="K11519">
            <v>8.5</v>
          </cell>
        </row>
        <row r="11520">
          <cell r="C11520" t="str">
            <v>吳政鴻</v>
          </cell>
          <cell r="F11520" t="str">
            <v>K231101R1</v>
          </cell>
          <cell r="J11520">
            <v>45603</v>
          </cell>
          <cell r="K11520">
            <v>8.5</v>
          </cell>
        </row>
        <row r="11521">
          <cell r="C11521" t="str">
            <v>吳政鴻</v>
          </cell>
          <cell r="F11521" t="str">
            <v>K231101R1</v>
          </cell>
          <cell r="J11521">
            <v>45604</v>
          </cell>
          <cell r="K11521">
            <v>9</v>
          </cell>
        </row>
        <row r="11522">
          <cell r="C11522" t="str">
            <v>吳政鴻</v>
          </cell>
          <cell r="F11522" t="str">
            <v>K231101R1</v>
          </cell>
          <cell r="J11522">
            <v>45607</v>
          </cell>
          <cell r="K11522">
            <v>9.5</v>
          </cell>
        </row>
        <row r="11523">
          <cell r="C11523" t="str">
            <v>吳政鴻</v>
          </cell>
          <cell r="F11523" t="str">
            <v>K231101R1</v>
          </cell>
          <cell r="J11523">
            <v>45608</v>
          </cell>
          <cell r="K11523">
            <v>8.5</v>
          </cell>
        </row>
        <row r="11524">
          <cell r="C11524" t="str">
            <v>吳政鴻</v>
          </cell>
          <cell r="F11524" t="str">
            <v>K231101R1</v>
          </cell>
          <cell r="J11524">
            <v>45609</v>
          </cell>
          <cell r="K11524">
            <v>8.5</v>
          </cell>
        </row>
        <row r="11525">
          <cell r="C11525" t="str">
            <v>吳政鴻</v>
          </cell>
          <cell r="F11525" t="str">
            <v>K231101R1</v>
          </cell>
          <cell r="J11525">
            <v>45610</v>
          </cell>
          <cell r="K11525">
            <v>8</v>
          </cell>
        </row>
        <row r="11526">
          <cell r="C11526" t="str">
            <v>吳政鴻</v>
          </cell>
          <cell r="F11526" t="str">
            <v>K231101R1</v>
          </cell>
          <cell r="J11526">
            <v>45611</v>
          </cell>
          <cell r="K11526">
            <v>8</v>
          </cell>
        </row>
        <row r="11527">
          <cell r="C11527" t="str">
            <v>吳政鴻</v>
          </cell>
          <cell r="F11527" t="str">
            <v>K231101R1</v>
          </cell>
          <cell r="J11527">
            <v>45614</v>
          </cell>
          <cell r="K11527">
            <v>9.5</v>
          </cell>
        </row>
        <row r="11528">
          <cell r="C11528" t="str">
            <v>吳政鴻</v>
          </cell>
          <cell r="F11528" t="str">
            <v>K231101R1</v>
          </cell>
          <cell r="J11528">
            <v>45615</v>
          </cell>
          <cell r="K11528">
            <v>9.5</v>
          </cell>
        </row>
        <row r="11529">
          <cell r="C11529" t="str">
            <v>吳政鴻</v>
          </cell>
          <cell r="F11529" t="str">
            <v>K231101R1</v>
          </cell>
          <cell r="J11529">
            <v>45616</v>
          </cell>
          <cell r="K11529">
            <v>9.5</v>
          </cell>
        </row>
        <row r="11530">
          <cell r="C11530" t="str">
            <v>吳政鴻</v>
          </cell>
          <cell r="F11530" t="str">
            <v>K231101R1</v>
          </cell>
          <cell r="J11530">
            <v>45617</v>
          </cell>
          <cell r="K11530">
            <v>9</v>
          </cell>
        </row>
        <row r="11531">
          <cell r="C11531" t="str">
            <v>吳政鴻</v>
          </cell>
          <cell r="F11531" t="str">
            <v>M240201R1</v>
          </cell>
          <cell r="J11531">
            <v>45618</v>
          </cell>
          <cell r="K11531">
            <v>9</v>
          </cell>
        </row>
        <row r="11532">
          <cell r="C11532" t="str">
            <v>吳政鴻</v>
          </cell>
          <cell r="F11532" t="str">
            <v>M240201R1</v>
          </cell>
          <cell r="J11532">
            <v>45621</v>
          </cell>
          <cell r="K11532">
            <v>9.5</v>
          </cell>
        </row>
        <row r="11533">
          <cell r="C11533" t="str">
            <v>吳政鴻</v>
          </cell>
          <cell r="F11533" t="str">
            <v>M240201R1</v>
          </cell>
          <cell r="J11533">
            <v>45622</v>
          </cell>
          <cell r="K11533">
            <v>9</v>
          </cell>
        </row>
        <row r="11534">
          <cell r="C11534" t="str">
            <v>吳政鴻</v>
          </cell>
          <cell r="F11534" t="str">
            <v>K231101R1</v>
          </cell>
          <cell r="J11534">
            <v>45623</v>
          </cell>
          <cell r="K11534">
            <v>9</v>
          </cell>
        </row>
        <row r="11535">
          <cell r="C11535" t="str">
            <v>吳政鴻</v>
          </cell>
          <cell r="F11535" t="str">
            <v>K231101R1</v>
          </cell>
          <cell r="J11535">
            <v>45624</v>
          </cell>
          <cell r="K11535">
            <v>9.5</v>
          </cell>
        </row>
        <row r="11536">
          <cell r="C11536" t="str">
            <v>吳政鴻</v>
          </cell>
          <cell r="F11536" t="str">
            <v>K231101R1</v>
          </cell>
          <cell r="J11536">
            <v>45625</v>
          </cell>
          <cell r="K11536">
            <v>9.5</v>
          </cell>
        </row>
        <row r="11537">
          <cell r="C11537" t="str">
            <v>吳政鴻</v>
          </cell>
          <cell r="F11537" t="str">
            <v>K231101R1</v>
          </cell>
          <cell r="J11537">
            <v>45628</v>
          </cell>
          <cell r="K11537">
            <v>9.5</v>
          </cell>
        </row>
        <row r="11538">
          <cell r="C11538" t="str">
            <v>吳政鴻</v>
          </cell>
          <cell r="F11538" t="str">
            <v>K231101R1</v>
          </cell>
          <cell r="J11538">
            <v>45629</v>
          </cell>
          <cell r="K11538">
            <v>6</v>
          </cell>
        </row>
        <row r="11539">
          <cell r="C11539" t="str">
            <v>吳政鴻</v>
          </cell>
          <cell r="J11539">
            <v>45629</v>
          </cell>
          <cell r="K11539">
            <v>2</v>
          </cell>
        </row>
        <row r="11540">
          <cell r="C11540" t="str">
            <v>吳政鴻</v>
          </cell>
          <cell r="F11540" t="str">
            <v>K231101R1</v>
          </cell>
          <cell r="J11540">
            <v>45630</v>
          </cell>
          <cell r="K11540">
            <v>9.5</v>
          </cell>
        </row>
        <row r="11541">
          <cell r="C11541" t="str">
            <v>吳政鴻</v>
          </cell>
          <cell r="F11541" t="str">
            <v>K231101R1</v>
          </cell>
          <cell r="J11541">
            <v>45631</v>
          </cell>
          <cell r="K11541">
            <v>9.5</v>
          </cell>
        </row>
        <row r="11542">
          <cell r="C11542" t="str">
            <v>吳政鴻</v>
          </cell>
          <cell r="F11542" t="str">
            <v>K231101R1</v>
          </cell>
          <cell r="J11542">
            <v>45632</v>
          </cell>
          <cell r="K11542">
            <v>8.5</v>
          </cell>
        </row>
        <row r="11543">
          <cell r="C11543" t="str">
            <v>吳政鴻</v>
          </cell>
          <cell r="F11543" t="str">
            <v>K231101R1</v>
          </cell>
          <cell r="J11543">
            <v>45635</v>
          </cell>
          <cell r="K11543">
            <v>9.5</v>
          </cell>
        </row>
        <row r="11544">
          <cell r="C11544" t="str">
            <v>吳政鴻</v>
          </cell>
          <cell r="J11544">
            <v>45636</v>
          </cell>
          <cell r="K11544">
            <v>9</v>
          </cell>
        </row>
        <row r="11545">
          <cell r="C11545" t="str">
            <v>吳政鴻</v>
          </cell>
          <cell r="J11545">
            <v>45637</v>
          </cell>
          <cell r="K11545">
            <v>8.5</v>
          </cell>
        </row>
        <row r="11546">
          <cell r="C11546" t="str">
            <v>吳政鴻</v>
          </cell>
          <cell r="J11546">
            <v>45638</v>
          </cell>
          <cell r="K11546">
            <v>9</v>
          </cell>
        </row>
        <row r="11547">
          <cell r="C11547" t="str">
            <v>吳政鴻</v>
          </cell>
          <cell r="J11547">
            <v>45639</v>
          </cell>
          <cell r="K11547">
            <v>9</v>
          </cell>
        </row>
        <row r="11548">
          <cell r="C11548" t="str">
            <v>吳政鴻</v>
          </cell>
          <cell r="J11548">
            <v>45642</v>
          </cell>
          <cell r="K11548">
            <v>8.5</v>
          </cell>
        </row>
        <row r="11549">
          <cell r="C11549" t="str">
            <v>吳政鴻</v>
          </cell>
          <cell r="J11549">
            <v>45643</v>
          </cell>
          <cell r="K11549">
            <v>8.5</v>
          </cell>
        </row>
        <row r="11550">
          <cell r="C11550" t="str">
            <v>吳政鴻</v>
          </cell>
          <cell r="J11550">
            <v>45644</v>
          </cell>
          <cell r="K11550">
            <v>8</v>
          </cell>
        </row>
        <row r="11551">
          <cell r="C11551" t="str">
            <v>吳政鴻</v>
          </cell>
          <cell r="J11551">
            <v>45645</v>
          </cell>
          <cell r="K11551">
            <v>8</v>
          </cell>
        </row>
        <row r="11552">
          <cell r="C11552" t="str">
            <v>吳政鴻</v>
          </cell>
          <cell r="J11552">
            <v>45646</v>
          </cell>
          <cell r="K11552">
            <v>8</v>
          </cell>
        </row>
        <row r="11553">
          <cell r="C11553" t="str">
            <v>吳政鴻</v>
          </cell>
          <cell r="J11553">
            <v>45649</v>
          </cell>
          <cell r="K11553">
            <v>9.5</v>
          </cell>
        </row>
        <row r="11554">
          <cell r="C11554" t="str">
            <v>吳政鴻</v>
          </cell>
          <cell r="J11554">
            <v>45650</v>
          </cell>
          <cell r="K11554">
            <v>8.5</v>
          </cell>
        </row>
        <row r="11555">
          <cell r="C11555" t="str">
            <v>吳政鴻</v>
          </cell>
          <cell r="J11555">
            <v>45651</v>
          </cell>
          <cell r="K11555">
            <v>8</v>
          </cell>
        </row>
        <row r="11556">
          <cell r="C11556" t="str">
            <v>吳政鴻</v>
          </cell>
          <cell r="J11556">
            <v>45652</v>
          </cell>
          <cell r="K11556">
            <v>8</v>
          </cell>
        </row>
        <row r="11557">
          <cell r="C11557" t="str">
            <v>吳政鴻</v>
          </cell>
          <cell r="J11557">
            <v>45653</v>
          </cell>
          <cell r="K11557">
            <v>8</v>
          </cell>
        </row>
        <row r="11558">
          <cell r="C11558" t="str">
            <v>吳政鴻</v>
          </cell>
          <cell r="J11558">
            <v>45656</v>
          </cell>
          <cell r="K11558">
            <v>3</v>
          </cell>
        </row>
        <row r="11559">
          <cell r="C11559" t="str">
            <v>吳政鴻</v>
          </cell>
          <cell r="J11559">
            <v>45656</v>
          </cell>
          <cell r="K11559">
            <v>5</v>
          </cell>
        </row>
        <row r="11560">
          <cell r="C11560" t="str">
            <v>吳政鴻</v>
          </cell>
          <cell r="J11560">
            <v>45657</v>
          </cell>
          <cell r="K11560">
            <v>8</v>
          </cell>
        </row>
        <row r="11561">
          <cell r="C11561" t="str">
            <v>吳政鴻</v>
          </cell>
          <cell r="J11561">
            <v>45659</v>
          </cell>
          <cell r="K11561">
            <v>9.5</v>
          </cell>
        </row>
        <row r="11562">
          <cell r="C11562" t="str">
            <v>吳政鴻</v>
          </cell>
          <cell r="J11562">
            <v>45660</v>
          </cell>
          <cell r="K11562">
            <v>8</v>
          </cell>
        </row>
        <row r="11563">
          <cell r="C11563" t="str">
            <v>吳政鴻</v>
          </cell>
          <cell r="J11563">
            <v>45663</v>
          </cell>
          <cell r="K11563">
            <v>9.5</v>
          </cell>
        </row>
        <row r="11564">
          <cell r="C11564" t="str">
            <v>吳政鴻</v>
          </cell>
          <cell r="J11564">
            <v>45664</v>
          </cell>
          <cell r="K11564">
            <v>8</v>
          </cell>
        </row>
        <row r="11565">
          <cell r="C11565" t="str">
            <v>吳政鴻</v>
          </cell>
          <cell r="J11565">
            <v>45665</v>
          </cell>
          <cell r="K11565">
            <v>8.5</v>
          </cell>
        </row>
        <row r="11566">
          <cell r="C11566" t="str">
            <v>吳政鴻</v>
          </cell>
          <cell r="J11566">
            <v>45666</v>
          </cell>
          <cell r="K11566">
            <v>8.5</v>
          </cell>
        </row>
        <row r="11567">
          <cell r="C11567" t="str">
            <v>吳政鴻</v>
          </cell>
          <cell r="J11567">
            <v>45667</v>
          </cell>
          <cell r="K11567">
            <v>2</v>
          </cell>
        </row>
        <row r="11568">
          <cell r="C11568" t="str">
            <v>吳政鴻</v>
          </cell>
          <cell r="F11568" t="str">
            <v>K241201R1</v>
          </cell>
          <cell r="J11568">
            <v>45667</v>
          </cell>
          <cell r="K11568">
            <v>6</v>
          </cell>
        </row>
        <row r="11569">
          <cell r="C11569" t="str">
            <v>吳政鴻</v>
          </cell>
          <cell r="F11569" t="str">
            <v>K241201R1</v>
          </cell>
          <cell r="J11569">
            <v>45670</v>
          </cell>
          <cell r="K11569">
            <v>9.5</v>
          </cell>
        </row>
        <row r="11570">
          <cell r="C11570" t="str">
            <v>吳政鴻</v>
          </cell>
          <cell r="F11570" t="str">
            <v>K241201R1</v>
          </cell>
          <cell r="J11570">
            <v>45671</v>
          </cell>
          <cell r="K11570">
            <v>8</v>
          </cell>
        </row>
        <row r="11571">
          <cell r="C11571" t="str">
            <v>吳政鴻</v>
          </cell>
          <cell r="F11571" t="str">
            <v>K241201R1</v>
          </cell>
          <cell r="J11571">
            <v>45672</v>
          </cell>
          <cell r="K11571">
            <v>8.5</v>
          </cell>
        </row>
        <row r="11572">
          <cell r="C11572" t="str">
            <v>吳政鴻</v>
          </cell>
          <cell r="F11572" t="str">
            <v>K241201R1</v>
          </cell>
          <cell r="J11572">
            <v>45673</v>
          </cell>
          <cell r="K11572">
            <v>8.5</v>
          </cell>
        </row>
        <row r="11573">
          <cell r="C11573" t="str">
            <v>吳政鴻</v>
          </cell>
          <cell r="F11573" t="str">
            <v>K241201R1</v>
          </cell>
          <cell r="J11573">
            <v>45674</v>
          </cell>
          <cell r="K11573">
            <v>8.5</v>
          </cell>
        </row>
        <row r="11574">
          <cell r="C11574" t="str">
            <v>吳政鴻</v>
          </cell>
          <cell r="F11574" t="str">
            <v>K241201R1</v>
          </cell>
          <cell r="J11574">
            <v>45677</v>
          </cell>
          <cell r="K11574">
            <v>9</v>
          </cell>
        </row>
        <row r="11575">
          <cell r="C11575" t="str">
            <v>吳政鴻</v>
          </cell>
          <cell r="F11575" t="str">
            <v>K241201R1</v>
          </cell>
          <cell r="J11575">
            <v>45678</v>
          </cell>
          <cell r="K11575">
            <v>8.5</v>
          </cell>
        </row>
        <row r="11576">
          <cell r="C11576" t="str">
            <v>吳政鴻</v>
          </cell>
          <cell r="J11576">
            <v>45679</v>
          </cell>
          <cell r="K11576">
            <v>8</v>
          </cell>
        </row>
        <row r="11577">
          <cell r="C11577" t="str">
            <v>吳政鴻</v>
          </cell>
          <cell r="F11577" t="str">
            <v>K241201R1</v>
          </cell>
          <cell r="J11577">
            <v>45680</v>
          </cell>
          <cell r="K11577">
            <v>8.5</v>
          </cell>
        </row>
        <row r="11578">
          <cell r="C11578" t="str">
            <v>吳政鴻</v>
          </cell>
          <cell r="J11578">
            <v>45681</v>
          </cell>
          <cell r="K11578">
            <v>8</v>
          </cell>
        </row>
        <row r="11579">
          <cell r="C11579" t="str">
            <v>吳政鴻</v>
          </cell>
          <cell r="F11579" t="str">
            <v>K241201R1</v>
          </cell>
          <cell r="J11579">
            <v>45691</v>
          </cell>
          <cell r="K11579">
            <v>8</v>
          </cell>
        </row>
        <row r="11580">
          <cell r="C11580" t="str">
            <v>吳政鴻</v>
          </cell>
          <cell r="F11580" t="str">
            <v>K241201R1</v>
          </cell>
          <cell r="J11580">
            <v>45692</v>
          </cell>
          <cell r="K11580">
            <v>8</v>
          </cell>
        </row>
        <row r="11581">
          <cell r="C11581" t="str">
            <v>吳政鴻</v>
          </cell>
          <cell r="F11581" t="str">
            <v>K241201R1</v>
          </cell>
          <cell r="J11581">
            <v>45693</v>
          </cell>
          <cell r="K11581">
            <v>8</v>
          </cell>
        </row>
        <row r="11582">
          <cell r="C11582" t="str">
            <v>吳政鴻</v>
          </cell>
          <cell r="F11582" t="str">
            <v>K241201R1</v>
          </cell>
          <cell r="J11582">
            <v>45694</v>
          </cell>
          <cell r="K11582">
            <v>8</v>
          </cell>
        </row>
        <row r="11583">
          <cell r="C11583" t="str">
            <v>吳政鴻</v>
          </cell>
          <cell r="F11583" t="str">
            <v>K241201R1</v>
          </cell>
          <cell r="J11583">
            <v>45695</v>
          </cell>
          <cell r="K11583">
            <v>8</v>
          </cell>
        </row>
        <row r="11584">
          <cell r="C11584" t="str">
            <v>吳政鴻</v>
          </cell>
          <cell r="F11584" t="str">
            <v>K241201R1</v>
          </cell>
          <cell r="J11584">
            <v>45696</v>
          </cell>
          <cell r="K11584">
            <v>8</v>
          </cell>
        </row>
        <row r="11585">
          <cell r="C11585" t="str">
            <v>吳政鴻</v>
          </cell>
          <cell r="F11585" t="str">
            <v>K241201R1</v>
          </cell>
          <cell r="J11585">
            <v>45698</v>
          </cell>
          <cell r="K11585">
            <v>8</v>
          </cell>
        </row>
        <row r="11586">
          <cell r="C11586" t="str">
            <v>吳政鴻</v>
          </cell>
          <cell r="J11586">
            <v>45699</v>
          </cell>
          <cell r="K11586">
            <v>8</v>
          </cell>
        </row>
        <row r="11587">
          <cell r="C11587" t="str">
            <v>吳政鴻</v>
          </cell>
          <cell r="F11587" t="str">
            <v>K241201R1</v>
          </cell>
          <cell r="J11587">
            <v>45700</v>
          </cell>
          <cell r="K11587">
            <v>8</v>
          </cell>
        </row>
        <row r="11588">
          <cell r="C11588" t="str">
            <v>吳政鴻</v>
          </cell>
          <cell r="F11588" t="str">
            <v>K241201R1</v>
          </cell>
          <cell r="J11588">
            <v>45701</v>
          </cell>
          <cell r="K11588">
            <v>8</v>
          </cell>
        </row>
        <row r="11589">
          <cell r="C11589" t="str">
            <v>吳政鴻</v>
          </cell>
          <cell r="F11589" t="str">
            <v>K241201R1</v>
          </cell>
          <cell r="J11589">
            <v>45702</v>
          </cell>
          <cell r="K11589">
            <v>8</v>
          </cell>
        </row>
        <row r="11590">
          <cell r="C11590" t="str">
            <v>吳政鴻</v>
          </cell>
          <cell r="J11590">
            <v>45705</v>
          </cell>
          <cell r="K11590">
            <v>8</v>
          </cell>
        </row>
        <row r="11591">
          <cell r="C11591" t="str">
            <v>吳政鴻</v>
          </cell>
          <cell r="F11591" t="str">
            <v>K241201R1</v>
          </cell>
          <cell r="J11591">
            <v>45706</v>
          </cell>
          <cell r="K11591">
            <v>8</v>
          </cell>
        </row>
        <row r="11592">
          <cell r="C11592" t="str">
            <v>吳政鴻</v>
          </cell>
          <cell r="F11592" t="str">
            <v>K241201R1</v>
          </cell>
          <cell r="J11592">
            <v>45707</v>
          </cell>
          <cell r="K11592">
            <v>8</v>
          </cell>
        </row>
        <row r="11593">
          <cell r="C11593" t="str">
            <v>吳政鴻</v>
          </cell>
          <cell r="F11593" t="str">
            <v>K241201R1</v>
          </cell>
          <cell r="J11593">
            <v>45708</v>
          </cell>
          <cell r="K11593">
            <v>8</v>
          </cell>
        </row>
        <row r="11594">
          <cell r="C11594" t="str">
            <v>吳政鴻</v>
          </cell>
          <cell r="F11594" t="str">
            <v>K241201R1</v>
          </cell>
          <cell r="J11594">
            <v>45709</v>
          </cell>
          <cell r="K11594">
            <v>8</v>
          </cell>
        </row>
        <row r="11595">
          <cell r="C11595" t="str">
            <v>吳政鴻</v>
          </cell>
          <cell r="F11595" t="str">
            <v>K241201R1</v>
          </cell>
          <cell r="J11595">
            <v>45712</v>
          </cell>
          <cell r="K11595">
            <v>8</v>
          </cell>
        </row>
        <row r="11596">
          <cell r="C11596" t="str">
            <v>吳政鴻</v>
          </cell>
          <cell r="F11596" t="str">
            <v>K241201R1</v>
          </cell>
          <cell r="J11596">
            <v>45713</v>
          </cell>
          <cell r="K11596">
            <v>8</v>
          </cell>
        </row>
        <row r="11597">
          <cell r="C11597" t="str">
            <v>吳政鴻</v>
          </cell>
          <cell r="F11597" t="str">
            <v>K241201R1</v>
          </cell>
          <cell r="J11597">
            <v>45714</v>
          </cell>
          <cell r="K11597">
            <v>8</v>
          </cell>
        </row>
        <row r="11598">
          <cell r="C11598" t="str">
            <v>吳政鴻</v>
          </cell>
          <cell r="F11598" t="str">
            <v>K241201R1</v>
          </cell>
          <cell r="J11598">
            <v>45715</v>
          </cell>
          <cell r="K11598">
            <v>3</v>
          </cell>
        </row>
        <row r="11599">
          <cell r="C11599" t="str">
            <v>吳政鴻</v>
          </cell>
          <cell r="J11599">
            <v>45715</v>
          </cell>
          <cell r="K11599">
            <v>5</v>
          </cell>
        </row>
        <row r="11600">
          <cell r="C11600" t="str">
            <v>吳政鴻</v>
          </cell>
          <cell r="F11600" t="str">
            <v>K241201R1</v>
          </cell>
          <cell r="J11600">
            <v>45719</v>
          </cell>
          <cell r="K11600">
            <v>8</v>
          </cell>
        </row>
        <row r="11601">
          <cell r="C11601" t="str">
            <v>吳政鴻</v>
          </cell>
          <cell r="F11601" t="str">
            <v>K241201R1</v>
          </cell>
          <cell r="J11601">
            <v>45720</v>
          </cell>
          <cell r="K11601">
            <v>8</v>
          </cell>
        </row>
        <row r="11602">
          <cell r="C11602" t="str">
            <v>吳政鴻</v>
          </cell>
          <cell r="F11602" t="str">
            <v>K241201R1</v>
          </cell>
          <cell r="J11602">
            <v>45721</v>
          </cell>
          <cell r="K11602">
            <v>8</v>
          </cell>
        </row>
        <row r="11603">
          <cell r="C11603" t="str">
            <v>吳政鴻</v>
          </cell>
          <cell r="F11603" t="str">
            <v>K241201R1</v>
          </cell>
          <cell r="J11603">
            <v>45722</v>
          </cell>
          <cell r="K11603">
            <v>8</v>
          </cell>
        </row>
        <row r="11604">
          <cell r="C11604" t="str">
            <v>吳政鴻</v>
          </cell>
          <cell r="F11604" t="str">
            <v>K241201R1</v>
          </cell>
          <cell r="J11604">
            <v>45723</v>
          </cell>
          <cell r="K11604">
            <v>8</v>
          </cell>
        </row>
        <row r="11605">
          <cell r="C11605" t="str">
            <v>吳政鴻</v>
          </cell>
          <cell r="F11605" t="str">
            <v>K241201R1</v>
          </cell>
          <cell r="J11605">
            <v>45726</v>
          </cell>
          <cell r="K11605">
            <v>8</v>
          </cell>
        </row>
        <row r="11606">
          <cell r="C11606" t="str">
            <v>吳政鴻</v>
          </cell>
          <cell r="F11606" t="str">
            <v>K241201R1</v>
          </cell>
          <cell r="J11606">
            <v>45727</v>
          </cell>
          <cell r="K11606">
            <v>8</v>
          </cell>
        </row>
        <row r="11607">
          <cell r="C11607" t="str">
            <v>吳政鴻</v>
          </cell>
          <cell r="F11607" t="str">
            <v>K241201R1</v>
          </cell>
          <cell r="J11607">
            <v>45728</v>
          </cell>
          <cell r="K11607">
            <v>8</v>
          </cell>
        </row>
        <row r="11608">
          <cell r="C11608" t="str">
            <v>吳政鴻</v>
          </cell>
          <cell r="F11608" t="str">
            <v>K241201R1</v>
          </cell>
          <cell r="J11608">
            <v>45729</v>
          </cell>
          <cell r="K11608">
            <v>8</v>
          </cell>
        </row>
        <row r="11609">
          <cell r="C11609" t="str">
            <v>吳政鴻</v>
          </cell>
          <cell r="F11609" t="str">
            <v>K241201R1</v>
          </cell>
          <cell r="J11609">
            <v>45730</v>
          </cell>
          <cell r="K11609">
            <v>3</v>
          </cell>
        </row>
        <row r="11610">
          <cell r="C11610" t="str">
            <v>吳政鴻</v>
          </cell>
          <cell r="J11610">
            <v>45730</v>
          </cell>
          <cell r="K11610">
            <v>5</v>
          </cell>
        </row>
        <row r="11611">
          <cell r="C11611" t="str">
            <v>吳政鴻</v>
          </cell>
          <cell r="F11611" t="str">
            <v>K241201R1</v>
          </cell>
          <cell r="J11611">
            <v>45733</v>
          </cell>
          <cell r="K11611">
            <v>8</v>
          </cell>
        </row>
        <row r="11612">
          <cell r="C11612" t="str">
            <v>吳政鴻</v>
          </cell>
          <cell r="F11612" t="str">
            <v>K241201R1</v>
          </cell>
          <cell r="J11612">
            <v>45734</v>
          </cell>
          <cell r="K11612">
            <v>8</v>
          </cell>
        </row>
        <row r="11613">
          <cell r="C11613" t="str">
            <v>吳政鴻</v>
          </cell>
          <cell r="F11613" t="str">
            <v>K241201R1</v>
          </cell>
          <cell r="J11613">
            <v>45735</v>
          </cell>
          <cell r="K11613">
            <v>8</v>
          </cell>
        </row>
        <row r="11614">
          <cell r="C11614" t="str">
            <v>吳政鴻</v>
          </cell>
          <cell r="J11614">
            <v>45736</v>
          </cell>
          <cell r="K11614">
            <v>5</v>
          </cell>
        </row>
        <row r="11615">
          <cell r="C11615" t="str">
            <v>吳政鴻</v>
          </cell>
          <cell r="F11615" t="str">
            <v>K241201R1</v>
          </cell>
          <cell r="J11615">
            <v>45736</v>
          </cell>
          <cell r="K11615">
            <v>3</v>
          </cell>
        </row>
        <row r="11616">
          <cell r="C11616" t="str">
            <v>吳政鴻</v>
          </cell>
          <cell r="F11616" t="str">
            <v>K241201R1</v>
          </cell>
          <cell r="J11616">
            <v>45737</v>
          </cell>
          <cell r="K11616">
            <v>8</v>
          </cell>
        </row>
        <row r="11617">
          <cell r="C11617" t="str">
            <v>吳政鴻</v>
          </cell>
          <cell r="F11617" t="str">
            <v>K241201R1</v>
          </cell>
          <cell r="J11617">
            <v>45740</v>
          </cell>
          <cell r="K11617">
            <v>8</v>
          </cell>
        </row>
        <row r="11618">
          <cell r="C11618" t="str">
            <v>吳政鴻</v>
          </cell>
          <cell r="F11618" t="str">
            <v>K241201R1</v>
          </cell>
          <cell r="J11618">
            <v>45741</v>
          </cell>
          <cell r="K11618">
            <v>8</v>
          </cell>
        </row>
        <row r="11619">
          <cell r="C11619" t="str">
            <v>吳政鴻</v>
          </cell>
          <cell r="J11619">
            <v>45742</v>
          </cell>
          <cell r="K11619">
            <v>8</v>
          </cell>
        </row>
        <row r="11620">
          <cell r="C11620" t="str">
            <v>吳政鴻</v>
          </cell>
          <cell r="J11620">
            <v>45743</v>
          </cell>
          <cell r="K11620">
            <v>8</v>
          </cell>
        </row>
        <row r="11621">
          <cell r="C11621" t="str">
            <v>吳政鴻</v>
          </cell>
          <cell r="J11621">
            <v>45744</v>
          </cell>
          <cell r="K11621">
            <v>5</v>
          </cell>
        </row>
        <row r="11622">
          <cell r="C11622" t="str">
            <v>吳政鴻</v>
          </cell>
          <cell r="J11622">
            <v>45744</v>
          </cell>
          <cell r="K11622">
            <v>3</v>
          </cell>
        </row>
        <row r="11623">
          <cell r="C11623" t="str">
            <v>吳政鴻</v>
          </cell>
          <cell r="J11623">
            <v>45747</v>
          </cell>
          <cell r="K11623">
            <v>8</v>
          </cell>
        </row>
        <row r="11624">
          <cell r="C11624" t="str">
            <v>吳政鴻</v>
          </cell>
          <cell r="J11624">
            <v>45748</v>
          </cell>
          <cell r="K11624">
            <v>8</v>
          </cell>
        </row>
        <row r="11625">
          <cell r="C11625" t="str">
            <v>吳政鴻</v>
          </cell>
          <cell r="J11625">
            <v>45749</v>
          </cell>
          <cell r="K11625">
            <v>8</v>
          </cell>
        </row>
        <row r="11626">
          <cell r="C11626" t="str">
            <v>吳政鴻</v>
          </cell>
          <cell r="J11626">
            <v>45754</v>
          </cell>
          <cell r="K11626">
            <v>8</v>
          </cell>
        </row>
        <row r="11627">
          <cell r="C11627" t="str">
            <v>吳政鴻</v>
          </cell>
          <cell r="J11627">
            <v>45755</v>
          </cell>
          <cell r="K11627">
            <v>3</v>
          </cell>
        </row>
        <row r="11628">
          <cell r="C11628" t="str">
            <v>吳政鴻</v>
          </cell>
          <cell r="J11628">
            <v>45755</v>
          </cell>
          <cell r="K11628">
            <v>5</v>
          </cell>
        </row>
        <row r="11629">
          <cell r="C11629" t="str">
            <v>吳政鴻</v>
          </cell>
          <cell r="J11629">
            <v>45756</v>
          </cell>
          <cell r="K11629">
            <v>8</v>
          </cell>
        </row>
        <row r="11630">
          <cell r="C11630" t="str">
            <v>吳政鴻</v>
          </cell>
          <cell r="J11630">
            <v>45757</v>
          </cell>
          <cell r="K11630">
            <v>8</v>
          </cell>
        </row>
        <row r="11631">
          <cell r="C11631" t="str">
            <v>吳政鴻</v>
          </cell>
          <cell r="J11631">
            <v>45758</v>
          </cell>
          <cell r="K11631">
            <v>8</v>
          </cell>
        </row>
        <row r="11632">
          <cell r="C11632" t="str">
            <v>吳政鴻</v>
          </cell>
          <cell r="J11632">
            <v>45761</v>
          </cell>
          <cell r="K11632">
            <v>8</v>
          </cell>
        </row>
        <row r="11633">
          <cell r="C11633" t="str">
            <v>吳政鴻</v>
          </cell>
          <cell r="J11633">
            <v>45762</v>
          </cell>
          <cell r="K11633">
            <v>8</v>
          </cell>
        </row>
        <row r="11634">
          <cell r="C11634" t="str">
            <v>吳政鴻</v>
          </cell>
          <cell r="J11634">
            <v>45763</v>
          </cell>
          <cell r="K11634">
            <v>8</v>
          </cell>
        </row>
        <row r="11635">
          <cell r="C11635" t="str">
            <v>吳政鴻</v>
          </cell>
          <cell r="J11635">
            <v>45764</v>
          </cell>
          <cell r="K11635">
            <v>8</v>
          </cell>
        </row>
        <row r="11636">
          <cell r="C11636" t="str">
            <v>吳政鴻</v>
          </cell>
          <cell r="J11636">
            <v>45765</v>
          </cell>
          <cell r="K11636">
            <v>3</v>
          </cell>
        </row>
        <row r="11637">
          <cell r="C11637" t="str">
            <v>吳政鴻</v>
          </cell>
          <cell r="J11637">
            <v>45765</v>
          </cell>
          <cell r="K11637">
            <v>5</v>
          </cell>
        </row>
        <row r="11638">
          <cell r="C11638" t="str">
            <v>劉子明</v>
          </cell>
          <cell r="J11638">
            <v>45931</v>
          </cell>
          <cell r="K11638">
            <v>8</v>
          </cell>
        </row>
        <row r="11639">
          <cell r="C11639" t="str">
            <v>劉子明</v>
          </cell>
          <cell r="J11639">
            <v>45932</v>
          </cell>
          <cell r="K11639">
            <v>8</v>
          </cell>
        </row>
        <row r="11640">
          <cell r="C11640" t="str">
            <v>劉子明</v>
          </cell>
          <cell r="J11640">
            <v>45933</v>
          </cell>
          <cell r="K11640">
            <v>8</v>
          </cell>
        </row>
        <row r="11641">
          <cell r="C11641" t="str">
            <v>劉子明</v>
          </cell>
          <cell r="J11641">
            <v>45937</v>
          </cell>
          <cell r="K11641">
            <v>8</v>
          </cell>
        </row>
        <row r="11642">
          <cell r="C11642" t="str">
            <v>劉子明</v>
          </cell>
          <cell r="J11642">
            <v>45938</v>
          </cell>
          <cell r="K11642">
            <v>8</v>
          </cell>
        </row>
        <row r="11643">
          <cell r="C11643" t="str">
            <v>劉子明</v>
          </cell>
          <cell r="J11643">
            <v>45939</v>
          </cell>
          <cell r="K11643">
            <v>8</v>
          </cell>
        </row>
        <row r="11644">
          <cell r="C11644" t="str">
            <v>劉子明</v>
          </cell>
          <cell r="J11644">
            <v>45943</v>
          </cell>
          <cell r="K11644">
            <v>8</v>
          </cell>
        </row>
        <row r="11645">
          <cell r="C11645" t="str">
            <v>劉子明</v>
          </cell>
          <cell r="J11645">
            <v>45944</v>
          </cell>
          <cell r="K11645">
            <v>8</v>
          </cell>
        </row>
        <row r="11646">
          <cell r="C11646" t="str">
            <v>劉子明</v>
          </cell>
          <cell r="J11646">
            <v>45945</v>
          </cell>
          <cell r="K11646">
            <v>8</v>
          </cell>
        </row>
        <row r="11647">
          <cell r="C11647" t="str">
            <v>劉子明</v>
          </cell>
          <cell r="J11647">
            <v>45946</v>
          </cell>
          <cell r="K11647">
            <v>8</v>
          </cell>
        </row>
        <row r="11648">
          <cell r="C11648" t="str">
            <v>劉子明</v>
          </cell>
          <cell r="J11648">
            <v>45947</v>
          </cell>
          <cell r="K11648">
            <v>8</v>
          </cell>
        </row>
        <row r="11649">
          <cell r="C11649" t="str">
            <v>劉子明</v>
          </cell>
          <cell r="J11649">
            <v>45950</v>
          </cell>
          <cell r="K11649">
            <v>8</v>
          </cell>
        </row>
        <row r="11650">
          <cell r="C11650" t="str">
            <v>劉子明</v>
          </cell>
          <cell r="J11650">
            <v>45951</v>
          </cell>
          <cell r="K11650">
            <v>8</v>
          </cell>
        </row>
        <row r="11651">
          <cell r="C11651" t="str">
            <v>劉子明</v>
          </cell>
          <cell r="J11651">
            <v>45952</v>
          </cell>
          <cell r="K11651">
            <v>8</v>
          </cell>
        </row>
        <row r="11652">
          <cell r="C11652" t="str">
            <v>劉子明</v>
          </cell>
          <cell r="J11652">
            <v>45953</v>
          </cell>
          <cell r="K11652">
            <v>8</v>
          </cell>
        </row>
        <row r="11653">
          <cell r="C11653" t="str">
            <v>劉子明</v>
          </cell>
          <cell r="J11653">
            <v>45957</v>
          </cell>
          <cell r="K11653">
            <v>8</v>
          </cell>
        </row>
        <row r="11654">
          <cell r="C11654" t="str">
            <v>劉子明</v>
          </cell>
          <cell r="J11654">
            <v>45958</v>
          </cell>
          <cell r="K11654">
            <v>8</v>
          </cell>
        </row>
        <row r="11655">
          <cell r="C11655" t="str">
            <v>劉子明</v>
          </cell>
          <cell r="J11655">
            <v>45959</v>
          </cell>
          <cell r="K11655">
            <v>8</v>
          </cell>
        </row>
        <row r="11656">
          <cell r="C11656" t="str">
            <v>劉子明</v>
          </cell>
          <cell r="J11656">
            <v>45960</v>
          </cell>
          <cell r="K11656">
            <v>8</v>
          </cell>
        </row>
        <row r="11657">
          <cell r="C11657" t="str">
            <v>劉子明</v>
          </cell>
          <cell r="J11657">
            <v>45961</v>
          </cell>
          <cell r="K11657">
            <v>8</v>
          </cell>
        </row>
        <row r="11658">
          <cell r="C11658" t="str">
            <v>劉子明</v>
          </cell>
          <cell r="J11658">
            <v>45964</v>
          </cell>
          <cell r="K11658">
            <v>8</v>
          </cell>
        </row>
        <row r="11659">
          <cell r="C11659" t="str">
            <v>劉子明</v>
          </cell>
          <cell r="J11659">
            <v>45965</v>
          </cell>
          <cell r="K11659">
            <v>8</v>
          </cell>
        </row>
        <row r="11660">
          <cell r="C11660" t="str">
            <v>劉子明</v>
          </cell>
          <cell r="J11660">
            <v>45966</v>
          </cell>
          <cell r="K11660">
            <v>8</v>
          </cell>
        </row>
        <row r="11661">
          <cell r="C11661" t="str">
            <v>劉子明</v>
          </cell>
          <cell r="J11661">
            <v>45967</v>
          </cell>
          <cell r="K11661">
            <v>8</v>
          </cell>
        </row>
        <row r="11662">
          <cell r="C11662" t="str">
            <v>劉子明</v>
          </cell>
          <cell r="J11662">
            <v>45968</v>
          </cell>
          <cell r="K11662">
            <v>8</v>
          </cell>
        </row>
        <row r="11663">
          <cell r="C11663" t="str">
            <v>劉子明</v>
          </cell>
          <cell r="J11663">
            <v>45971</v>
          </cell>
          <cell r="K11663">
            <v>8</v>
          </cell>
        </row>
        <row r="11664">
          <cell r="C11664" t="str">
            <v>劉子明</v>
          </cell>
          <cell r="J11664">
            <v>45972</v>
          </cell>
          <cell r="K11664">
            <v>8</v>
          </cell>
        </row>
        <row r="11665">
          <cell r="C11665" t="str">
            <v>劉子明</v>
          </cell>
          <cell r="J11665">
            <v>45973</v>
          </cell>
          <cell r="K11665">
            <v>8</v>
          </cell>
        </row>
        <row r="11666">
          <cell r="C11666" t="str">
            <v>劉子明</v>
          </cell>
          <cell r="J11666">
            <v>45974</v>
          </cell>
          <cell r="K11666">
            <v>3</v>
          </cell>
        </row>
        <row r="11667">
          <cell r="C11667" t="str">
            <v>劉子明</v>
          </cell>
          <cell r="J11667">
            <v>45974</v>
          </cell>
          <cell r="K11667">
            <v>5</v>
          </cell>
        </row>
        <row r="11668">
          <cell r="C11668" t="str">
            <v>劉子明</v>
          </cell>
          <cell r="J11668">
            <v>45975</v>
          </cell>
          <cell r="K11668">
            <v>8</v>
          </cell>
        </row>
        <row r="11669">
          <cell r="C11669" t="str">
            <v>劉子明</v>
          </cell>
          <cell r="J11669">
            <v>45978</v>
          </cell>
          <cell r="K11669">
            <v>5</v>
          </cell>
        </row>
        <row r="11670">
          <cell r="C11670" t="str">
            <v>劉子明</v>
          </cell>
          <cell r="J11670">
            <v>45978</v>
          </cell>
          <cell r="K11670">
            <v>3</v>
          </cell>
        </row>
        <row r="11671">
          <cell r="C11671" t="str">
            <v>劉子明</v>
          </cell>
          <cell r="J11671">
            <v>45979</v>
          </cell>
          <cell r="K11671">
            <v>8</v>
          </cell>
        </row>
        <row r="11672">
          <cell r="C11672" t="str">
            <v>劉子明</v>
          </cell>
          <cell r="J11672">
            <v>45980</v>
          </cell>
          <cell r="K11672">
            <v>8</v>
          </cell>
        </row>
        <row r="11673">
          <cell r="C11673" t="str">
            <v>劉子明</v>
          </cell>
          <cell r="J11673">
            <v>45981</v>
          </cell>
          <cell r="K11673">
            <v>5</v>
          </cell>
        </row>
        <row r="11674">
          <cell r="C11674" t="str">
            <v>劉子明</v>
          </cell>
          <cell r="J11674">
            <v>45981</v>
          </cell>
          <cell r="K11674">
            <v>3</v>
          </cell>
        </row>
        <row r="11675">
          <cell r="C11675" t="str">
            <v>劉子明</v>
          </cell>
          <cell r="J11675">
            <v>45982</v>
          </cell>
          <cell r="K11675">
            <v>12</v>
          </cell>
        </row>
        <row r="11676">
          <cell r="C11676" t="str">
            <v>劉子明</v>
          </cell>
          <cell r="J11676">
            <v>45983</v>
          </cell>
          <cell r="K11676">
            <v>8</v>
          </cell>
        </row>
        <row r="11677">
          <cell r="C11677" t="str">
            <v>劉子明</v>
          </cell>
          <cell r="J11677">
            <v>45985</v>
          </cell>
          <cell r="K11677">
            <v>8</v>
          </cell>
        </row>
        <row r="11678">
          <cell r="C11678" t="str">
            <v>劉子明</v>
          </cell>
          <cell r="J11678">
            <v>45986</v>
          </cell>
          <cell r="K11678">
            <v>8</v>
          </cell>
        </row>
        <row r="11679">
          <cell r="C11679" t="str">
            <v>劉子明</v>
          </cell>
          <cell r="J11679">
            <v>45987</v>
          </cell>
          <cell r="K11679">
            <v>8</v>
          </cell>
        </row>
        <row r="11680">
          <cell r="C11680" t="str">
            <v>劉子明</v>
          </cell>
          <cell r="J11680">
            <v>45988</v>
          </cell>
          <cell r="K11680">
            <v>3</v>
          </cell>
        </row>
        <row r="11681">
          <cell r="C11681" t="str">
            <v>劉子明</v>
          </cell>
          <cell r="J11681">
            <v>45988</v>
          </cell>
          <cell r="K11681">
            <v>5</v>
          </cell>
        </row>
        <row r="11682">
          <cell r="C11682" t="str">
            <v>劉子明</v>
          </cell>
          <cell r="J11682">
            <v>45989</v>
          </cell>
          <cell r="K11682">
            <v>8</v>
          </cell>
        </row>
        <row r="11683">
          <cell r="C11683" t="str">
            <v>劉子明</v>
          </cell>
          <cell r="J11683">
            <v>45992</v>
          </cell>
          <cell r="K11683">
            <v>8</v>
          </cell>
        </row>
        <row r="11684">
          <cell r="C11684" t="str">
            <v>劉子明</v>
          </cell>
          <cell r="J11684">
            <v>45993</v>
          </cell>
          <cell r="K11684">
            <v>8</v>
          </cell>
        </row>
        <row r="11685">
          <cell r="C11685" t="str">
            <v>劉子明</v>
          </cell>
          <cell r="J11685">
            <v>45994</v>
          </cell>
          <cell r="K11685">
            <v>8</v>
          </cell>
        </row>
        <row r="11686">
          <cell r="C11686" t="str">
            <v>劉子明</v>
          </cell>
          <cell r="J11686">
            <v>45995</v>
          </cell>
          <cell r="K11686">
            <v>8</v>
          </cell>
        </row>
        <row r="11687">
          <cell r="C11687" t="str">
            <v>劉子明</v>
          </cell>
          <cell r="J11687">
            <v>45996</v>
          </cell>
          <cell r="K11687">
            <v>8</v>
          </cell>
        </row>
        <row r="11688">
          <cell r="C11688" t="str">
            <v>劉子明</v>
          </cell>
          <cell r="J11688">
            <v>45999</v>
          </cell>
          <cell r="K11688">
            <v>8</v>
          </cell>
        </row>
        <row r="11689">
          <cell r="C11689" t="str">
            <v>劉子明</v>
          </cell>
          <cell r="J11689">
            <v>46000</v>
          </cell>
          <cell r="K11689">
            <v>8</v>
          </cell>
        </row>
        <row r="11690">
          <cell r="C11690" t="str">
            <v>劉子明</v>
          </cell>
          <cell r="J11690">
            <v>46001</v>
          </cell>
          <cell r="K11690">
            <v>8</v>
          </cell>
        </row>
        <row r="11691">
          <cell r="C11691" t="str">
            <v>劉子明</v>
          </cell>
          <cell r="J11691">
            <v>46002</v>
          </cell>
          <cell r="K11691">
            <v>8</v>
          </cell>
        </row>
        <row r="11692">
          <cell r="C11692" t="str">
            <v>劉子明</v>
          </cell>
          <cell r="J11692">
            <v>46003</v>
          </cell>
          <cell r="K11692">
            <v>8</v>
          </cell>
        </row>
        <row r="11693">
          <cell r="C11693" t="str">
            <v>劉子明</v>
          </cell>
          <cell r="J11693">
            <v>46006</v>
          </cell>
          <cell r="K11693">
            <v>8</v>
          </cell>
        </row>
        <row r="11694">
          <cell r="C11694" t="str">
            <v>劉子明</v>
          </cell>
          <cell r="J11694">
            <v>46007</v>
          </cell>
          <cell r="K11694">
            <v>8</v>
          </cell>
        </row>
        <row r="11695">
          <cell r="C11695" t="str">
            <v>劉子明</v>
          </cell>
          <cell r="J11695">
            <v>46008</v>
          </cell>
          <cell r="K11695">
            <v>8</v>
          </cell>
        </row>
        <row r="11696">
          <cell r="C11696" t="str">
            <v>劉子明</v>
          </cell>
          <cell r="J11696">
            <v>46009</v>
          </cell>
          <cell r="K11696">
            <v>8</v>
          </cell>
        </row>
        <row r="11697">
          <cell r="C11697" t="str">
            <v>劉子明</v>
          </cell>
          <cell r="J11697">
            <v>46010</v>
          </cell>
          <cell r="K11697">
            <v>8</v>
          </cell>
        </row>
        <row r="11698">
          <cell r="C11698" t="str">
            <v>劉子明</v>
          </cell>
          <cell r="J11698">
            <v>46013</v>
          </cell>
          <cell r="K11698">
            <v>8</v>
          </cell>
        </row>
        <row r="11699">
          <cell r="C11699" t="str">
            <v>劉子明</v>
          </cell>
          <cell r="J11699">
            <v>46014</v>
          </cell>
          <cell r="K11699">
            <v>8</v>
          </cell>
        </row>
        <row r="11700">
          <cell r="C11700" t="str">
            <v>劉子明</v>
          </cell>
          <cell r="J11700">
            <v>46015</v>
          </cell>
          <cell r="K11700">
            <v>8</v>
          </cell>
        </row>
        <row r="11701">
          <cell r="C11701" t="str">
            <v>劉子明</v>
          </cell>
          <cell r="J11701">
            <v>46017</v>
          </cell>
          <cell r="K11701">
            <v>8</v>
          </cell>
        </row>
        <row r="11702">
          <cell r="C11702" t="str">
            <v>劉子明</v>
          </cell>
          <cell r="J11702">
            <v>46020</v>
          </cell>
          <cell r="K11702">
            <v>8</v>
          </cell>
        </row>
        <row r="11703">
          <cell r="C11703" t="str">
            <v>劉子明</v>
          </cell>
          <cell r="J11703">
            <v>46021</v>
          </cell>
          <cell r="K11703">
            <v>8</v>
          </cell>
        </row>
        <row r="11704">
          <cell r="C11704" t="str">
            <v>劉子明</v>
          </cell>
          <cell r="F11704" t="str">
            <v>K250501R2</v>
          </cell>
          <cell r="J11704">
            <v>46022</v>
          </cell>
          <cell r="K11704">
            <v>8</v>
          </cell>
        </row>
        <row r="11705">
          <cell r="C11705" t="str">
            <v>劉子明</v>
          </cell>
          <cell r="J11705">
            <v>46024</v>
          </cell>
          <cell r="K11705">
            <v>8</v>
          </cell>
        </row>
        <row r="11706">
          <cell r="C11706" t="str">
            <v>劉子明</v>
          </cell>
          <cell r="J11706">
            <v>46027</v>
          </cell>
          <cell r="K11706">
            <v>8</v>
          </cell>
        </row>
        <row r="11707">
          <cell r="C11707" t="str">
            <v>劉子明</v>
          </cell>
          <cell r="J11707">
            <v>46028</v>
          </cell>
          <cell r="K11707">
            <v>8</v>
          </cell>
        </row>
        <row r="11708">
          <cell r="C11708" t="str">
            <v>劉子明</v>
          </cell>
          <cell r="J11708">
            <v>46029</v>
          </cell>
          <cell r="K11708">
            <v>8</v>
          </cell>
        </row>
        <row r="11709">
          <cell r="C11709" t="str">
            <v>劉子明</v>
          </cell>
          <cell r="J11709">
            <v>46030</v>
          </cell>
          <cell r="K11709">
            <v>8</v>
          </cell>
        </row>
        <row r="11710">
          <cell r="C11710" t="str">
            <v>劉子明</v>
          </cell>
          <cell r="J11710">
            <v>46031</v>
          </cell>
          <cell r="K11710">
            <v>8</v>
          </cell>
        </row>
        <row r="11711">
          <cell r="C11711" t="str">
            <v>劉子明</v>
          </cell>
          <cell r="J11711">
            <v>46034</v>
          </cell>
          <cell r="K11711">
            <v>8</v>
          </cell>
        </row>
        <row r="11712">
          <cell r="C11712" t="str">
            <v>劉子明</v>
          </cell>
          <cell r="J11712">
            <v>46035</v>
          </cell>
          <cell r="K11712">
            <v>8</v>
          </cell>
        </row>
        <row r="11713">
          <cell r="C11713" t="str">
            <v>劉子明</v>
          </cell>
          <cell r="J11713">
            <v>46036</v>
          </cell>
          <cell r="K11713">
            <v>8</v>
          </cell>
        </row>
        <row r="11714">
          <cell r="C11714" t="str">
            <v>劉子明</v>
          </cell>
          <cell r="J11714">
            <v>46037</v>
          </cell>
          <cell r="K11714">
            <v>8</v>
          </cell>
        </row>
        <row r="11715">
          <cell r="C11715" t="str">
            <v>劉子明</v>
          </cell>
          <cell r="J11715">
            <v>46038</v>
          </cell>
          <cell r="K11715">
            <v>8</v>
          </cell>
        </row>
        <row r="11716">
          <cell r="C11716" t="str">
            <v>劉子明</v>
          </cell>
          <cell r="J11716">
            <v>46041</v>
          </cell>
          <cell r="K11716">
            <v>8</v>
          </cell>
        </row>
        <row r="11717">
          <cell r="C11717" t="str">
            <v>劉子明</v>
          </cell>
          <cell r="J11717">
            <v>46042</v>
          </cell>
          <cell r="K11717">
            <v>8</v>
          </cell>
        </row>
        <row r="11718">
          <cell r="C11718" t="str">
            <v>劉子明</v>
          </cell>
          <cell r="J11718">
            <v>46043</v>
          </cell>
          <cell r="K11718">
            <v>8</v>
          </cell>
        </row>
        <row r="11719">
          <cell r="C11719" t="str">
            <v>劉子明</v>
          </cell>
          <cell r="J11719">
            <v>46044</v>
          </cell>
          <cell r="K11719">
            <v>8</v>
          </cell>
        </row>
        <row r="11720">
          <cell r="C11720" t="str">
            <v>劉子明</v>
          </cell>
          <cell r="J11720">
            <v>46045</v>
          </cell>
          <cell r="K11720">
            <v>8</v>
          </cell>
        </row>
        <row r="11721">
          <cell r="C11721" t="str">
            <v>劉子明</v>
          </cell>
          <cell r="J11721">
            <v>46048</v>
          </cell>
          <cell r="K11721">
            <v>8</v>
          </cell>
        </row>
        <row r="11722">
          <cell r="C11722" t="str">
            <v>劉子明</v>
          </cell>
          <cell r="J11722">
            <v>46049</v>
          </cell>
          <cell r="K11722">
            <v>8</v>
          </cell>
        </row>
        <row r="11723">
          <cell r="C11723" t="str">
            <v>劉子明</v>
          </cell>
          <cell r="F11723" t="str">
            <v>D260102R1</v>
          </cell>
          <cell r="J11723">
            <v>46050</v>
          </cell>
          <cell r="K11723">
            <v>8</v>
          </cell>
        </row>
        <row r="11724">
          <cell r="C11724" t="str">
            <v>劉子明</v>
          </cell>
          <cell r="F11724" t="str">
            <v>D260102R1</v>
          </cell>
          <cell r="J11724">
            <v>46051</v>
          </cell>
          <cell r="K11724">
            <v>8</v>
          </cell>
        </row>
        <row r="11725">
          <cell r="C11725" t="str">
            <v>劉子明</v>
          </cell>
          <cell r="F11725" t="str">
            <v>D260102R1</v>
          </cell>
          <cell r="J11725">
            <v>46055</v>
          </cell>
          <cell r="K11725">
            <v>8</v>
          </cell>
        </row>
        <row r="11726">
          <cell r="C11726" t="str">
            <v>劉子明</v>
          </cell>
          <cell r="J11726">
            <v>46056</v>
          </cell>
          <cell r="K11726">
            <v>8</v>
          </cell>
        </row>
        <row r="11727">
          <cell r="C11727" t="str">
            <v>劉子明</v>
          </cell>
          <cell r="J11727">
            <v>46057</v>
          </cell>
          <cell r="K11727">
            <v>8</v>
          </cell>
        </row>
        <row r="11728">
          <cell r="C11728" t="str">
            <v>劉子明</v>
          </cell>
          <cell r="J11728">
            <v>46058</v>
          </cell>
          <cell r="K11728">
            <v>8</v>
          </cell>
        </row>
        <row r="11729">
          <cell r="C11729" t="str">
            <v>劉子明</v>
          </cell>
          <cell r="J11729">
            <v>46059</v>
          </cell>
          <cell r="K11729">
            <v>8</v>
          </cell>
        </row>
        <row r="11730">
          <cell r="C11730" t="str">
            <v>劉子明</v>
          </cell>
          <cell r="J11730">
            <v>46062</v>
          </cell>
          <cell r="K11730">
            <v>8</v>
          </cell>
        </row>
        <row r="11731">
          <cell r="C11731" t="str">
            <v>劉子明</v>
          </cell>
          <cell r="J11731">
            <v>46063</v>
          </cell>
          <cell r="K11731">
            <v>8</v>
          </cell>
        </row>
        <row r="11732">
          <cell r="C11732" t="str">
            <v>劉子明</v>
          </cell>
          <cell r="J11732">
            <v>46064</v>
          </cell>
          <cell r="K11732">
            <v>8</v>
          </cell>
        </row>
        <row r="11733">
          <cell r="C11733" t="str">
            <v>劉子明</v>
          </cell>
          <cell r="J11733">
            <v>46072</v>
          </cell>
          <cell r="K11733">
            <v>8</v>
          </cell>
        </row>
        <row r="11734">
          <cell r="C11734" t="str">
            <v>劉子明</v>
          </cell>
          <cell r="J11734">
            <v>46073</v>
          </cell>
          <cell r="K11734">
            <v>8</v>
          </cell>
        </row>
        <row r="11735">
          <cell r="C11735" t="str">
            <v>劉子明</v>
          </cell>
          <cell r="J11735">
            <v>46076</v>
          </cell>
          <cell r="K11735">
            <v>8</v>
          </cell>
        </row>
        <row r="11736">
          <cell r="C11736" t="str">
            <v>劉子明</v>
          </cell>
          <cell r="J11736">
            <v>46077</v>
          </cell>
          <cell r="K11736">
            <v>8</v>
          </cell>
        </row>
        <row r="11737">
          <cell r="C11737" t="str">
            <v>劉子明</v>
          </cell>
          <cell r="J11737">
            <v>46078</v>
          </cell>
          <cell r="K11737">
            <v>8</v>
          </cell>
        </row>
        <row r="11738">
          <cell r="C11738" t="str">
            <v>劉子明</v>
          </cell>
          <cell r="J11738">
            <v>46079</v>
          </cell>
          <cell r="K11738">
            <v>8</v>
          </cell>
        </row>
        <row r="11739">
          <cell r="C11739" t="str">
            <v>劉子明</v>
          </cell>
          <cell r="J11739">
            <v>46083</v>
          </cell>
          <cell r="K11739">
            <v>8</v>
          </cell>
        </row>
        <row r="11740">
          <cell r="C11740" t="str">
            <v>劉子明</v>
          </cell>
          <cell r="F11740" t="str">
            <v>D260102R1</v>
          </cell>
          <cell r="J11740">
            <v>46084</v>
          </cell>
          <cell r="K11740">
            <v>4</v>
          </cell>
        </row>
        <row r="11741">
          <cell r="C11741" t="str">
            <v>劉子明</v>
          </cell>
          <cell r="J11741">
            <v>46084</v>
          </cell>
          <cell r="K11741">
            <v>4</v>
          </cell>
        </row>
        <row r="11742">
          <cell r="C11742" t="str">
            <v>劉子明</v>
          </cell>
          <cell r="J11742">
            <v>46085</v>
          </cell>
          <cell r="K11742">
            <v>3</v>
          </cell>
        </row>
        <row r="11743">
          <cell r="C11743" t="str">
            <v>劉子明</v>
          </cell>
          <cell r="F11743" t="str">
            <v>D260102R1</v>
          </cell>
          <cell r="J11743">
            <v>46085</v>
          </cell>
          <cell r="K11743">
            <v>1</v>
          </cell>
        </row>
        <row r="11744">
          <cell r="C11744" t="str">
            <v>劉子明</v>
          </cell>
          <cell r="J11744">
            <v>46085</v>
          </cell>
          <cell r="K11744">
            <v>1</v>
          </cell>
        </row>
        <row r="11745">
          <cell r="C11745" t="str">
            <v>劉子明</v>
          </cell>
          <cell r="J11745">
            <v>46085</v>
          </cell>
          <cell r="K11745">
            <v>1</v>
          </cell>
        </row>
        <row r="11746">
          <cell r="C11746" t="str">
            <v>劉子明</v>
          </cell>
          <cell r="J11746">
            <v>46085</v>
          </cell>
          <cell r="K11746">
            <v>2</v>
          </cell>
        </row>
        <row r="11747">
          <cell r="C11747" t="str">
            <v>劉子明</v>
          </cell>
          <cell r="J11747">
            <v>46086</v>
          </cell>
          <cell r="K11747">
            <v>8</v>
          </cell>
        </row>
        <row r="11748">
          <cell r="C11748" t="str">
            <v>劉子明</v>
          </cell>
          <cell r="F11748" t="str">
            <v>D260102R1</v>
          </cell>
          <cell r="J11748">
            <v>46087</v>
          </cell>
          <cell r="K11748">
            <v>8</v>
          </cell>
        </row>
        <row r="11749">
          <cell r="C11749" t="str">
            <v>劉子明</v>
          </cell>
          <cell r="J11749">
            <v>46090</v>
          </cell>
          <cell r="K11749">
            <v>8</v>
          </cell>
        </row>
        <row r="11750">
          <cell r="C11750" t="str">
            <v>劉子明</v>
          </cell>
          <cell r="J11750">
            <v>46091</v>
          </cell>
          <cell r="K11750">
            <v>8</v>
          </cell>
        </row>
        <row r="11751">
          <cell r="C11751" t="str">
            <v>劉子明</v>
          </cell>
          <cell r="J11751">
            <v>46092</v>
          </cell>
          <cell r="K11751">
            <v>8</v>
          </cell>
        </row>
        <row r="11752">
          <cell r="C11752" t="str">
            <v>劉子明</v>
          </cell>
          <cell r="J11752">
            <v>46093</v>
          </cell>
          <cell r="K11752">
            <v>8</v>
          </cell>
        </row>
        <row r="11753">
          <cell r="C11753" t="str">
            <v>劉子明</v>
          </cell>
          <cell r="F11753" t="str">
            <v>D260102R1</v>
          </cell>
          <cell r="J11753">
            <v>46094</v>
          </cell>
          <cell r="K11753">
            <v>8</v>
          </cell>
        </row>
        <row r="11754">
          <cell r="C11754" t="str">
            <v>劉子明</v>
          </cell>
          <cell r="F11754" t="str">
            <v>D260102R1</v>
          </cell>
          <cell r="J11754">
            <v>46097</v>
          </cell>
          <cell r="K11754">
            <v>8</v>
          </cell>
        </row>
        <row r="11755">
          <cell r="C11755" t="str">
            <v>劉子明</v>
          </cell>
          <cell r="J11755">
            <v>46098</v>
          </cell>
          <cell r="K11755">
            <v>5</v>
          </cell>
        </row>
        <row r="11756">
          <cell r="C11756" t="str">
            <v>劉子明</v>
          </cell>
          <cell r="J11756">
            <v>46098</v>
          </cell>
          <cell r="K11756">
            <v>3</v>
          </cell>
        </row>
        <row r="11757">
          <cell r="C11757" t="str">
            <v>劉子明</v>
          </cell>
          <cell r="J11757">
            <v>46099</v>
          </cell>
          <cell r="K11757">
            <v>8</v>
          </cell>
        </row>
        <row r="11758">
          <cell r="C11758" t="str">
            <v>劉子明</v>
          </cell>
          <cell r="J11758">
            <v>46100</v>
          </cell>
          <cell r="K11758">
            <v>8</v>
          </cell>
        </row>
        <row r="11759">
          <cell r="C11759" t="str">
            <v>劉子明</v>
          </cell>
          <cell r="J11759">
            <v>46101</v>
          </cell>
          <cell r="K11759">
            <v>8</v>
          </cell>
        </row>
        <row r="11760">
          <cell r="C11760" t="str">
            <v>劉子明</v>
          </cell>
          <cell r="J11760">
            <v>46104</v>
          </cell>
          <cell r="K11760">
            <v>8</v>
          </cell>
        </row>
        <row r="11761">
          <cell r="C11761" t="str">
            <v>劉子明</v>
          </cell>
          <cell r="J11761">
            <v>46105</v>
          </cell>
          <cell r="K11761">
            <v>8</v>
          </cell>
        </row>
        <row r="11762">
          <cell r="C11762" t="str">
            <v>劉子明</v>
          </cell>
          <cell r="J11762">
            <v>46106</v>
          </cell>
          <cell r="K11762">
            <v>8</v>
          </cell>
        </row>
        <row r="11763">
          <cell r="C11763" t="str">
            <v>劉子明</v>
          </cell>
          <cell r="J11763">
            <v>46107</v>
          </cell>
          <cell r="K11763">
            <v>8</v>
          </cell>
        </row>
        <row r="11764">
          <cell r="C11764" t="str">
            <v>劉子明</v>
          </cell>
          <cell r="J11764">
            <v>46108</v>
          </cell>
          <cell r="K11764">
            <v>8</v>
          </cell>
        </row>
        <row r="11765">
          <cell r="C11765" t="str">
            <v>劉子明</v>
          </cell>
          <cell r="J11765">
            <v>46111</v>
          </cell>
          <cell r="K11765">
            <v>8</v>
          </cell>
        </row>
        <row r="11766">
          <cell r="C11766" t="str">
            <v>劉子明</v>
          </cell>
          <cell r="J11766">
            <v>46112</v>
          </cell>
          <cell r="K11766">
            <v>4</v>
          </cell>
        </row>
        <row r="11767">
          <cell r="C11767" t="str">
            <v>劉子明</v>
          </cell>
          <cell r="J11767">
            <v>46112</v>
          </cell>
          <cell r="K11767">
            <v>4</v>
          </cell>
        </row>
        <row r="11768">
          <cell r="C11768" t="str">
            <v>劉子明</v>
          </cell>
          <cell r="J11768">
            <v>46113</v>
          </cell>
          <cell r="K11768">
            <v>4</v>
          </cell>
        </row>
        <row r="11769">
          <cell r="C11769" t="str">
            <v>劉子明</v>
          </cell>
          <cell r="F11769" t="str">
            <v>D260102R1</v>
          </cell>
          <cell r="J11769">
            <v>46113</v>
          </cell>
          <cell r="K11769">
            <v>4</v>
          </cell>
        </row>
        <row r="11770">
          <cell r="C11770" t="str">
            <v>劉子明</v>
          </cell>
          <cell r="J11770">
            <v>46119</v>
          </cell>
          <cell r="K11770">
            <v>8</v>
          </cell>
        </row>
        <row r="11771">
          <cell r="C11771" t="str">
            <v>劉子明</v>
          </cell>
          <cell r="J11771">
            <v>46120</v>
          </cell>
          <cell r="K11771">
            <v>4</v>
          </cell>
        </row>
        <row r="11772">
          <cell r="C11772" t="str">
            <v>劉子明</v>
          </cell>
          <cell r="J11772">
            <v>46120</v>
          </cell>
          <cell r="K11772">
            <v>4</v>
          </cell>
        </row>
        <row r="11773">
          <cell r="C11773" t="str">
            <v>劉子明</v>
          </cell>
          <cell r="J11773">
            <v>46121</v>
          </cell>
          <cell r="K11773">
            <v>8</v>
          </cell>
        </row>
        <row r="11774">
          <cell r="C11774" t="str">
            <v>劉子明</v>
          </cell>
          <cell r="J11774">
            <v>46122</v>
          </cell>
          <cell r="K11774">
            <v>8</v>
          </cell>
        </row>
        <row r="11775">
          <cell r="C11775" t="str">
            <v>劉子明</v>
          </cell>
          <cell r="F11775" t="str">
            <v>D260102R1</v>
          </cell>
          <cell r="J11775">
            <v>46125</v>
          </cell>
          <cell r="K11775">
            <v>8</v>
          </cell>
        </row>
        <row r="11776">
          <cell r="C11776" t="str">
            <v>劉子明</v>
          </cell>
          <cell r="J11776">
            <v>46126</v>
          </cell>
          <cell r="K11776">
            <v>5</v>
          </cell>
        </row>
        <row r="11777">
          <cell r="C11777" t="str">
            <v>劉子明</v>
          </cell>
          <cell r="F11777" t="str">
            <v>D260102R1</v>
          </cell>
          <cell r="J11777">
            <v>46126</v>
          </cell>
          <cell r="K11777">
            <v>3</v>
          </cell>
        </row>
        <row r="11778">
          <cell r="C11778" t="str">
            <v>劉子明</v>
          </cell>
          <cell r="J11778">
            <v>46127</v>
          </cell>
          <cell r="K11778">
            <v>8</v>
          </cell>
        </row>
        <row r="11779">
          <cell r="C11779" t="str">
            <v>劉子明</v>
          </cell>
          <cell r="J11779">
            <v>46128</v>
          </cell>
          <cell r="K11779">
            <v>6</v>
          </cell>
        </row>
        <row r="11780">
          <cell r="C11780" t="str">
            <v>劉子明</v>
          </cell>
          <cell r="J11780">
            <v>46128</v>
          </cell>
          <cell r="K11780">
            <v>2</v>
          </cell>
        </row>
        <row r="11781">
          <cell r="C11781" t="str">
            <v>劉子明</v>
          </cell>
          <cell r="J11781">
            <v>46129</v>
          </cell>
          <cell r="K11781">
            <v>6</v>
          </cell>
        </row>
        <row r="11782">
          <cell r="C11782" t="str">
            <v>劉子明</v>
          </cell>
          <cell r="J11782">
            <v>46129</v>
          </cell>
          <cell r="K11782">
            <v>2</v>
          </cell>
        </row>
        <row r="11783">
          <cell r="C11783" t="str">
            <v>劉子明</v>
          </cell>
          <cell r="J11783">
            <v>46132</v>
          </cell>
          <cell r="K11783">
            <v>4</v>
          </cell>
        </row>
        <row r="11784">
          <cell r="C11784" t="str">
            <v>劉子明</v>
          </cell>
          <cell r="J11784">
            <v>46132</v>
          </cell>
          <cell r="K11784">
            <v>4</v>
          </cell>
        </row>
        <row r="11785">
          <cell r="C11785" t="str">
            <v>劉子明</v>
          </cell>
          <cell r="J11785">
            <v>46133</v>
          </cell>
          <cell r="K11785">
            <v>4</v>
          </cell>
        </row>
        <row r="11786">
          <cell r="C11786" t="str">
            <v>劉子明</v>
          </cell>
          <cell r="J11786">
            <v>46133</v>
          </cell>
          <cell r="K11786">
            <v>4</v>
          </cell>
        </row>
        <row r="11787">
          <cell r="C11787" t="str">
            <v>劉子明</v>
          </cell>
          <cell r="J11787">
            <v>46134</v>
          </cell>
          <cell r="K11787">
            <v>4</v>
          </cell>
        </row>
        <row r="11788">
          <cell r="C11788" t="str">
            <v>劉子明</v>
          </cell>
          <cell r="J11788">
            <v>46134</v>
          </cell>
          <cell r="K11788">
            <v>4</v>
          </cell>
        </row>
        <row r="11789">
          <cell r="C11789" t="str">
            <v>劉子明</v>
          </cell>
          <cell r="J11789">
            <v>46135</v>
          </cell>
          <cell r="K11789">
            <v>8</v>
          </cell>
        </row>
        <row r="11790">
          <cell r="C11790" t="str">
            <v>劉子明</v>
          </cell>
          <cell r="J11790">
            <v>46136</v>
          </cell>
          <cell r="K11790">
            <v>8</v>
          </cell>
        </row>
        <row r="11791">
          <cell r="C11791" t="str">
            <v>劉子明</v>
          </cell>
          <cell r="J11791">
            <v>46139</v>
          </cell>
          <cell r="K11791">
            <v>4</v>
          </cell>
        </row>
        <row r="11792">
          <cell r="C11792" t="str">
            <v>劉子明</v>
          </cell>
          <cell r="F11792" t="str">
            <v>D260102R1</v>
          </cell>
          <cell r="J11792">
            <v>46139</v>
          </cell>
          <cell r="K11792">
            <v>4</v>
          </cell>
        </row>
        <row r="11793">
          <cell r="C11793" t="str">
            <v>劉子明</v>
          </cell>
          <cell r="J11793">
            <v>46140</v>
          </cell>
          <cell r="K11793">
            <v>4</v>
          </cell>
        </row>
        <row r="11794">
          <cell r="C11794" t="str">
            <v>劉子明</v>
          </cell>
          <cell r="J11794">
            <v>46140</v>
          </cell>
          <cell r="K11794">
            <v>4</v>
          </cell>
        </row>
        <row r="11795">
          <cell r="C11795" t="str">
            <v>劉子明</v>
          </cell>
          <cell r="J11795">
            <v>46141</v>
          </cell>
          <cell r="K11795">
            <v>2</v>
          </cell>
        </row>
        <row r="11796">
          <cell r="C11796" t="str">
            <v>劉子明</v>
          </cell>
          <cell r="J11796">
            <v>46141</v>
          </cell>
          <cell r="K11796">
            <v>6</v>
          </cell>
        </row>
        <row r="11797">
          <cell r="C11797" t="str">
            <v>劉子明</v>
          </cell>
          <cell r="J11797">
            <v>46142</v>
          </cell>
          <cell r="K11797">
            <v>4</v>
          </cell>
        </row>
        <row r="11798">
          <cell r="C11798" t="str">
            <v>劉子明</v>
          </cell>
          <cell r="J11798">
            <v>46142</v>
          </cell>
          <cell r="K11798">
            <v>2</v>
          </cell>
        </row>
        <row r="11799">
          <cell r="C11799" t="str">
            <v>劉子明</v>
          </cell>
          <cell r="J11799">
            <v>46142</v>
          </cell>
          <cell r="K11799">
            <v>2</v>
          </cell>
        </row>
        <row r="11800">
          <cell r="C11800" t="str">
            <v>劉子明</v>
          </cell>
          <cell r="J11800">
            <v>46146</v>
          </cell>
          <cell r="K11800">
            <v>4</v>
          </cell>
        </row>
        <row r="11801">
          <cell r="C11801" t="str">
            <v>劉子明</v>
          </cell>
          <cell r="J11801">
            <v>46146</v>
          </cell>
          <cell r="K11801">
            <v>4</v>
          </cell>
        </row>
        <row r="11802">
          <cell r="C11802" t="str">
            <v>劉子明</v>
          </cell>
          <cell r="J11802">
            <v>46147</v>
          </cell>
          <cell r="K11802">
            <v>4</v>
          </cell>
        </row>
        <row r="11803">
          <cell r="C11803" t="str">
            <v>劉子明</v>
          </cell>
          <cell r="J11803">
            <v>46147</v>
          </cell>
          <cell r="K11803">
            <v>3</v>
          </cell>
        </row>
        <row r="11804">
          <cell r="C11804" t="str">
            <v>劉子明</v>
          </cell>
          <cell r="J11804">
            <v>46147</v>
          </cell>
          <cell r="K11804">
            <v>1</v>
          </cell>
        </row>
        <row r="11805">
          <cell r="C11805" t="str">
            <v>劉子明</v>
          </cell>
          <cell r="J11805">
            <v>46148</v>
          </cell>
          <cell r="K11805">
            <v>8</v>
          </cell>
        </row>
        <row r="11806">
          <cell r="C11806" t="str">
            <v>劉子明</v>
          </cell>
          <cell r="J11806">
            <v>46149</v>
          </cell>
          <cell r="K11806">
            <v>8</v>
          </cell>
        </row>
        <row r="11807">
          <cell r="C11807" t="str">
            <v>劉子明</v>
          </cell>
          <cell r="J11807">
            <v>46150</v>
          </cell>
          <cell r="K11807">
            <v>8</v>
          </cell>
        </row>
        <row r="11808">
          <cell r="C11808" t="str">
            <v>劉子明</v>
          </cell>
          <cell r="J11808">
            <v>46153</v>
          </cell>
          <cell r="K11808">
            <v>3</v>
          </cell>
        </row>
        <row r="11809">
          <cell r="C11809" t="str">
            <v>劉子明</v>
          </cell>
          <cell r="J11809">
            <v>46153</v>
          </cell>
          <cell r="K11809">
            <v>3</v>
          </cell>
        </row>
        <row r="11810">
          <cell r="C11810" t="str">
            <v>劉子明</v>
          </cell>
          <cell r="J11810">
            <v>46153</v>
          </cell>
          <cell r="K11810">
            <v>2</v>
          </cell>
        </row>
        <row r="11811">
          <cell r="C11811" t="str">
            <v>劉子明</v>
          </cell>
          <cell r="J11811">
            <v>46154</v>
          </cell>
          <cell r="K11811">
            <v>4</v>
          </cell>
        </row>
        <row r="11812">
          <cell r="C11812" t="str">
            <v>劉子明</v>
          </cell>
          <cell r="J11812">
            <v>46154</v>
          </cell>
          <cell r="K11812">
            <v>4</v>
          </cell>
        </row>
        <row r="11813">
          <cell r="C11813" t="str">
            <v>劉子明</v>
          </cell>
          <cell r="J11813">
            <v>46155</v>
          </cell>
          <cell r="K11813">
            <v>4</v>
          </cell>
        </row>
        <row r="11814">
          <cell r="C11814" t="str">
            <v>劉子明</v>
          </cell>
          <cell r="J11814">
            <v>46155</v>
          </cell>
          <cell r="K11814">
            <v>4</v>
          </cell>
        </row>
        <row r="11815">
          <cell r="C11815" t="str">
            <v>劉子明</v>
          </cell>
          <cell r="J11815">
            <v>46156</v>
          </cell>
          <cell r="K11815">
            <v>4</v>
          </cell>
        </row>
        <row r="11816">
          <cell r="C11816" t="str">
            <v>林光宇</v>
          </cell>
          <cell r="J11816">
            <v>45566</v>
          </cell>
          <cell r="K11816">
            <v>4</v>
          </cell>
        </row>
        <row r="11817">
          <cell r="C11817" t="str">
            <v>林光宇</v>
          </cell>
          <cell r="F11817" t="str">
            <v>M240201R1</v>
          </cell>
          <cell r="J11817">
            <v>45566</v>
          </cell>
          <cell r="K11817">
            <v>4</v>
          </cell>
        </row>
        <row r="11818">
          <cell r="C11818" t="str">
            <v>林光宇</v>
          </cell>
          <cell r="J11818">
            <v>45567</v>
          </cell>
          <cell r="K11818">
            <v>8</v>
          </cell>
        </row>
        <row r="11819">
          <cell r="C11819" t="str">
            <v>林光宇</v>
          </cell>
          <cell r="J11819">
            <v>45568</v>
          </cell>
          <cell r="K11819">
            <v>8</v>
          </cell>
        </row>
        <row r="11820">
          <cell r="C11820" t="str">
            <v>林光宇</v>
          </cell>
          <cell r="J11820">
            <v>45569</v>
          </cell>
          <cell r="K11820">
            <v>4</v>
          </cell>
        </row>
        <row r="11821">
          <cell r="C11821" t="str">
            <v>林光宇</v>
          </cell>
          <cell r="F11821" t="str">
            <v>M240201R1</v>
          </cell>
          <cell r="J11821">
            <v>45569</v>
          </cell>
          <cell r="K11821">
            <v>4</v>
          </cell>
        </row>
        <row r="11822">
          <cell r="C11822" t="str">
            <v>林光宇</v>
          </cell>
          <cell r="J11822">
            <v>45572</v>
          </cell>
          <cell r="K11822">
            <v>8</v>
          </cell>
        </row>
        <row r="11823">
          <cell r="C11823" t="str">
            <v>林光宇</v>
          </cell>
          <cell r="J11823">
            <v>45573</v>
          </cell>
          <cell r="K11823">
            <v>2</v>
          </cell>
        </row>
        <row r="11824">
          <cell r="C11824" t="str">
            <v>林光宇</v>
          </cell>
          <cell r="F11824" t="str">
            <v>K201002R2</v>
          </cell>
          <cell r="J11824">
            <v>45573</v>
          </cell>
          <cell r="K11824">
            <v>6</v>
          </cell>
        </row>
        <row r="11825">
          <cell r="C11825" t="str">
            <v>林光宇</v>
          </cell>
          <cell r="F11825" t="str">
            <v>K201002R2</v>
          </cell>
          <cell r="J11825">
            <v>45574</v>
          </cell>
          <cell r="K11825">
            <v>8</v>
          </cell>
        </row>
        <row r="11826">
          <cell r="C11826" t="str">
            <v>林光宇</v>
          </cell>
          <cell r="F11826" t="str">
            <v>K201002R2</v>
          </cell>
          <cell r="J11826">
            <v>45576</v>
          </cell>
          <cell r="K11826">
            <v>8</v>
          </cell>
        </row>
        <row r="11827">
          <cell r="C11827" t="str">
            <v>林光宇</v>
          </cell>
          <cell r="F11827" t="str">
            <v>K201002R2</v>
          </cell>
          <cell r="J11827">
            <v>45579</v>
          </cell>
          <cell r="K11827">
            <v>8</v>
          </cell>
        </row>
        <row r="11828">
          <cell r="C11828" t="str">
            <v>林光宇</v>
          </cell>
          <cell r="F11828" t="str">
            <v>K201002R2</v>
          </cell>
          <cell r="J11828">
            <v>45580</v>
          </cell>
          <cell r="K11828">
            <v>8</v>
          </cell>
        </row>
        <row r="11829">
          <cell r="C11829" t="str">
            <v>林光宇</v>
          </cell>
          <cell r="F11829" t="str">
            <v>K201002R2</v>
          </cell>
          <cell r="J11829">
            <v>45581</v>
          </cell>
          <cell r="K11829">
            <v>8</v>
          </cell>
        </row>
        <row r="11830">
          <cell r="C11830" t="str">
            <v>林光宇</v>
          </cell>
          <cell r="J11830">
            <v>45582</v>
          </cell>
          <cell r="K11830">
            <v>8</v>
          </cell>
        </row>
        <row r="11831">
          <cell r="C11831" t="str">
            <v>林光宇</v>
          </cell>
          <cell r="F11831" t="str">
            <v>K201002R2</v>
          </cell>
          <cell r="J11831">
            <v>45583</v>
          </cell>
          <cell r="K11831">
            <v>2</v>
          </cell>
        </row>
        <row r="11832">
          <cell r="C11832" t="str">
            <v>林光宇</v>
          </cell>
          <cell r="J11832">
            <v>45583</v>
          </cell>
          <cell r="K11832">
            <v>4</v>
          </cell>
        </row>
        <row r="11833">
          <cell r="C11833" t="str">
            <v>林光宇</v>
          </cell>
          <cell r="J11833">
            <v>45583</v>
          </cell>
          <cell r="K11833">
            <v>2</v>
          </cell>
        </row>
        <row r="11834">
          <cell r="C11834" t="str">
            <v>林光宇</v>
          </cell>
          <cell r="J11834">
            <v>45586</v>
          </cell>
          <cell r="K11834">
            <v>6</v>
          </cell>
        </row>
        <row r="11835">
          <cell r="C11835" t="str">
            <v>林光宇</v>
          </cell>
          <cell r="J11835">
            <v>45586</v>
          </cell>
          <cell r="K11835">
            <v>2</v>
          </cell>
        </row>
        <row r="11836">
          <cell r="C11836" t="str">
            <v>林光宇</v>
          </cell>
          <cell r="J11836">
            <v>45587</v>
          </cell>
          <cell r="K11836">
            <v>6</v>
          </cell>
        </row>
        <row r="11837">
          <cell r="C11837" t="str">
            <v>林光宇</v>
          </cell>
          <cell r="J11837">
            <v>45587</v>
          </cell>
          <cell r="K11837">
            <v>2</v>
          </cell>
        </row>
        <row r="11838">
          <cell r="C11838" t="str">
            <v>林光宇</v>
          </cell>
          <cell r="J11838">
            <v>45588</v>
          </cell>
          <cell r="K11838">
            <v>8</v>
          </cell>
        </row>
        <row r="11839">
          <cell r="C11839" t="str">
            <v>林光宇</v>
          </cell>
          <cell r="J11839">
            <v>45589</v>
          </cell>
          <cell r="K11839">
            <v>0.5</v>
          </cell>
        </row>
        <row r="11840">
          <cell r="C11840" t="str">
            <v>林光宇</v>
          </cell>
          <cell r="J11840">
            <v>45589</v>
          </cell>
          <cell r="K11840">
            <v>2</v>
          </cell>
        </row>
        <row r="11841">
          <cell r="C11841" t="str">
            <v>林光宇</v>
          </cell>
          <cell r="J11841">
            <v>45589</v>
          </cell>
          <cell r="K11841">
            <v>2</v>
          </cell>
        </row>
        <row r="11842">
          <cell r="C11842" t="str">
            <v>林光宇</v>
          </cell>
          <cell r="J11842">
            <v>45589</v>
          </cell>
          <cell r="K11842">
            <v>1</v>
          </cell>
        </row>
        <row r="11843">
          <cell r="C11843" t="str">
            <v>林光宇</v>
          </cell>
          <cell r="J11843">
            <v>45589</v>
          </cell>
          <cell r="K11843">
            <v>2</v>
          </cell>
        </row>
        <row r="11844">
          <cell r="C11844" t="str">
            <v>林光宇</v>
          </cell>
          <cell r="J11844">
            <v>45589</v>
          </cell>
          <cell r="K11844">
            <v>0.5</v>
          </cell>
        </row>
        <row r="11845">
          <cell r="C11845" t="str">
            <v>林光宇</v>
          </cell>
          <cell r="J11845">
            <v>45590</v>
          </cell>
          <cell r="K11845">
            <v>0.5</v>
          </cell>
        </row>
        <row r="11846">
          <cell r="C11846" t="str">
            <v>林光宇</v>
          </cell>
          <cell r="J11846">
            <v>45590</v>
          </cell>
          <cell r="K11846">
            <v>1</v>
          </cell>
        </row>
        <row r="11847">
          <cell r="C11847" t="str">
            <v>林光宇</v>
          </cell>
          <cell r="J11847">
            <v>45590</v>
          </cell>
          <cell r="K11847">
            <v>1.5</v>
          </cell>
        </row>
        <row r="11848">
          <cell r="C11848" t="str">
            <v>林光宇</v>
          </cell>
          <cell r="J11848">
            <v>45590</v>
          </cell>
          <cell r="K11848">
            <v>1</v>
          </cell>
        </row>
        <row r="11849">
          <cell r="C11849" t="str">
            <v>林光宇</v>
          </cell>
          <cell r="J11849">
            <v>45590</v>
          </cell>
          <cell r="K11849">
            <v>4</v>
          </cell>
        </row>
        <row r="11850">
          <cell r="C11850" t="str">
            <v>林光宇</v>
          </cell>
          <cell r="J11850">
            <v>45593</v>
          </cell>
          <cell r="K11850">
            <v>4</v>
          </cell>
        </row>
        <row r="11851">
          <cell r="C11851" t="str">
            <v>林光宇</v>
          </cell>
          <cell r="J11851">
            <v>45593</v>
          </cell>
          <cell r="K11851">
            <v>3</v>
          </cell>
        </row>
        <row r="11852">
          <cell r="C11852" t="str">
            <v>林光宇</v>
          </cell>
          <cell r="J11852">
            <v>45593</v>
          </cell>
          <cell r="K11852">
            <v>1</v>
          </cell>
        </row>
        <row r="11853">
          <cell r="C11853" t="str">
            <v>林光宇</v>
          </cell>
          <cell r="F11853" t="str">
            <v>M240703R1</v>
          </cell>
          <cell r="J11853">
            <v>45594</v>
          </cell>
          <cell r="K11853">
            <v>7</v>
          </cell>
        </row>
        <row r="11854">
          <cell r="C11854" t="str">
            <v>林光宇</v>
          </cell>
          <cell r="J11854">
            <v>45594</v>
          </cell>
          <cell r="K11854">
            <v>1</v>
          </cell>
        </row>
        <row r="11855">
          <cell r="C11855" t="str">
            <v>林光宇</v>
          </cell>
          <cell r="J11855">
            <v>45595</v>
          </cell>
          <cell r="K11855">
            <v>1</v>
          </cell>
        </row>
        <row r="11856">
          <cell r="C11856" t="str">
            <v>林光宇</v>
          </cell>
          <cell r="J11856">
            <v>45595</v>
          </cell>
          <cell r="K11856">
            <v>2</v>
          </cell>
        </row>
        <row r="11857">
          <cell r="C11857" t="str">
            <v>林光宇</v>
          </cell>
          <cell r="F11857" t="str">
            <v>M240703R1</v>
          </cell>
          <cell r="J11857">
            <v>45595</v>
          </cell>
          <cell r="K11857">
            <v>2</v>
          </cell>
        </row>
        <row r="11858">
          <cell r="C11858" t="str">
            <v>林光宇</v>
          </cell>
          <cell r="J11858">
            <v>45595</v>
          </cell>
          <cell r="K11858">
            <v>1</v>
          </cell>
        </row>
        <row r="11859">
          <cell r="C11859" t="str">
            <v>林光宇</v>
          </cell>
          <cell r="J11859">
            <v>45595</v>
          </cell>
          <cell r="K11859">
            <v>1</v>
          </cell>
        </row>
        <row r="11860">
          <cell r="C11860" t="str">
            <v>林光宇</v>
          </cell>
          <cell r="J11860">
            <v>45595</v>
          </cell>
          <cell r="K11860">
            <v>1</v>
          </cell>
        </row>
        <row r="11861">
          <cell r="C11861" t="str">
            <v>林光宇</v>
          </cell>
          <cell r="J11861">
            <v>45596</v>
          </cell>
          <cell r="K11861">
            <v>8</v>
          </cell>
        </row>
        <row r="11862">
          <cell r="C11862" t="str">
            <v>林光宇</v>
          </cell>
          <cell r="J11862">
            <v>45597</v>
          </cell>
          <cell r="K11862">
            <v>2</v>
          </cell>
        </row>
        <row r="11863">
          <cell r="C11863" t="str">
            <v>林光宇</v>
          </cell>
          <cell r="J11863">
            <v>45597</v>
          </cell>
          <cell r="K11863">
            <v>2</v>
          </cell>
        </row>
        <row r="11864">
          <cell r="C11864" t="str">
            <v>林光宇</v>
          </cell>
          <cell r="J11864">
            <v>45597</v>
          </cell>
          <cell r="K11864">
            <v>2</v>
          </cell>
        </row>
        <row r="11865">
          <cell r="C11865" t="str">
            <v>林光宇</v>
          </cell>
          <cell r="J11865">
            <v>45597</v>
          </cell>
          <cell r="K11865">
            <v>2</v>
          </cell>
        </row>
        <row r="11866">
          <cell r="C11866" t="str">
            <v>林光宇</v>
          </cell>
          <cell r="F11866" t="str">
            <v>M240703R1</v>
          </cell>
          <cell r="J11866">
            <v>45600</v>
          </cell>
          <cell r="K11866">
            <v>4</v>
          </cell>
        </row>
        <row r="11867">
          <cell r="C11867" t="str">
            <v>林光宇</v>
          </cell>
          <cell r="J11867">
            <v>45600</v>
          </cell>
          <cell r="K11867">
            <v>0.5</v>
          </cell>
        </row>
        <row r="11868">
          <cell r="C11868" t="str">
            <v>林光宇</v>
          </cell>
          <cell r="J11868">
            <v>45600</v>
          </cell>
          <cell r="K11868">
            <v>2</v>
          </cell>
        </row>
        <row r="11869">
          <cell r="C11869" t="str">
            <v>林光宇</v>
          </cell>
          <cell r="J11869">
            <v>45600</v>
          </cell>
          <cell r="K11869">
            <v>1.5</v>
          </cell>
        </row>
        <row r="11870">
          <cell r="C11870" t="str">
            <v>林光宇</v>
          </cell>
          <cell r="F11870" t="str">
            <v>M240703R1</v>
          </cell>
          <cell r="J11870">
            <v>45601</v>
          </cell>
          <cell r="K11870">
            <v>4</v>
          </cell>
        </row>
        <row r="11871">
          <cell r="C11871" t="str">
            <v>林光宇</v>
          </cell>
          <cell r="J11871">
            <v>45601</v>
          </cell>
          <cell r="K11871">
            <v>4</v>
          </cell>
        </row>
        <row r="11872">
          <cell r="C11872" t="str">
            <v>林光宇</v>
          </cell>
          <cell r="J11872">
            <v>45602</v>
          </cell>
          <cell r="K11872">
            <v>4</v>
          </cell>
        </row>
        <row r="11873">
          <cell r="C11873" t="str">
            <v>林光宇</v>
          </cell>
          <cell r="F11873" t="str">
            <v>M240703R1</v>
          </cell>
          <cell r="J11873">
            <v>45602</v>
          </cell>
          <cell r="K11873">
            <v>4</v>
          </cell>
        </row>
        <row r="11874">
          <cell r="C11874" t="str">
            <v>林光宇</v>
          </cell>
          <cell r="J11874">
            <v>45603</v>
          </cell>
          <cell r="K11874">
            <v>4</v>
          </cell>
        </row>
        <row r="11875">
          <cell r="C11875" t="str">
            <v>林光宇</v>
          </cell>
          <cell r="F11875" t="str">
            <v>M240703R1</v>
          </cell>
          <cell r="J11875">
            <v>45603</v>
          </cell>
          <cell r="K11875">
            <v>4</v>
          </cell>
        </row>
        <row r="11876">
          <cell r="C11876" t="str">
            <v>林光宇</v>
          </cell>
          <cell r="F11876" t="str">
            <v>M240703R1</v>
          </cell>
          <cell r="J11876">
            <v>45604</v>
          </cell>
          <cell r="K11876">
            <v>4</v>
          </cell>
        </row>
        <row r="11877">
          <cell r="C11877" t="str">
            <v>林光宇</v>
          </cell>
          <cell r="J11877">
            <v>45604</v>
          </cell>
          <cell r="K11877">
            <v>4</v>
          </cell>
        </row>
        <row r="11878">
          <cell r="C11878" t="str">
            <v>林光宇</v>
          </cell>
          <cell r="J11878">
            <v>45607</v>
          </cell>
          <cell r="K11878">
            <v>1</v>
          </cell>
        </row>
        <row r="11879">
          <cell r="C11879" t="str">
            <v>林光宇</v>
          </cell>
          <cell r="F11879" t="str">
            <v>M240703R1</v>
          </cell>
          <cell r="J11879">
            <v>45607</v>
          </cell>
          <cell r="K11879">
            <v>5</v>
          </cell>
        </row>
        <row r="11880">
          <cell r="C11880" t="str">
            <v>林光宇</v>
          </cell>
          <cell r="J11880">
            <v>45607</v>
          </cell>
          <cell r="K11880">
            <v>2</v>
          </cell>
        </row>
        <row r="11881">
          <cell r="C11881" t="str">
            <v>林光宇</v>
          </cell>
          <cell r="F11881" t="str">
            <v>M240703R1</v>
          </cell>
          <cell r="J11881">
            <v>45608</v>
          </cell>
          <cell r="K11881">
            <v>5</v>
          </cell>
        </row>
        <row r="11882">
          <cell r="C11882" t="str">
            <v>林光宇</v>
          </cell>
          <cell r="J11882">
            <v>45608</v>
          </cell>
          <cell r="K11882">
            <v>3</v>
          </cell>
        </row>
        <row r="11883">
          <cell r="C11883" t="str">
            <v>林光宇</v>
          </cell>
          <cell r="F11883" t="str">
            <v>M240703R1</v>
          </cell>
          <cell r="J11883">
            <v>45609</v>
          </cell>
          <cell r="K11883">
            <v>2</v>
          </cell>
        </row>
        <row r="11884">
          <cell r="C11884" t="str">
            <v>林光宇</v>
          </cell>
          <cell r="J11884">
            <v>45609</v>
          </cell>
          <cell r="K11884">
            <v>6</v>
          </cell>
        </row>
        <row r="11885">
          <cell r="C11885" t="str">
            <v>林光宇</v>
          </cell>
          <cell r="F11885" t="str">
            <v>M240703R1</v>
          </cell>
          <cell r="J11885">
            <v>45610</v>
          </cell>
          <cell r="K11885">
            <v>2</v>
          </cell>
        </row>
        <row r="11886">
          <cell r="C11886" t="str">
            <v>林光宇</v>
          </cell>
          <cell r="J11886">
            <v>45610</v>
          </cell>
          <cell r="K11886">
            <v>6</v>
          </cell>
        </row>
        <row r="11887">
          <cell r="C11887" t="str">
            <v>林光宇</v>
          </cell>
          <cell r="J11887">
            <v>45611</v>
          </cell>
          <cell r="K11887">
            <v>4</v>
          </cell>
        </row>
        <row r="11888">
          <cell r="C11888" t="str">
            <v>林光宇</v>
          </cell>
          <cell r="F11888" t="str">
            <v>M240703R1</v>
          </cell>
          <cell r="J11888">
            <v>45611</v>
          </cell>
          <cell r="K11888">
            <v>4</v>
          </cell>
        </row>
        <row r="11889">
          <cell r="C11889" t="str">
            <v>林光宇</v>
          </cell>
          <cell r="J11889">
            <v>45614</v>
          </cell>
          <cell r="K11889">
            <v>8</v>
          </cell>
        </row>
        <row r="11890">
          <cell r="C11890" t="str">
            <v>林光宇</v>
          </cell>
          <cell r="J11890">
            <v>45615</v>
          </cell>
          <cell r="K11890">
            <v>1</v>
          </cell>
        </row>
        <row r="11891">
          <cell r="C11891" t="str">
            <v>林光宇</v>
          </cell>
          <cell r="J11891">
            <v>45615</v>
          </cell>
          <cell r="K11891">
            <v>7</v>
          </cell>
        </row>
        <row r="11892">
          <cell r="C11892" t="str">
            <v>林光宇</v>
          </cell>
          <cell r="J11892">
            <v>45616</v>
          </cell>
          <cell r="K11892">
            <v>7.5</v>
          </cell>
        </row>
        <row r="11893">
          <cell r="C11893" t="str">
            <v>林光宇</v>
          </cell>
          <cell r="J11893">
            <v>45616</v>
          </cell>
          <cell r="K11893">
            <v>0.5</v>
          </cell>
        </row>
        <row r="11894">
          <cell r="C11894" t="str">
            <v>林光宇</v>
          </cell>
          <cell r="J11894">
            <v>45617</v>
          </cell>
          <cell r="K11894">
            <v>6</v>
          </cell>
        </row>
        <row r="11895">
          <cell r="C11895" t="str">
            <v>林光宇</v>
          </cell>
          <cell r="J11895">
            <v>45617</v>
          </cell>
          <cell r="K11895">
            <v>2</v>
          </cell>
        </row>
        <row r="11896">
          <cell r="C11896" t="str">
            <v>林光宇</v>
          </cell>
          <cell r="J11896">
            <v>45618</v>
          </cell>
          <cell r="K11896">
            <v>8</v>
          </cell>
        </row>
        <row r="11897">
          <cell r="C11897" t="str">
            <v>林光宇</v>
          </cell>
          <cell r="J11897">
            <v>45621</v>
          </cell>
          <cell r="K11897">
            <v>4</v>
          </cell>
        </row>
        <row r="11898">
          <cell r="C11898" t="str">
            <v>林光宇</v>
          </cell>
          <cell r="J11898">
            <v>45621</v>
          </cell>
          <cell r="K11898">
            <v>4</v>
          </cell>
        </row>
        <row r="11899">
          <cell r="C11899" t="str">
            <v>林光宇</v>
          </cell>
          <cell r="J11899">
            <v>45622</v>
          </cell>
          <cell r="K11899">
            <v>5.5</v>
          </cell>
        </row>
        <row r="11900">
          <cell r="C11900" t="str">
            <v>林光宇</v>
          </cell>
          <cell r="J11900">
            <v>45622</v>
          </cell>
          <cell r="K11900">
            <v>2</v>
          </cell>
        </row>
        <row r="11901">
          <cell r="C11901" t="str">
            <v>林光宇</v>
          </cell>
          <cell r="J11901">
            <v>45622</v>
          </cell>
          <cell r="K11901">
            <v>0.5</v>
          </cell>
        </row>
        <row r="11902">
          <cell r="C11902" t="str">
            <v>林光宇</v>
          </cell>
          <cell r="J11902">
            <v>45623</v>
          </cell>
          <cell r="K11902">
            <v>3.5</v>
          </cell>
        </row>
        <row r="11903">
          <cell r="C11903" t="str">
            <v>林光宇</v>
          </cell>
          <cell r="J11903">
            <v>45623</v>
          </cell>
          <cell r="K11903">
            <v>1</v>
          </cell>
        </row>
        <row r="11904">
          <cell r="C11904" t="str">
            <v>林光宇</v>
          </cell>
          <cell r="J11904">
            <v>45623</v>
          </cell>
          <cell r="K11904">
            <v>1.5</v>
          </cell>
        </row>
        <row r="11905">
          <cell r="C11905" t="str">
            <v>林光宇</v>
          </cell>
          <cell r="J11905">
            <v>45623</v>
          </cell>
          <cell r="K11905">
            <v>2</v>
          </cell>
        </row>
        <row r="11906">
          <cell r="C11906" t="str">
            <v>林光宇</v>
          </cell>
          <cell r="J11906">
            <v>45624</v>
          </cell>
          <cell r="K11906">
            <v>0.5</v>
          </cell>
        </row>
        <row r="11907">
          <cell r="C11907" t="str">
            <v>林光宇</v>
          </cell>
          <cell r="J11907">
            <v>45624</v>
          </cell>
          <cell r="K11907">
            <v>1</v>
          </cell>
        </row>
        <row r="11908">
          <cell r="C11908" t="str">
            <v>林光宇</v>
          </cell>
          <cell r="J11908">
            <v>45624</v>
          </cell>
          <cell r="K11908">
            <v>3.5</v>
          </cell>
        </row>
        <row r="11909">
          <cell r="C11909" t="str">
            <v>林光宇</v>
          </cell>
          <cell r="J11909">
            <v>45624</v>
          </cell>
          <cell r="K11909">
            <v>3</v>
          </cell>
        </row>
        <row r="11910">
          <cell r="C11910" t="str">
            <v>林光宇</v>
          </cell>
          <cell r="J11910">
            <v>45625</v>
          </cell>
          <cell r="K11910">
            <v>6.5</v>
          </cell>
        </row>
        <row r="11911">
          <cell r="C11911" t="str">
            <v>林光宇</v>
          </cell>
          <cell r="J11911">
            <v>45625</v>
          </cell>
          <cell r="K11911">
            <v>1.5</v>
          </cell>
        </row>
        <row r="11912">
          <cell r="C11912" t="str">
            <v>林光宇</v>
          </cell>
          <cell r="J11912">
            <v>45628</v>
          </cell>
          <cell r="K11912">
            <v>4</v>
          </cell>
        </row>
        <row r="11913">
          <cell r="C11913" t="str">
            <v>林光宇</v>
          </cell>
          <cell r="J11913">
            <v>45628</v>
          </cell>
          <cell r="K11913">
            <v>3.5</v>
          </cell>
        </row>
        <row r="11914">
          <cell r="C11914" t="str">
            <v>林光宇</v>
          </cell>
          <cell r="J11914">
            <v>45628</v>
          </cell>
          <cell r="K11914">
            <v>0.5</v>
          </cell>
        </row>
        <row r="11915">
          <cell r="C11915" t="str">
            <v>林光宇</v>
          </cell>
          <cell r="J11915">
            <v>45629</v>
          </cell>
          <cell r="K11915">
            <v>6.5</v>
          </cell>
        </row>
        <row r="11916">
          <cell r="C11916" t="str">
            <v>林光宇</v>
          </cell>
          <cell r="J11916">
            <v>45629</v>
          </cell>
          <cell r="K11916">
            <v>1.5</v>
          </cell>
        </row>
        <row r="11917">
          <cell r="C11917" t="str">
            <v>林光宇</v>
          </cell>
          <cell r="J11917">
            <v>45630</v>
          </cell>
          <cell r="K11917">
            <v>7</v>
          </cell>
        </row>
        <row r="11918">
          <cell r="C11918" t="str">
            <v>林光宇</v>
          </cell>
          <cell r="J11918">
            <v>45630</v>
          </cell>
          <cell r="K11918">
            <v>0.5</v>
          </cell>
        </row>
        <row r="11919">
          <cell r="C11919" t="str">
            <v>林光宇</v>
          </cell>
          <cell r="J11919">
            <v>45630</v>
          </cell>
          <cell r="K11919">
            <v>0.5</v>
          </cell>
        </row>
        <row r="11920">
          <cell r="C11920" t="str">
            <v>林光宇</v>
          </cell>
          <cell r="J11920">
            <v>45631</v>
          </cell>
          <cell r="K11920">
            <v>7</v>
          </cell>
        </row>
        <row r="11921">
          <cell r="C11921" t="str">
            <v>林光宇</v>
          </cell>
          <cell r="J11921">
            <v>45631</v>
          </cell>
          <cell r="K11921">
            <v>0.5</v>
          </cell>
        </row>
        <row r="11922">
          <cell r="C11922" t="str">
            <v>林光宇</v>
          </cell>
          <cell r="J11922">
            <v>45631</v>
          </cell>
          <cell r="K11922">
            <v>0.5</v>
          </cell>
        </row>
        <row r="11923">
          <cell r="C11923" t="str">
            <v>林光宇</v>
          </cell>
          <cell r="J11923">
            <v>45632</v>
          </cell>
          <cell r="K11923">
            <v>6.5</v>
          </cell>
        </row>
        <row r="11924">
          <cell r="C11924" t="str">
            <v>林光宇</v>
          </cell>
          <cell r="J11924">
            <v>45632</v>
          </cell>
          <cell r="K11924">
            <v>1</v>
          </cell>
        </row>
        <row r="11925">
          <cell r="C11925" t="str">
            <v>林光宇</v>
          </cell>
          <cell r="J11925">
            <v>45632</v>
          </cell>
          <cell r="K11925">
            <v>0.5</v>
          </cell>
        </row>
        <row r="11926">
          <cell r="C11926" t="str">
            <v>林光宇</v>
          </cell>
          <cell r="J11926">
            <v>45635</v>
          </cell>
          <cell r="K11926">
            <v>0.5</v>
          </cell>
        </row>
        <row r="11927">
          <cell r="C11927" t="str">
            <v>林光宇</v>
          </cell>
          <cell r="J11927">
            <v>45635</v>
          </cell>
          <cell r="K11927">
            <v>7.5</v>
          </cell>
        </row>
        <row r="11928">
          <cell r="C11928" t="str">
            <v>林光宇</v>
          </cell>
          <cell r="J11928">
            <v>45636</v>
          </cell>
          <cell r="K11928">
            <v>7</v>
          </cell>
        </row>
        <row r="11929">
          <cell r="C11929" t="str">
            <v>林光宇</v>
          </cell>
          <cell r="J11929">
            <v>45636</v>
          </cell>
          <cell r="K11929">
            <v>1</v>
          </cell>
        </row>
        <row r="11930">
          <cell r="C11930" t="str">
            <v>林光宇</v>
          </cell>
          <cell r="J11930">
            <v>45637</v>
          </cell>
          <cell r="K11930">
            <v>1</v>
          </cell>
        </row>
        <row r="11931">
          <cell r="C11931" t="str">
            <v>林光宇</v>
          </cell>
          <cell r="J11931">
            <v>45637</v>
          </cell>
          <cell r="K11931">
            <v>6</v>
          </cell>
        </row>
        <row r="11932">
          <cell r="C11932" t="str">
            <v>林光宇</v>
          </cell>
          <cell r="J11932">
            <v>45637</v>
          </cell>
          <cell r="K11932">
            <v>1</v>
          </cell>
        </row>
        <row r="11933">
          <cell r="C11933" t="str">
            <v>林光宇</v>
          </cell>
          <cell r="J11933">
            <v>45638</v>
          </cell>
          <cell r="K11933">
            <v>6.5</v>
          </cell>
        </row>
        <row r="11934">
          <cell r="C11934" t="str">
            <v>林光宇</v>
          </cell>
          <cell r="J11934">
            <v>45638</v>
          </cell>
          <cell r="K11934">
            <v>0.5</v>
          </cell>
        </row>
        <row r="11935">
          <cell r="C11935" t="str">
            <v>林光宇</v>
          </cell>
          <cell r="J11935">
            <v>45638</v>
          </cell>
          <cell r="K11935">
            <v>1</v>
          </cell>
        </row>
        <row r="11936">
          <cell r="C11936" t="str">
            <v>林光宇</v>
          </cell>
          <cell r="J11936">
            <v>45639</v>
          </cell>
          <cell r="K11936">
            <v>2.5</v>
          </cell>
        </row>
        <row r="11937">
          <cell r="C11937" t="str">
            <v>林光宇</v>
          </cell>
          <cell r="J11937">
            <v>45639</v>
          </cell>
          <cell r="K11937">
            <v>5.5</v>
          </cell>
        </row>
        <row r="11938">
          <cell r="C11938" t="str">
            <v>林光宇</v>
          </cell>
          <cell r="J11938">
            <v>45642</v>
          </cell>
          <cell r="K11938">
            <v>7</v>
          </cell>
        </row>
        <row r="11939">
          <cell r="C11939" t="str">
            <v>林光宇</v>
          </cell>
          <cell r="J11939">
            <v>45642</v>
          </cell>
          <cell r="K11939">
            <v>1</v>
          </cell>
        </row>
        <row r="11940">
          <cell r="C11940" t="str">
            <v>林光宇</v>
          </cell>
          <cell r="J11940">
            <v>45643</v>
          </cell>
          <cell r="K11940">
            <v>4</v>
          </cell>
        </row>
        <row r="11941">
          <cell r="C11941" t="str">
            <v>林光宇</v>
          </cell>
          <cell r="J11941">
            <v>45643</v>
          </cell>
          <cell r="K11941">
            <v>4</v>
          </cell>
        </row>
        <row r="11942">
          <cell r="C11942" t="str">
            <v>林光宇</v>
          </cell>
          <cell r="J11942">
            <v>45644</v>
          </cell>
          <cell r="K11942">
            <v>6.5</v>
          </cell>
        </row>
        <row r="11943">
          <cell r="C11943" t="str">
            <v>林光宇</v>
          </cell>
          <cell r="J11943">
            <v>45644</v>
          </cell>
          <cell r="K11943">
            <v>1.5</v>
          </cell>
        </row>
        <row r="11944">
          <cell r="C11944" t="str">
            <v>林光宇</v>
          </cell>
          <cell r="J11944">
            <v>45645</v>
          </cell>
          <cell r="K11944">
            <v>0.5</v>
          </cell>
        </row>
        <row r="11945">
          <cell r="C11945" t="str">
            <v>林光宇</v>
          </cell>
          <cell r="J11945">
            <v>45645</v>
          </cell>
          <cell r="K11945">
            <v>4.5</v>
          </cell>
        </row>
        <row r="11946">
          <cell r="C11946" t="str">
            <v>林光宇</v>
          </cell>
          <cell r="J11946">
            <v>45645</v>
          </cell>
          <cell r="K11946">
            <v>1</v>
          </cell>
        </row>
        <row r="11947">
          <cell r="C11947" t="str">
            <v>林光宇</v>
          </cell>
          <cell r="J11947">
            <v>45645</v>
          </cell>
          <cell r="K11947">
            <v>2</v>
          </cell>
        </row>
        <row r="11948">
          <cell r="C11948" t="str">
            <v>林光宇</v>
          </cell>
          <cell r="J11948">
            <v>45646</v>
          </cell>
          <cell r="K11948">
            <v>1.5</v>
          </cell>
        </row>
        <row r="11949">
          <cell r="C11949" t="str">
            <v>林光宇</v>
          </cell>
          <cell r="J11949">
            <v>45646</v>
          </cell>
          <cell r="K11949">
            <v>6</v>
          </cell>
        </row>
        <row r="11950">
          <cell r="C11950" t="str">
            <v>林光宇</v>
          </cell>
          <cell r="J11950">
            <v>45646</v>
          </cell>
          <cell r="K11950">
            <v>0.5</v>
          </cell>
        </row>
        <row r="11951">
          <cell r="C11951" t="str">
            <v>林光宇</v>
          </cell>
          <cell r="J11951">
            <v>45649</v>
          </cell>
          <cell r="K11951">
            <v>7</v>
          </cell>
        </row>
        <row r="11952">
          <cell r="C11952" t="str">
            <v>林光宇</v>
          </cell>
          <cell r="J11952">
            <v>45649</v>
          </cell>
          <cell r="K11952">
            <v>1</v>
          </cell>
        </row>
        <row r="11953">
          <cell r="C11953" t="str">
            <v>林光宇</v>
          </cell>
          <cell r="J11953">
            <v>45650</v>
          </cell>
          <cell r="K11953">
            <v>1</v>
          </cell>
        </row>
        <row r="11954">
          <cell r="C11954" t="str">
            <v>林光宇</v>
          </cell>
          <cell r="J11954">
            <v>45650</v>
          </cell>
          <cell r="K11954">
            <v>7</v>
          </cell>
        </row>
        <row r="11955">
          <cell r="C11955" t="str">
            <v>林光宇</v>
          </cell>
          <cell r="J11955">
            <v>45651</v>
          </cell>
          <cell r="K11955">
            <v>1</v>
          </cell>
        </row>
        <row r="11956">
          <cell r="C11956" t="str">
            <v>林光宇</v>
          </cell>
          <cell r="J11956">
            <v>45651</v>
          </cell>
          <cell r="K11956">
            <v>1</v>
          </cell>
        </row>
        <row r="11957">
          <cell r="C11957" t="str">
            <v>林光宇</v>
          </cell>
          <cell r="J11957">
            <v>45651</v>
          </cell>
          <cell r="K11957">
            <v>6</v>
          </cell>
        </row>
        <row r="11958">
          <cell r="C11958" t="str">
            <v>林光宇</v>
          </cell>
          <cell r="J11958">
            <v>45652</v>
          </cell>
          <cell r="K11958">
            <v>7</v>
          </cell>
        </row>
        <row r="11959">
          <cell r="C11959" t="str">
            <v>林光宇</v>
          </cell>
          <cell r="J11959">
            <v>45652</v>
          </cell>
          <cell r="K11959">
            <v>0.5</v>
          </cell>
        </row>
        <row r="11960">
          <cell r="C11960" t="str">
            <v>林光宇</v>
          </cell>
          <cell r="J11960">
            <v>45652</v>
          </cell>
          <cell r="K11960">
            <v>0.5</v>
          </cell>
        </row>
        <row r="11961">
          <cell r="C11961" t="str">
            <v>林光宇</v>
          </cell>
          <cell r="J11961">
            <v>45653</v>
          </cell>
          <cell r="K11961">
            <v>7.5</v>
          </cell>
        </row>
        <row r="11962">
          <cell r="C11962" t="str">
            <v>林光宇</v>
          </cell>
          <cell r="J11962">
            <v>45653</v>
          </cell>
          <cell r="K11962">
            <v>0.5</v>
          </cell>
        </row>
        <row r="11963">
          <cell r="C11963" t="str">
            <v>林光宇</v>
          </cell>
          <cell r="J11963">
            <v>45656</v>
          </cell>
          <cell r="K11963">
            <v>8</v>
          </cell>
        </row>
        <row r="11964">
          <cell r="C11964" t="str">
            <v>林光宇</v>
          </cell>
          <cell r="J11964">
            <v>45657</v>
          </cell>
          <cell r="K11964">
            <v>2</v>
          </cell>
        </row>
        <row r="11965">
          <cell r="C11965" t="str">
            <v>林光宇</v>
          </cell>
          <cell r="J11965">
            <v>45657</v>
          </cell>
          <cell r="K11965">
            <v>6</v>
          </cell>
        </row>
        <row r="11966">
          <cell r="C11966" t="str">
            <v>林光宇</v>
          </cell>
          <cell r="J11966">
            <v>45659</v>
          </cell>
          <cell r="K11966">
            <v>1</v>
          </cell>
        </row>
        <row r="11967">
          <cell r="C11967" t="str">
            <v>林光宇</v>
          </cell>
          <cell r="J11967">
            <v>45659</v>
          </cell>
          <cell r="K11967">
            <v>3</v>
          </cell>
        </row>
        <row r="11968">
          <cell r="C11968" t="str">
            <v>林光宇</v>
          </cell>
          <cell r="J11968">
            <v>45659</v>
          </cell>
          <cell r="K11968">
            <v>4</v>
          </cell>
        </row>
        <row r="11969">
          <cell r="C11969" t="str">
            <v>林光宇</v>
          </cell>
          <cell r="J11969">
            <v>45660</v>
          </cell>
          <cell r="K11969">
            <v>2</v>
          </cell>
        </row>
        <row r="11970">
          <cell r="C11970" t="str">
            <v>林光宇</v>
          </cell>
          <cell r="J11970">
            <v>45660</v>
          </cell>
          <cell r="K11970">
            <v>3</v>
          </cell>
        </row>
        <row r="11971">
          <cell r="C11971" t="str">
            <v>林光宇</v>
          </cell>
          <cell r="J11971">
            <v>45660</v>
          </cell>
          <cell r="K11971">
            <v>4</v>
          </cell>
        </row>
        <row r="11972">
          <cell r="C11972" t="str">
            <v>林光宇</v>
          </cell>
          <cell r="J11972">
            <v>45663</v>
          </cell>
          <cell r="K11972">
            <v>6</v>
          </cell>
        </row>
        <row r="11973">
          <cell r="C11973" t="str">
            <v>林光宇</v>
          </cell>
          <cell r="J11973">
            <v>45663</v>
          </cell>
          <cell r="K11973">
            <v>2</v>
          </cell>
        </row>
        <row r="11974">
          <cell r="C11974" t="str">
            <v>林光宇</v>
          </cell>
          <cell r="J11974">
            <v>45664</v>
          </cell>
          <cell r="K11974">
            <v>2</v>
          </cell>
        </row>
        <row r="11975">
          <cell r="C11975" t="str">
            <v>林光宇</v>
          </cell>
          <cell r="J11975">
            <v>45664</v>
          </cell>
          <cell r="K11975">
            <v>6</v>
          </cell>
        </row>
        <row r="11976">
          <cell r="C11976" t="str">
            <v>林光宇</v>
          </cell>
          <cell r="J11976">
            <v>45665</v>
          </cell>
          <cell r="K11976">
            <v>4</v>
          </cell>
        </row>
        <row r="11977">
          <cell r="C11977" t="str">
            <v>林光宇</v>
          </cell>
          <cell r="J11977">
            <v>45665</v>
          </cell>
          <cell r="K11977">
            <v>4</v>
          </cell>
        </row>
        <row r="11978">
          <cell r="C11978" t="str">
            <v>林光宇</v>
          </cell>
          <cell r="J11978">
            <v>45666</v>
          </cell>
          <cell r="K11978">
            <v>0.5</v>
          </cell>
        </row>
        <row r="11979">
          <cell r="C11979" t="str">
            <v>林光宇</v>
          </cell>
          <cell r="J11979">
            <v>45666</v>
          </cell>
          <cell r="K11979">
            <v>3</v>
          </cell>
        </row>
        <row r="11980">
          <cell r="C11980" t="str">
            <v>林光宇</v>
          </cell>
          <cell r="J11980">
            <v>45666</v>
          </cell>
          <cell r="K11980">
            <v>4.5</v>
          </cell>
        </row>
        <row r="11981">
          <cell r="C11981" t="str">
            <v>林光宇</v>
          </cell>
          <cell r="J11981">
            <v>45667</v>
          </cell>
          <cell r="K11981">
            <v>4.5</v>
          </cell>
        </row>
        <row r="11982">
          <cell r="C11982" t="str">
            <v>林光宇</v>
          </cell>
          <cell r="J11982">
            <v>45667</v>
          </cell>
          <cell r="K11982">
            <v>3.5</v>
          </cell>
        </row>
        <row r="11983">
          <cell r="C11983" t="str">
            <v>林光宇</v>
          </cell>
          <cell r="J11983">
            <v>45670</v>
          </cell>
          <cell r="K11983">
            <v>4</v>
          </cell>
        </row>
        <row r="11984">
          <cell r="C11984" t="str">
            <v>林光宇</v>
          </cell>
          <cell r="J11984">
            <v>45670</v>
          </cell>
          <cell r="K11984">
            <v>1</v>
          </cell>
        </row>
        <row r="11985">
          <cell r="C11985" t="str">
            <v>林光宇</v>
          </cell>
          <cell r="J11985">
            <v>45670</v>
          </cell>
          <cell r="K11985">
            <v>2</v>
          </cell>
        </row>
        <row r="11986">
          <cell r="C11986" t="str">
            <v>林光宇</v>
          </cell>
          <cell r="J11986">
            <v>45670</v>
          </cell>
          <cell r="K11986">
            <v>1</v>
          </cell>
        </row>
        <row r="11987">
          <cell r="C11987" t="str">
            <v>林光宇</v>
          </cell>
          <cell r="J11987">
            <v>45671</v>
          </cell>
          <cell r="K11987">
            <v>1.5</v>
          </cell>
        </row>
        <row r="11988">
          <cell r="C11988" t="str">
            <v>林光宇</v>
          </cell>
          <cell r="J11988">
            <v>45671</v>
          </cell>
          <cell r="K11988">
            <v>4</v>
          </cell>
        </row>
        <row r="11989">
          <cell r="C11989" t="str">
            <v>林光宇</v>
          </cell>
          <cell r="J11989">
            <v>45671</v>
          </cell>
          <cell r="K11989">
            <v>2.5</v>
          </cell>
        </row>
        <row r="11990">
          <cell r="C11990" t="str">
            <v>林光宇</v>
          </cell>
          <cell r="J11990">
            <v>45672</v>
          </cell>
          <cell r="K11990">
            <v>0.5</v>
          </cell>
        </row>
        <row r="11991">
          <cell r="C11991" t="str">
            <v>林光宇</v>
          </cell>
          <cell r="J11991">
            <v>45672</v>
          </cell>
          <cell r="K11991">
            <v>6</v>
          </cell>
        </row>
        <row r="11992">
          <cell r="C11992" t="str">
            <v>林光宇</v>
          </cell>
          <cell r="J11992">
            <v>45672</v>
          </cell>
          <cell r="K11992">
            <v>1.5</v>
          </cell>
        </row>
        <row r="11993">
          <cell r="C11993" t="str">
            <v>林光宇</v>
          </cell>
          <cell r="J11993">
            <v>45673</v>
          </cell>
          <cell r="K11993">
            <v>1</v>
          </cell>
        </row>
        <row r="11994">
          <cell r="C11994" t="str">
            <v>林光宇</v>
          </cell>
          <cell r="J11994">
            <v>45673</v>
          </cell>
          <cell r="K11994">
            <v>1</v>
          </cell>
        </row>
        <row r="11995">
          <cell r="C11995" t="str">
            <v>林光宇</v>
          </cell>
          <cell r="J11995">
            <v>45673</v>
          </cell>
          <cell r="K11995">
            <v>6</v>
          </cell>
        </row>
        <row r="11996">
          <cell r="C11996" t="str">
            <v>林光宇</v>
          </cell>
          <cell r="J11996">
            <v>45674</v>
          </cell>
          <cell r="K11996">
            <v>1.5</v>
          </cell>
        </row>
        <row r="11997">
          <cell r="C11997" t="str">
            <v>林光宇</v>
          </cell>
          <cell r="J11997">
            <v>45674</v>
          </cell>
          <cell r="K11997">
            <v>6.5</v>
          </cell>
        </row>
        <row r="11998">
          <cell r="C11998" t="str">
            <v>林光宇</v>
          </cell>
          <cell r="J11998">
            <v>45677</v>
          </cell>
          <cell r="K11998">
            <v>5</v>
          </cell>
        </row>
        <row r="11999">
          <cell r="C11999" t="str">
            <v>林光宇</v>
          </cell>
          <cell r="J11999">
            <v>45677</v>
          </cell>
          <cell r="K11999">
            <v>3</v>
          </cell>
        </row>
        <row r="12000">
          <cell r="C12000" t="str">
            <v>林光宇</v>
          </cell>
          <cell r="J12000">
            <v>45678</v>
          </cell>
          <cell r="K12000">
            <v>1.5</v>
          </cell>
        </row>
        <row r="12001">
          <cell r="C12001" t="str">
            <v>林光宇</v>
          </cell>
          <cell r="J12001">
            <v>45678</v>
          </cell>
          <cell r="K12001">
            <v>6.5</v>
          </cell>
        </row>
        <row r="12002">
          <cell r="C12002" t="str">
            <v>林光宇</v>
          </cell>
          <cell r="J12002">
            <v>45679</v>
          </cell>
          <cell r="K12002">
            <v>2</v>
          </cell>
        </row>
        <row r="12003">
          <cell r="C12003" t="str">
            <v>林光宇</v>
          </cell>
          <cell r="J12003">
            <v>45679</v>
          </cell>
          <cell r="K12003">
            <v>6</v>
          </cell>
        </row>
        <row r="12004">
          <cell r="C12004" t="str">
            <v>林光宇</v>
          </cell>
          <cell r="J12004">
            <v>45680</v>
          </cell>
          <cell r="K12004">
            <v>2</v>
          </cell>
        </row>
        <row r="12005">
          <cell r="C12005" t="str">
            <v>林光宇</v>
          </cell>
          <cell r="J12005">
            <v>45680</v>
          </cell>
          <cell r="K12005">
            <v>6</v>
          </cell>
        </row>
        <row r="12006">
          <cell r="C12006" t="str">
            <v>林光宇</v>
          </cell>
          <cell r="J12006">
            <v>45681</v>
          </cell>
          <cell r="K12006">
            <v>2.5</v>
          </cell>
        </row>
        <row r="12007">
          <cell r="C12007" t="str">
            <v>林光宇</v>
          </cell>
          <cell r="J12007">
            <v>45681</v>
          </cell>
          <cell r="K12007">
            <v>0.5</v>
          </cell>
        </row>
        <row r="12008">
          <cell r="C12008" t="str">
            <v>林光宇</v>
          </cell>
          <cell r="J12008">
            <v>45681</v>
          </cell>
          <cell r="K12008">
            <v>1.5</v>
          </cell>
        </row>
        <row r="12009">
          <cell r="C12009" t="str">
            <v>林光宇</v>
          </cell>
          <cell r="J12009">
            <v>45681</v>
          </cell>
          <cell r="K12009">
            <v>3.5</v>
          </cell>
        </row>
        <row r="12010">
          <cell r="C12010" t="str">
            <v>林光宇</v>
          </cell>
          <cell r="J12010">
            <v>45691</v>
          </cell>
          <cell r="K12010">
            <v>1.5</v>
          </cell>
        </row>
        <row r="12011">
          <cell r="C12011" t="str">
            <v>林光宇</v>
          </cell>
          <cell r="J12011">
            <v>45691</v>
          </cell>
          <cell r="K12011">
            <v>6.5</v>
          </cell>
        </row>
        <row r="12012">
          <cell r="C12012" t="str">
            <v>林光宇</v>
          </cell>
          <cell r="J12012">
            <v>45692</v>
          </cell>
          <cell r="K12012">
            <v>7.5</v>
          </cell>
        </row>
        <row r="12013">
          <cell r="C12013" t="str">
            <v>林光宇</v>
          </cell>
          <cell r="J12013">
            <v>45692</v>
          </cell>
          <cell r="K12013">
            <v>0.5</v>
          </cell>
        </row>
        <row r="12014">
          <cell r="C12014" t="str">
            <v>林光宇</v>
          </cell>
          <cell r="J12014">
            <v>45693</v>
          </cell>
          <cell r="K12014">
            <v>1.5</v>
          </cell>
        </row>
        <row r="12015">
          <cell r="C12015" t="str">
            <v>林光宇</v>
          </cell>
          <cell r="J12015">
            <v>45693</v>
          </cell>
          <cell r="K12015">
            <v>6.5</v>
          </cell>
        </row>
        <row r="12016">
          <cell r="C12016" t="str">
            <v>林光宇</v>
          </cell>
          <cell r="J12016">
            <v>45694</v>
          </cell>
          <cell r="K12016">
            <v>1</v>
          </cell>
        </row>
        <row r="12017">
          <cell r="C12017" t="str">
            <v>林光宇</v>
          </cell>
          <cell r="J12017">
            <v>45694</v>
          </cell>
          <cell r="K12017">
            <v>7</v>
          </cell>
        </row>
        <row r="12018">
          <cell r="C12018" t="str">
            <v>林光宇</v>
          </cell>
          <cell r="J12018">
            <v>45695</v>
          </cell>
          <cell r="K12018">
            <v>2</v>
          </cell>
        </row>
        <row r="12019">
          <cell r="C12019" t="str">
            <v>林光宇</v>
          </cell>
          <cell r="J12019">
            <v>45695</v>
          </cell>
          <cell r="K12019">
            <v>6</v>
          </cell>
        </row>
        <row r="12020">
          <cell r="C12020" t="str">
            <v>林光宇</v>
          </cell>
          <cell r="J12020">
            <v>45696</v>
          </cell>
          <cell r="K12020">
            <v>2.5</v>
          </cell>
        </row>
        <row r="12021">
          <cell r="C12021" t="str">
            <v>林光宇</v>
          </cell>
          <cell r="J12021">
            <v>45696</v>
          </cell>
          <cell r="K12021">
            <v>5.5</v>
          </cell>
        </row>
        <row r="12022">
          <cell r="C12022" t="str">
            <v>林光宇</v>
          </cell>
          <cell r="J12022">
            <v>45698</v>
          </cell>
          <cell r="K12022">
            <v>5.5</v>
          </cell>
        </row>
        <row r="12023">
          <cell r="C12023" t="str">
            <v>林光宇</v>
          </cell>
          <cell r="J12023">
            <v>45698</v>
          </cell>
          <cell r="K12023">
            <v>2.5</v>
          </cell>
        </row>
        <row r="12024">
          <cell r="C12024" t="str">
            <v>林光宇</v>
          </cell>
          <cell r="J12024">
            <v>45699</v>
          </cell>
          <cell r="K12024">
            <v>1.5</v>
          </cell>
        </row>
        <row r="12025">
          <cell r="C12025" t="str">
            <v>林光宇</v>
          </cell>
          <cell r="J12025">
            <v>45699</v>
          </cell>
          <cell r="K12025">
            <v>6.5</v>
          </cell>
        </row>
        <row r="12026">
          <cell r="C12026" t="str">
            <v>林光宇</v>
          </cell>
          <cell r="J12026">
            <v>45700</v>
          </cell>
          <cell r="K12026">
            <v>7.5</v>
          </cell>
        </row>
        <row r="12027">
          <cell r="C12027" t="str">
            <v>林光宇</v>
          </cell>
          <cell r="J12027">
            <v>45700</v>
          </cell>
          <cell r="K12027">
            <v>0.5</v>
          </cell>
        </row>
        <row r="12028">
          <cell r="C12028" t="str">
            <v>林光宇</v>
          </cell>
          <cell r="J12028">
            <v>45701</v>
          </cell>
          <cell r="K12028">
            <v>7.5</v>
          </cell>
        </row>
        <row r="12029">
          <cell r="C12029" t="str">
            <v>林光宇</v>
          </cell>
          <cell r="J12029">
            <v>45701</v>
          </cell>
          <cell r="K12029">
            <v>0.5</v>
          </cell>
        </row>
        <row r="12030">
          <cell r="C12030" t="str">
            <v>林光宇</v>
          </cell>
          <cell r="J12030">
            <v>45702</v>
          </cell>
          <cell r="K12030">
            <v>6</v>
          </cell>
        </row>
        <row r="12031">
          <cell r="C12031" t="str">
            <v>林光宇</v>
          </cell>
          <cell r="J12031">
            <v>45702</v>
          </cell>
          <cell r="K12031">
            <v>2</v>
          </cell>
        </row>
        <row r="12032">
          <cell r="C12032" t="str">
            <v>林光宇</v>
          </cell>
          <cell r="J12032">
            <v>45705</v>
          </cell>
          <cell r="K12032">
            <v>7</v>
          </cell>
        </row>
        <row r="12033">
          <cell r="C12033" t="str">
            <v>林光宇</v>
          </cell>
          <cell r="J12033">
            <v>45705</v>
          </cell>
          <cell r="K12033">
            <v>1</v>
          </cell>
        </row>
        <row r="12034">
          <cell r="C12034" t="str">
            <v>林光宇</v>
          </cell>
          <cell r="J12034">
            <v>45706</v>
          </cell>
          <cell r="K12034">
            <v>7.5</v>
          </cell>
        </row>
        <row r="12035">
          <cell r="C12035" t="str">
            <v>林光宇</v>
          </cell>
          <cell r="J12035">
            <v>45706</v>
          </cell>
          <cell r="K12035">
            <v>0.5</v>
          </cell>
        </row>
        <row r="12036">
          <cell r="C12036" t="str">
            <v>林光宇</v>
          </cell>
          <cell r="J12036">
            <v>45707</v>
          </cell>
          <cell r="K12036">
            <v>0.5</v>
          </cell>
        </row>
        <row r="12037">
          <cell r="C12037" t="str">
            <v>林光宇</v>
          </cell>
          <cell r="J12037">
            <v>45707</v>
          </cell>
          <cell r="K12037">
            <v>7.5</v>
          </cell>
        </row>
        <row r="12038">
          <cell r="C12038" t="str">
            <v>林光宇</v>
          </cell>
          <cell r="J12038">
            <v>45708</v>
          </cell>
          <cell r="K12038">
            <v>0.5</v>
          </cell>
        </row>
        <row r="12039">
          <cell r="C12039" t="str">
            <v>林光宇</v>
          </cell>
          <cell r="J12039">
            <v>45708</v>
          </cell>
          <cell r="K12039">
            <v>7.5</v>
          </cell>
        </row>
        <row r="12040">
          <cell r="C12040" t="str">
            <v>林光宇</v>
          </cell>
          <cell r="J12040">
            <v>45709</v>
          </cell>
          <cell r="K12040">
            <v>6.5</v>
          </cell>
        </row>
        <row r="12041">
          <cell r="C12041" t="str">
            <v>林光宇</v>
          </cell>
          <cell r="J12041">
            <v>45709</v>
          </cell>
          <cell r="K12041">
            <v>1.5</v>
          </cell>
        </row>
        <row r="12042">
          <cell r="C12042" t="str">
            <v>林光宇</v>
          </cell>
          <cell r="J12042">
            <v>45712</v>
          </cell>
          <cell r="K12042">
            <v>4</v>
          </cell>
        </row>
        <row r="12043">
          <cell r="C12043" t="str">
            <v>林光宇</v>
          </cell>
          <cell r="J12043">
            <v>45712</v>
          </cell>
          <cell r="K12043">
            <v>1</v>
          </cell>
        </row>
        <row r="12044">
          <cell r="C12044" t="str">
            <v>林光宇</v>
          </cell>
          <cell r="J12044">
            <v>45712</v>
          </cell>
          <cell r="K12044">
            <v>3</v>
          </cell>
        </row>
        <row r="12045">
          <cell r="C12045" t="str">
            <v>林光宇</v>
          </cell>
          <cell r="J12045">
            <v>45713</v>
          </cell>
          <cell r="K12045">
            <v>2.5</v>
          </cell>
        </row>
        <row r="12046">
          <cell r="C12046" t="str">
            <v>林光宇</v>
          </cell>
          <cell r="J12046">
            <v>45713</v>
          </cell>
          <cell r="K12046">
            <v>5.5</v>
          </cell>
        </row>
        <row r="12047">
          <cell r="C12047" t="str">
            <v>林光宇</v>
          </cell>
          <cell r="J12047">
            <v>45714</v>
          </cell>
          <cell r="K12047">
            <v>1</v>
          </cell>
        </row>
        <row r="12048">
          <cell r="C12048" t="str">
            <v>林光宇</v>
          </cell>
          <cell r="J12048">
            <v>45714</v>
          </cell>
          <cell r="K12048">
            <v>7</v>
          </cell>
        </row>
        <row r="12049">
          <cell r="C12049" t="str">
            <v>林光宇</v>
          </cell>
          <cell r="J12049">
            <v>45715</v>
          </cell>
          <cell r="K12049">
            <v>2</v>
          </cell>
        </row>
        <row r="12050">
          <cell r="C12050" t="str">
            <v>林光宇</v>
          </cell>
          <cell r="J12050">
            <v>45715</v>
          </cell>
          <cell r="K12050">
            <v>6</v>
          </cell>
        </row>
        <row r="12051">
          <cell r="C12051" t="str">
            <v>林光宇</v>
          </cell>
          <cell r="J12051">
            <v>45719</v>
          </cell>
          <cell r="K12051">
            <v>7.5</v>
          </cell>
        </row>
        <row r="12052">
          <cell r="C12052" t="str">
            <v>林光宇</v>
          </cell>
          <cell r="J12052">
            <v>45719</v>
          </cell>
          <cell r="K12052">
            <v>0.5</v>
          </cell>
        </row>
        <row r="12053">
          <cell r="C12053" t="str">
            <v>林光宇</v>
          </cell>
          <cell r="J12053">
            <v>45720</v>
          </cell>
          <cell r="K12053">
            <v>0.5</v>
          </cell>
        </row>
        <row r="12054">
          <cell r="C12054" t="str">
            <v>林光宇</v>
          </cell>
          <cell r="J12054">
            <v>45720</v>
          </cell>
          <cell r="K12054">
            <v>7.5</v>
          </cell>
        </row>
        <row r="12055">
          <cell r="C12055" t="str">
            <v>林光宇</v>
          </cell>
          <cell r="J12055">
            <v>45721</v>
          </cell>
          <cell r="K12055">
            <v>0.5</v>
          </cell>
        </row>
        <row r="12056">
          <cell r="C12056" t="str">
            <v>林光宇</v>
          </cell>
          <cell r="J12056">
            <v>45721</v>
          </cell>
          <cell r="K12056">
            <v>7.5</v>
          </cell>
        </row>
        <row r="12057">
          <cell r="C12057" t="str">
            <v>林光宇</v>
          </cell>
          <cell r="J12057">
            <v>45722</v>
          </cell>
          <cell r="K12057">
            <v>3</v>
          </cell>
        </row>
        <row r="12058">
          <cell r="C12058" t="str">
            <v>林光宇</v>
          </cell>
          <cell r="J12058">
            <v>45722</v>
          </cell>
          <cell r="K12058">
            <v>5</v>
          </cell>
        </row>
        <row r="12059">
          <cell r="C12059" t="str">
            <v>林光宇</v>
          </cell>
          <cell r="J12059">
            <v>45723</v>
          </cell>
          <cell r="K12059">
            <v>7.5</v>
          </cell>
        </row>
        <row r="12060">
          <cell r="C12060" t="str">
            <v>林光宇</v>
          </cell>
          <cell r="J12060">
            <v>45723</v>
          </cell>
          <cell r="K12060">
            <v>0.5</v>
          </cell>
        </row>
        <row r="12061">
          <cell r="C12061" t="str">
            <v>林光宇</v>
          </cell>
          <cell r="J12061">
            <v>45726</v>
          </cell>
          <cell r="K12061">
            <v>7.5</v>
          </cell>
        </row>
        <row r="12062">
          <cell r="C12062" t="str">
            <v>林光宇</v>
          </cell>
          <cell r="J12062">
            <v>45726</v>
          </cell>
          <cell r="K12062">
            <v>0.5</v>
          </cell>
        </row>
        <row r="12063">
          <cell r="C12063" t="str">
            <v>林光宇</v>
          </cell>
          <cell r="J12063">
            <v>45727</v>
          </cell>
          <cell r="K12063">
            <v>5.5</v>
          </cell>
        </row>
        <row r="12064">
          <cell r="C12064" t="str">
            <v>林光宇</v>
          </cell>
          <cell r="J12064">
            <v>45727</v>
          </cell>
          <cell r="K12064">
            <v>2.5</v>
          </cell>
        </row>
        <row r="12065">
          <cell r="C12065" t="str">
            <v>林光宇</v>
          </cell>
          <cell r="J12065">
            <v>45728</v>
          </cell>
          <cell r="K12065">
            <v>4</v>
          </cell>
        </row>
        <row r="12066">
          <cell r="C12066" t="str">
            <v>林光宇</v>
          </cell>
          <cell r="J12066">
            <v>45728</v>
          </cell>
          <cell r="K12066">
            <v>0.5</v>
          </cell>
        </row>
        <row r="12067">
          <cell r="C12067" t="str">
            <v>林光宇</v>
          </cell>
          <cell r="J12067">
            <v>45728</v>
          </cell>
          <cell r="K12067">
            <v>3.5</v>
          </cell>
        </row>
        <row r="12068">
          <cell r="C12068" t="str">
            <v>林光宇</v>
          </cell>
          <cell r="J12068">
            <v>45729</v>
          </cell>
          <cell r="K12068">
            <v>7.5</v>
          </cell>
        </row>
        <row r="12069">
          <cell r="C12069" t="str">
            <v>林光宇</v>
          </cell>
          <cell r="J12069">
            <v>45729</v>
          </cell>
          <cell r="K12069">
            <v>0.5</v>
          </cell>
        </row>
        <row r="12070">
          <cell r="C12070" t="str">
            <v>林光宇</v>
          </cell>
          <cell r="J12070">
            <v>45730</v>
          </cell>
          <cell r="K12070">
            <v>0.5</v>
          </cell>
        </row>
        <row r="12071">
          <cell r="C12071" t="str">
            <v>林光宇</v>
          </cell>
          <cell r="J12071">
            <v>45730</v>
          </cell>
          <cell r="K12071">
            <v>7.5</v>
          </cell>
        </row>
        <row r="12072">
          <cell r="C12072" t="str">
            <v>林光宇</v>
          </cell>
          <cell r="J12072">
            <v>45733</v>
          </cell>
          <cell r="K12072">
            <v>7.5</v>
          </cell>
        </row>
        <row r="12073">
          <cell r="C12073" t="str">
            <v>林光宇</v>
          </cell>
          <cell r="J12073">
            <v>45733</v>
          </cell>
          <cell r="K12073">
            <v>0.5</v>
          </cell>
        </row>
        <row r="12074">
          <cell r="C12074" t="str">
            <v>林光宇</v>
          </cell>
          <cell r="J12074">
            <v>45734</v>
          </cell>
          <cell r="K12074">
            <v>0.5</v>
          </cell>
        </row>
        <row r="12075">
          <cell r="C12075" t="str">
            <v>林光宇</v>
          </cell>
          <cell r="J12075">
            <v>45734</v>
          </cell>
          <cell r="K12075">
            <v>7.5</v>
          </cell>
        </row>
        <row r="12076">
          <cell r="C12076" t="str">
            <v>林光宇</v>
          </cell>
          <cell r="J12076">
            <v>45735</v>
          </cell>
          <cell r="K12076">
            <v>7</v>
          </cell>
        </row>
        <row r="12077">
          <cell r="C12077" t="str">
            <v>林光宇</v>
          </cell>
          <cell r="J12077">
            <v>45735</v>
          </cell>
          <cell r="K12077">
            <v>1</v>
          </cell>
        </row>
        <row r="12078">
          <cell r="C12078" t="str">
            <v>林光宇</v>
          </cell>
          <cell r="J12078">
            <v>45736</v>
          </cell>
          <cell r="K12078">
            <v>7.5</v>
          </cell>
        </row>
        <row r="12079">
          <cell r="C12079" t="str">
            <v>林光宇</v>
          </cell>
          <cell r="J12079">
            <v>45736</v>
          </cell>
          <cell r="K12079">
            <v>0.5</v>
          </cell>
        </row>
        <row r="12080">
          <cell r="C12080" t="str">
            <v>林光宇</v>
          </cell>
          <cell r="J12080">
            <v>45737</v>
          </cell>
          <cell r="K12080">
            <v>1</v>
          </cell>
        </row>
        <row r="12081">
          <cell r="C12081" t="str">
            <v>林光宇</v>
          </cell>
          <cell r="J12081">
            <v>45737</v>
          </cell>
          <cell r="K12081">
            <v>7</v>
          </cell>
        </row>
        <row r="12082">
          <cell r="C12082" t="str">
            <v>林光宇</v>
          </cell>
          <cell r="J12082">
            <v>45740</v>
          </cell>
          <cell r="K12082">
            <v>0.5</v>
          </cell>
        </row>
        <row r="12083">
          <cell r="C12083" t="str">
            <v>林光宇</v>
          </cell>
          <cell r="J12083">
            <v>45740</v>
          </cell>
          <cell r="K12083">
            <v>7.5</v>
          </cell>
        </row>
        <row r="12084">
          <cell r="C12084" t="str">
            <v>林光宇</v>
          </cell>
          <cell r="J12084">
            <v>45741</v>
          </cell>
          <cell r="K12084">
            <v>4</v>
          </cell>
        </row>
        <row r="12085">
          <cell r="C12085" t="str">
            <v>林光宇</v>
          </cell>
          <cell r="J12085">
            <v>45741</v>
          </cell>
          <cell r="K12085">
            <v>1</v>
          </cell>
        </row>
        <row r="12086">
          <cell r="C12086" t="str">
            <v>林光宇</v>
          </cell>
          <cell r="J12086">
            <v>45741</v>
          </cell>
          <cell r="K12086">
            <v>3</v>
          </cell>
        </row>
        <row r="12087">
          <cell r="C12087" t="str">
            <v>林光宇</v>
          </cell>
          <cell r="J12087">
            <v>45742</v>
          </cell>
          <cell r="K12087">
            <v>8</v>
          </cell>
        </row>
        <row r="12088">
          <cell r="C12088" t="str">
            <v>林光宇</v>
          </cell>
          <cell r="J12088">
            <v>45743</v>
          </cell>
          <cell r="K12088">
            <v>2</v>
          </cell>
        </row>
        <row r="12089">
          <cell r="C12089" t="str">
            <v>林光宇</v>
          </cell>
          <cell r="J12089">
            <v>45743</v>
          </cell>
          <cell r="K12089">
            <v>4</v>
          </cell>
        </row>
        <row r="12090">
          <cell r="C12090" t="str">
            <v>林光宇</v>
          </cell>
          <cell r="J12090">
            <v>45743</v>
          </cell>
          <cell r="K12090">
            <v>2</v>
          </cell>
        </row>
        <row r="12091">
          <cell r="C12091" t="str">
            <v>林光宇</v>
          </cell>
          <cell r="J12091">
            <v>45744</v>
          </cell>
          <cell r="K12091">
            <v>0.5</v>
          </cell>
        </row>
        <row r="12092">
          <cell r="C12092" t="str">
            <v>林光宇</v>
          </cell>
          <cell r="J12092">
            <v>45744</v>
          </cell>
          <cell r="K12092">
            <v>7.5</v>
          </cell>
        </row>
        <row r="12093">
          <cell r="C12093" t="str">
            <v>林光宇</v>
          </cell>
          <cell r="J12093">
            <v>45747</v>
          </cell>
          <cell r="K12093">
            <v>7.5</v>
          </cell>
        </row>
        <row r="12094">
          <cell r="C12094" t="str">
            <v>林光宇</v>
          </cell>
          <cell r="J12094">
            <v>45747</v>
          </cell>
          <cell r="K12094">
            <v>0.5</v>
          </cell>
        </row>
        <row r="12095">
          <cell r="C12095" t="str">
            <v>林光宇</v>
          </cell>
          <cell r="J12095">
            <v>45748</v>
          </cell>
          <cell r="K12095">
            <v>7.5</v>
          </cell>
        </row>
        <row r="12096">
          <cell r="C12096" t="str">
            <v>林光宇</v>
          </cell>
          <cell r="J12096">
            <v>45748</v>
          </cell>
          <cell r="K12096">
            <v>0.5</v>
          </cell>
        </row>
        <row r="12097">
          <cell r="C12097" t="str">
            <v>林光宇</v>
          </cell>
          <cell r="J12097">
            <v>45749</v>
          </cell>
          <cell r="K12097">
            <v>6.5</v>
          </cell>
        </row>
        <row r="12098">
          <cell r="C12098" t="str">
            <v>林光宇</v>
          </cell>
          <cell r="J12098">
            <v>45749</v>
          </cell>
          <cell r="K12098">
            <v>1.5</v>
          </cell>
        </row>
        <row r="12099">
          <cell r="C12099" t="str">
            <v>林光宇</v>
          </cell>
          <cell r="J12099">
            <v>45754</v>
          </cell>
          <cell r="K12099">
            <v>1</v>
          </cell>
        </row>
        <row r="12100">
          <cell r="C12100" t="str">
            <v>林光宇</v>
          </cell>
          <cell r="J12100">
            <v>45754</v>
          </cell>
          <cell r="K12100">
            <v>7</v>
          </cell>
        </row>
        <row r="12101">
          <cell r="C12101" t="str">
            <v>林光宇</v>
          </cell>
          <cell r="J12101">
            <v>45755</v>
          </cell>
          <cell r="K12101">
            <v>7.5</v>
          </cell>
        </row>
        <row r="12102">
          <cell r="C12102" t="str">
            <v>林光宇</v>
          </cell>
          <cell r="J12102">
            <v>45755</v>
          </cell>
          <cell r="K12102">
            <v>0.5</v>
          </cell>
        </row>
        <row r="12103">
          <cell r="C12103" t="str">
            <v>林光宇</v>
          </cell>
          <cell r="J12103">
            <v>45756</v>
          </cell>
          <cell r="K12103">
            <v>8</v>
          </cell>
        </row>
        <row r="12104">
          <cell r="C12104" t="str">
            <v>林光宇</v>
          </cell>
          <cell r="J12104">
            <v>45757</v>
          </cell>
          <cell r="K12104">
            <v>1</v>
          </cell>
        </row>
        <row r="12105">
          <cell r="C12105" t="str">
            <v>林光宇</v>
          </cell>
          <cell r="J12105">
            <v>45757</v>
          </cell>
          <cell r="K12105">
            <v>7</v>
          </cell>
        </row>
        <row r="12106">
          <cell r="C12106" t="str">
            <v>林光宇</v>
          </cell>
          <cell r="J12106">
            <v>45758</v>
          </cell>
          <cell r="K12106">
            <v>5</v>
          </cell>
        </row>
        <row r="12107">
          <cell r="C12107" t="str">
            <v>林光宇</v>
          </cell>
          <cell r="J12107">
            <v>45758</v>
          </cell>
          <cell r="K12107">
            <v>0.5</v>
          </cell>
        </row>
        <row r="12108">
          <cell r="C12108" t="str">
            <v>林光宇</v>
          </cell>
          <cell r="J12108">
            <v>45758</v>
          </cell>
          <cell r="K12108">
            <v>1.5</v>
          </cell>
        </row>
        <row r="12109">
          <cell r="C12109" t="str">
            <v>林光宇</v>
          </cell>
          <cell r="J12109">
            <v>45761</v>
          </cell>
          <cell r="K12109">
            <v>1</v>
          </cell>
        </row>
        <row r="12110">
          <cell r="C12110" t="str">
            <v>林光宇</v>
          </cell>
          <cell r="J12110">
            <v>45761</v>
          </cell>
          <cell r="K12110">
            <v>7</v>
          </cell>
        </row>
        <row r="12111">
          <cell r="C12111" t="str">
            <v>林光宇</v>
          </cell>
          <cell r="J12111">
            <v>45762</v>
          </cell>
          <cell r="K12111">
            <v>7</v>
          </cell>
        </row>
        <row r="12112">
          <cell r="C12112" t="str">
            <v>林光宇</v>
          </cell>
          <cell r="J12112">
            <v>45762</v>
          </cell>
          <cell r="K12112">
            <v>1</v>
          </cell>
        </row>
        <row r="12113">
          <cell r="C12113" t="str">
            <v>林光宇</v>
          </cell>
          <cell r="J12113">
            <v>45763</v>
          </cell>
          <cell r="K12113">
            <v>1.5</v>
          </cell>
        </row>
        <row r="12114">
          <cell r="C12114" t="str">
            <v>林光宇</v>
          </cell>
          <cell r="J12114">
            <v>45763</v>
          </cell>
          <cell r="K12114">
            <v>6.5</v>
          </cell>
        </row>
        <row r="12115">
          <cell r="C12115" t="str">
            <v>林光宇</v>
          </cell>
          <cell r="J12115">
            <v>45764</v>
          </cell>
          <cell r="K12115">
            <v>0.5</v>
          </cell>
        </row>
        <row r="12116">
          <cell r="C12116" t="str">
            <v>林光宇</v>
          </cell>
          <cell r="J12116">
            <v>45764</v>
          </cell>
          <cell r="K12116">
            <v>5</v>
          </cell>
        </row>
        <row r="12117">
          <cell r="C12117" t="str">
            <v>林光宇</v>
          </cell>
          <cell r="J12117">
            <v>45764</v>
          </cell>
          <cell r="K12117">
            <v>2.5</v>
          </cell>
        </row>
        <row r="12118">
          <cell r="C12118" t="str">
            <v>林光宇</v>
          </cell>
          <cell r="J12118">
            <v>45765</v>
          </cell>
          <cell r="K12118">
            <v>7.5</v>
          </cell>
        </row>
        <row r="12119">
          <cell r="C12119" t="str">
            <v>林光宇</v>
          </cell>
          <cell r="J12119">
            <v>45765</v>
          </cell>
          <cell r="K12119">
            <v>0.5</v>
          </cell>
        </row>
        <row r="12120">
          <cell r="C12120" t="str">
            <v>林光宇</v>
          </cell>
          <cell r="J12120">
            <v>45768</v>
          </cell>
          <cell r="K12120">
            <v>7.5</v>
          </cell>
        </row>
        <row r="12121">
          <cell r="C12121" t="str">
            <v>林光宇</v>
          </cell>
          <cell r="J12121">
            <v>45768</v>
          </cell>
          <cell r="K12121">
            <v>0.5</v>
          </cell>
        </row>
        <row r="12122">
          <cell r="C12122" t="str">
            <v>林光宇</v>
          </cell>
          <cell r="J12122">
            <v>45769</v>
          </cell>
          <cell r="K12122">
            <v>0.5</v>
          </cell>
        </row>
        <row r="12123">
          <cell r="C12123" t="str">
            <v>林光宇</v>
          </cell>
          <cell r="J12123">
            <v>45769</v>
          </cell>
          <cell r="K12123">
            <v>7.5</v>
          </cell>
        </row>
        <row r="12124">
          <cell r="C12124" t="str">
            <v>林光宇</v>
          </cell>
          <cell r="J12124">
            <v>45770</v>
          </cell>
          <cell r="K12124">
            <v>8</v>
          </cell>
        </row>
        <row r="12125">
          <cell r="C12125" t="str">
            <v>林光宇</v>
          </cell>
          <cell r="J12125">
            <v>45771</v>
          </cell>
          <cell r="K12125">
            <v>1</v>
          </cell>
        </row>
        <row r="12126">
          <cell r="C12126" t="str">
            <v>林光宇</v>
          </cell>
          <cell r="J12126">
            <v>45771</v>
          </cell>
          <cell r="K12126">
            <v>7</v>
          </cell>
        </row>
        <row r="12127">
          <cell r="C12127" t="str">
            <v>林光宇</v>
          </cell>
          <cell r="J12127">
            <v>45772</v>
          </cell>
          <cell r="K12127">
            <v>0.5</v>
          </cell>
        </row>
        <row r="12128">
          <cell r="C12128" t="str">
            <v>林光宇</v>
          </cell>
          <cell r="J12128">
            <v>45772</v>
          </cell>
          <cell r="K12128">
            <v>7.5</v>
          </cell>
        </row>
        <row r="12129">
          <cell r="C12129" t="str">
            <v>郭景成</v>
          </cell>
          <cell r="J12129">
            <v>45537</v>
          </cell>
          <cell r="K12129">
            <v>8</v>
          </cell>
        </row>
        <row r="12130">
          <cell r="C12130" t="str">
            <v>郭景成</v>
          </cell>
          <cell r="J12130">
            <v>45538</v>
          </cell>
          <cell r="K12130">
            <v>8</v>
          </cell>
        </row>
        <row r="12131">
          <cell r="C12131" t="str">
            <v>郭景成</v>
          </cell>
          <cell r="J12131">
            <v>45539</v>
          </cell>
          <cell r="K12131">
            <v>8</v>
          </cell>
        </row>
        <row r="12132">
          <cell r="C12132" t="str">
            <v>郭景成</v>
          </cell>
          <cell r="J12132">
            <v>45540</v>
          </cell>
          <cell r="K12132">
            <v>4</v>
          </cell>
        </row>
        <row r="12133">
          <cell r="C12133" t="str">
            <v>郭景成</v>
          </cell>
          <cell r="J12133">
            <v>45540</v>
          </cell>
          <cell r="K12133">
            <v>4</v>
          </cell>
        </row>
        <row r="12134">
          <cell r="C12134" t="str">
            <v>郭景成</v>
          </cell>
          <cell r="J12134">
            <v>45544</v>
          </cell>
          <cell r="K12134">
            <v>8</v>
          </cell>
        </row>
        <row r="12135">
          <cell r="C12135" t="str">
            <v>郭景成</v>
          </cell>
          <cell r="J12135">
            <v>45545</v>
          </cell>
          <cell r="K12135">
            <v>8</v>
          </cell>
        </row>
        <row r="12136">
          <cell r="C12136" t="str">
            <v>郭景成</v>
          </cell>
          <cell r="J12136">
            <v>45546</v>
          </cell>
          <cell r="K12136">
            <v>8</v>
          </cell>
        </row>
        <row r="12137">
          <cell r="C12137" t="str">
            <v>郭景成</v>
          </cell>
          <cell r="J12137">
            <v>45547</v>
          </cell>
          <cell r="K12137">
            <v>8</v>
          </cell>
        </row>
        <row r="12138">
          <cell r="C12138" t="str">
            <v>郭景成</v>
          </cell>
          <cell r="J12138">
            <v>45548</v>
          </cell>
          <cell r="K12138">
            <v>8</v>
          </cell>
        </row>
        <row r="12139">
          <cell r="C12139" t="str">
            <v>郭景成</v>
          </cell>
          <cell r="J12139">
            <v>45551</v>
          </cell>
          <cell r="K12139">
            <v>8</v>
          </cell>
        </row>
        <row r="12140">
          <cell r="C12140" t="str">
            <v>郭景成</v>
          </cell>
          <cell r="J12140">
            <v>45553</v>
          </cell>
          <cell r="K12140">
            <v>8</v>
          </cell>
        </row>
        <row r="12141">
          <cell r="C12141" t="str">
            <v>郭景成</v>
          </cell>
          <cell r="J12141">
            <v>45554</v>
          </cell>
          <cell r="K12141">
            <v>4</v>
          </cell>
        </row>
        <row r="12142">
          <cell r="C12142" t="str">
            <v>郭景成</v>
          </cell>
          <cell r="J12142">
            <v>45554</v>
          </cell>
          <cell r="K12142">
            <v>4</v>
          </cell>
        </row>
        <row r="12143">
          <cell r="C12143" t="str">
            <v>郭景成</v>
          </cell>
          <cell r="J12143">
            <v>45555</v>
          </cell>
          <cell r="K12143">
            <v>4</v>
          </cell>
        </row>
        <row r="12144">
          <cell r="C12144" t="str">
            <v>郭景成</v>
          </cell>
          <cell r="J12144">
            <v>45555</v>
          </cell>
          <cell r="K12144">
            <v>4</v>
          </cell>
        </row>
        <row r="12145">
          <cell r="C12145" t="str">
            <v>郭景成</v>
          </cell>
          <cell r="J12145">
            <v>45558</v>
          </cell>
          <cell r="K12145">
            <v>4</v>
          </cell>
        </row>
        <row r="12146">
          <cell r="C12146" t="str">
            <v>郭景成</v>
          </cell>
          <cell r="J12146">
            <v>45558</v>
          </cell>
          <cell r="K12146">
            <v>4</v>
          </cell>
        </row>
        <row r="12147">
          <cell r="C12147" t="str">
            <v>郭景成</v>
          </cell>
          <cell r="J12147">
            <v>45559</v>
          </cell>
          <cell r="K12147">
            <v>8</v>
          </cell>
        </row>
        <row r="12148">
          <cell r="C12148" t="str">
            <v>郭景成</v>
          </cell>
          <cell r="J12148">
            <v>45560</v>
          </cell>
          <cell r="K12148">
            <v>8</v>
          </cell>
        </row>
        <row r="12149">
          <cell r="C12149" t="str">
            <v>郭景成</v>
          </cell>
          <cell r="J12149">
            <v>45561</v>
          </cell>
          <cell r="K12149">
            <v>8</v>
          </cell>
        </row>
        <row r="12150">
          <cell r="C12150" t="str">
            <v>郭景成</v>
          </cell>
          <cell r="J12150">
            <v>45562</v>
          </cell>
          <cell r="K12150">
            <v>8</v>
          </cell>
        </row>
        <row r="12151">
          <cell r="C12151" t="str">
            <v>郭景成</v>
          </cell>
          <cell r="J12151">
            <v>45565</v>
          </cell>
          <cell r="K12151">
            <v>4</v>
          </cell>
        </row>
        <row r="12152">
          <cell r="C12152" t="str">
            <v>郭景成</v>
          </cell>
          <cell r="J12152">
            <v>45565</v>
          </cell>
          <cell r="K12152">
            <v>4</v>
          </cell>
        </row>
        <row r="12153">
          <cell r="C12153" t="str">
            <v>郭景成</v>
          </cell>
          <cell r="J12153">
            <v>45566</v>
          </cell>
          <cell r="K12153">
            <v>8</v>
          </cell>
        </row>
        <row r="12154">
          <cell r="C12154" t="str">
            <v>郭景成</v>
          </cell>
          <cell r="J12154">
            <v>45569</v>
          </cell>
          <cell r="K12154">
            <v>8</v>
          </cell>
        </row>
        <row r="12155">
          <cell r="C12155" t="str">
            <v>郭景成</v>
          </cell>
          <cell r="J12155">
            <v>45572</v>
          </cell>
          <cell r="K12155">
            <v>8</v>
          </cell>
        </row>
        <row r="12156">
          <cell r="C12156" t="str">
            <v>郭景成</v>
          </cell>
          <cell r="J12156">
            <v>45573</v>
          </cell>
          <cell r="K12156">
            <v>8</v>
          </cell>
        </row>
        <row r="12157">
          <cell r="C12157" t="str">
            <v>郭景成</v>
          </cell>
          <cell r="J12157">
            <v>45574</v>
          </cell>
          <cell r="K12157">
            <v>8</v>
          </cell>
        </row>
        <row r="12158">
          <cell r="C12158" t="str">
            <v>郭景成</v>
          </cell>
          <cell r="J12158">
            <v>45576</v>
          </cell>
          <cell r="K12158">
            <v>8</v>
          </cell>
        </row>
        <row r="12159">
          <cell r="C12159" t="str">
            <v>郭景成</v>
          </cell>
          <cell r="J12159">
            <v>45579</v>
          </cell>
          <cell r="K12159">
            <v>8</v>
          </cell>
        </row>
        <row r="12160">
          <cell r="C12160" t="str">
            <v>郭景成</v>
          </cell>
          <cell r="J12160">
            <v>45580</v>
          </cell>
          <cell r="K12160">
            <v>8</v>
          </cell>
        </row>
        <row r="12161">
          <cell r="C12161" t="str">
            <v>郭景成</v>
          </cell>
          <cell r="J12161">
            <v>45581</v>
          </cell>
          <cell r="K12161">
            <v>8</v>
          </cell>
        </row>
        <row r="12162">
          <cell r="C12162" t="str">
            <v>郭景成</v>
          </cell>
          <cell r="J12162">
            <v>45582</v>
          </cell>
          <cell r="K12162">
            <v>8</v>
          </cell>
        </row>
        <row r="12163">
          <cell r="C12163" t="str">
            <v>郭景成</v>
          </cell>
          <cell r="J12163">
            <v>45583</v>
          </cell>
          <cell r="K12163">
            <v>8</v>
          </cell>
        </row>
        <row r="12164">
          <cell r="C12164" t="str">
            <v>郭景成</v>
          </cell>
          <cell r="J12164">
            <v>45586</v>
          </cell>
          <cell r="K12164">
            <v>8</v>
          </cell>
        </row>
        <row r="12165">
          <cell r="C12165" t="str">
            <v>郭景成</v>
          </cell>
          <cell r="J12165">
            <v>45587</v>
          </cell>
          <cell r="K12165">
            <v>8</v>
          </cell>
        </row>
        <row r="12166">
          <cell r="C12166" t="str">
            <v>郭景成</v>
          </cell>
          <cell r="J12166">
            <v>45588</v>
          </cell>
          <cell r="K12166">
            <v>8</v>
          </cell>
        </row>
        <row r="12167">
          <cell r="C12167" t="str">
            <v>郭景成</v>
          </cell>
          <cell r="J12167">
            <v>45589</v>
          </cell>
          <cell r="K12167">
            <v>8</v>
          </cell>
        </row>
        <row r="12168">
          <cell r="C12168" t="str">
            <v>郭景成</v>
          </cell>
          <cell r="J12168">
            <v>45590</v>
          </cell>
          <cell r="K12168">
            <v>8</v>
          </cell>
        </row>
        <row r="12169">
          <cell r="C12169" t="str">
            <v>郭景成</v>
          </cell>
          <cell r="F12169" t="str">
            <v>E241002I1</v>
          </cell>
          <cell r="J12169">
            <v>45659</v>
          </cell>
          <cell r="K12169">
            <v>8</v>
          </cell>
        </row>
        <row r="12170">
          <cell r="C12170" t="str">
            <v>郭景成</v>
          </cell>
          <cell r="F12170" t="str">
            <v>E241002I1</v>
          </cell>
          <cell r="J12170">
            <v>45660</v>
          </cell>
          <cell r="K12170">
            <v>8</v>
          </cell>
        </row>
        <row r="12171">
          <cell r="C12171" t="str">
            <v>郭景成</v>
          </cell>
          <cell r="F12171" t="str">
            <v>E241002I1</v>
          </cell>
          <cell r="J12171">
            <v>45663</v>
          </cell>
          <cell r="K12171">
            <v>8</v>
          </cell>
        </row>
        <row r="12172">
          <cell r="C12172" t="str">
            <v>郭景成</v>
          </cell>
          <cell r="F12172" t="str">
            <v>E241002I1</v>
          </cell>
          <cell r="J12172">
            <v>45664</v>
          </cell>
          <cell r="K12172">
            <v>8</v>
          </cell>
        </row>
        <row r="12173">
          <cell r="C12173" t="str">
            <v>郭景成</v>
          </cell>
          <cell r="F12173" t="str">
            <v>E241002I1</v>
          </cell>
          <cell r="J12173">
            <v>45665</v>
          </cell>
          <cell r="K12173">
            <v>8</v>
          </cell>
        </row>
        <row r="12174">
          <cell r="C12174" t="str">
            <v>郭景成</v>
          </cell>
          <cell r="F12174" t="str">
            <v>E241002I1</v>
          </cell>
          <cell r="J12174">
            <v>45666</v>
          </cell>
          <cell r="K12174">
            <v>8</v>
          </cell>
        </row>
        <row r="12175">
          <cell r="C12175" t="str">
            <v>郭景成</v>
          </cell>
          <cell r="J12175">
            <v>45667</v>
          </cell>
          <cell r="K12175">
            <v>7</v>
          </cell>
        </row>
        <row r="12176">
          <cell r="C12176" t="str">
            <v>郭景成</v>
          </cell>
          <cell r="F12176" t="str">
            <v>E241002I1</v>
          </cell>
          <cell r="J12176">
            <v>45670</v>
          </cell>
          <cell r="K12176">
            <v>8</v>
          </cell>
        </row>
        <row r="12177">
          <cell r="C12177" t="str">
            <v>郭景成</v>
          </cell>
          <cell r="J12177">
            <v>45672</v>
          </cell>
          <cell r="K12177">
            <v>4</v>
          </cell>
        </row>
        <row r="12178">
          <cell r="C12178" t="str">
            <v>郭景成</v>
          </cell>
          <cell r="J12178">
            <v>45672</v>
          </cell>
          <cell r="K12178">
            <v>4</v>
          </cell>
        </row>
        <row r="12179">
          <cell r="C12179" t="str">
            <v>郭景成</v>
          </cell>
          <cell r="J12179">
            <v>45673</v>
          </cell>
          <cell r="K12179">
            <v>8</v>
          </cell>
        </row>
        <row r="12180">
          <cell r="C12180" t="str">
            <v>郭景成</v>
          </cell>
          <cell r="J12180">
            <v>45674</v>
          </cell>
          <cell r="K12180">
            <v>8</v>
          </cell>
        </row>
        <row r="12181">
          <cell r="C12181" t="str">
            <v>郭景成</v>
          </cell>
          <cell r="J12181">
            <v>45677</v>
          </cell>
          <cell r="K12181">
            <v>8</v>
          </cell>
        </row>
        <row r="12182">
          <cell r="C12182" t="str">
            <v>郭景成</v>
          </cell>
          <cell r="J12182">
            <v>45678</v>
          </cell>
          <cell r="K12182">
            <v>8</v>
          </cell>
        </row>
        <row r="12183">
          <cell r="C12183" t="str">
            <v>郭景成</v>
          </cell>
          <cell r="J12183">
            <v>45678</v>
          </cell>
          <cell r="K12183">
            <v>8</v>
          </cell>
        </row>
        <row r="12184">
          <cell r="C12184" t="str">
            <v>郭景成</v>
          </cell>
          <cell r="J12184">
            <v>45679</v>
          </cell>
          <cell r="K12184">
            <v>8</v>
          </cell>
        </row>
        <row r="12185">
          <cell r="C12185" t="str">
            <v>郭景成</v>
          </cell>
          <cell r="J12185">
            <v>45680</v>
          </cell>
          <cell r="K12185">
            <v>8</v>
          </cell>
        </row>
        <row r="12186">
          <cell r="C12186" t="str">
            <v>郭景成</v>
          </cell>
          <cell r="J12186">
            <v>45681</v>
          </cell>
          <cell r="K12186">
            <v>4</v>
          </cell>
        </row>
        <row r="12187">
          <cell r="C12187" t="str">
            <v>郭景成</v>
          </cell>
          <cell r="J12187">
            <v>45681</v>
          </cell>
          <cell r="K12187">
            <v>4</v>
          </cell>
        </row>
        <row r="12188">
          <cell r="C12188" t="str">
            <v>郭景成</v>
          </cell>
          <cell r="J12188">
            <v>45691</v>
          </cell>
          <cell r="K12188">
            <v>8</v>
          </cell>
        </row>
        <row r="12189">
          <cell r="C12189" t="str">
            <v>郭景成</v>
          </cell>
          <cell r="J12189">
            <v>45692</v>
          </cell>
          <cell r="K12189">
            <v>8</v>
          </cell>
        </row>
        <row r="12190">
          <cell r="C12190" t="str">
            <v>郭景成</v>
          </cell>
          <cell r="J12190">
            <v>45693</v>
          </cell>
          <cell r="K12190">
            <v>8</v>
          </cell>
        </row>
        <row r="12191">
          <cell r="C12191" t="str">
            <v>郭景成</v>
          </cell>
          <cell r="J12191">
            <v>45694</v>
          </cell>
          <cell r="K12191">
            <v>8</v>
          </cell>
        </row>
        <row r="12192">
          <cell r="C12192" t="str">
            <v>郭景成</v>
          </cell>
          <cell r="J12192">
            <v>45695</v>
          </cell>
          <cell r="K12192">
            <v>8</v>
          </cell>
        </row>
        <row r="12193">
          <cell r="C12193" t="str">
            <v>郭景成</v>
          </cell>
          <cell r="J12193">
            <v>45698</v>
          </cell>
          <cell r="K12193">
            <v>8</v>
          </cell>
        </row>
        <row r="12194">
          <cell r="C12194" t="str">
            <v>郭景成</v>
          </cell>
          <cell r="J12194">
            <v>45699</v>
          </cell>
          <cell r="K12194">
            <v>8</v>
          </cell>
        </row>
        <row r="12195">
          <cell r="C12195" t="str">
            <v>郭景成</v>
          </cell>
          <cell r="J12195">
            <v>45700</v>
          </cell>
          <cell r="K12195">
            <v>8</v>
          </cell>
        </row>
        <row r="12196">
          <cell r="C12196" t="str">
            <v>郭景成</v>
          </cell>
          <cell r="J12196">
            <v>45701</v>
          </cell>
          <cell r="K12196">
            <v>8</v>
          </cell>
        </row>
        <row r="12197">
          <cell r="C12197" t="str">
            <v>郭景成</v>
          </cell>
          <cell r="J12197">
            <v>45702</v>
          </cell>
          <cell r="K12197">
            <v>8</v>
          </cell>
        </row>
        <row r="12198">
          <cell r="C12198" t="str">
            <v>郭景成</v>
          </cell>
          <cell r="J12198">
            <v>45720</v>
          </cell>
          <cell r="K12198">
            <v>4</v>
          </cell>
        </row>
        <row r="12199">
          <cell r="C12199" t="str">
            <v>郭景成</v>
          </cell>
          <cell r="J12199">
            <v>45720</v>
          </cell>
          <cell r="K12199">
            <v>4</v>
          </cell>
        </row>
        <row r="12200">
          <cell r="C12200" t="str">
            <v>郭景成</v>
          </cell>
          <cell r="J12200">
            <v>45721</v>
          </cell>
          <cell r="K12200">
            <v>8</v>
          </cell>
        </row>
        <row r="12201">
          <cell r="C12201" t="str">
            <v>郭景成</v>
          </cell>
          <cell r="J12201">
            <v>45722</v>
          </cell>
          <cell r="K12201">
            <v>8</v>
          </cell>
        </row>
        <row r="12202">
          <cell r="C12202" t="str">
            <v>郭景成</v>
          </cell>
          <cell r="J12202">
            <v>45723</v>
          </cell>
          <cell r="K12202">
            <v>8</v>
          </cell>
        </row>
        <row r="12203">
          <cell r="C12203" t="str">
            <v>郭景成</v>
          </cell>
          <cell r="J12203">
            <v>45726</v>
          </cell>
          <cell r="K12203">
            <v>8</v>
          </cell>
        </row>
        <row r="12204">
          <cell r="C12204" t="str">
            <v>郭景成</v>
          </cell>
          <cell r="J12204">
            <v>45727</v>
          </cell>
          <cell r="K12204">
            <v>8</v>
          </cell>
        </row>
        <row r="12205">
          <cell r="C12205" t="str">
            <v>郭景成</v>
          </cell>
          <cell r="J12205">
            <v>45728</v>
          </cell>
          <cell r="K12205">
            <v>8</v>
          </cell>
        </row>
        <row r="12206">
          <cell r="C12206" t="str">
            <v>郭景成</v>
          </cell>
          <cell r="J12206">
            <v>45729</v>
          </cell>
          <cell r="K12206">
            <v>8</v>
          </cell>
        </row>
        <row r="12207">
          <cell r="C12207" t="str">
            <v>郭景成</v>
          </cell>
          <cell r="J12207">
            <v>45730</v>
          </cell>
          <cell r="K12207">
            <v>8</v>
          </cell>
        </row>
        <row r="12208">
          <cell r="C12208" t="str">
            <v>郭景成</v>
          </cell>
          <cell r="F12208" t="str">
            <v>E250102I1</v>
          </cell>
          <cell r="J12208">
            <v>45748</v>
          </cell>
          <cell r="K12208">
            <v>8</v>
          </cell>
        </row>
        <row r="12209">
          <cell r="C12209" t="str">
            <v>郭景成</v>
          </cell>
          <cell r="F12209" t="str">
            <v>E250102I1</v>
          </cell>
          <cell r="J12209">
            <v>45749</v>
          </cell>
          <cell r="K12209">
            <v>8</v>
          </cell>
        </row>
        <row r="12210">
          <cell r="C12210" t="str">
            <v>郭景成</v>
          </cell>
          <cell r="J12210">
            <v>45754</v>
          </cell>
          <cell r="K12210">
            <v>8</v>
          </cell>
        </row>
        <row r="12211">
          <cell r="C12211" t="str">
            <v>郭景成</v>
          </cell>
          <cell r="F12211" t="str">
            <v>E250201I1</v>
          </cell>
          <cell r="J12211">
            <v>45755</v>
          </cell>
          <cell r="K12211">
            <v>8</v>
          </cell>
        </row>
        <row r="12212">
          <cell r="C12212" t="str">
            <v>郭景成</v>
          </cell>
          <cell r="F12212" t="str">
            <v>E250201I1</v>
          </cell>
          <cell r="J12212">
            <v>45756</v>
          </cell>
          <cell r="K12212">
            <v>8</v>
          </cell>
        </row>
        <row r="12213">
          <cell r="C12213" t="str">
            <v>郭景成</v>
          </cell>
          <cell r="F12213" t="str">
            <v>E250201I1</v>
          </cell>
          <cell r="J12213">
            <v>45757</v>
          </cell>
          <cell r="K12213">
            <v>8</v>
          </cell>
        </row>
        <row r="12214">
          <cell r="C12214" t="str">
            <v>郭景成</v>
          </cell>
          <cell r="F12214" t="str">
            <v>E250301I1</v>
          </cell>
          <cell r="J12214">
            <v>45758</v>
          </cell>
          <cell r="K12214">
            <v>8</v>
          </cell>
        </row>
        <row r="12215">
          <cell r="C12215" t="str">
            <v>郭景成</v>
          </cell>
          <cell r="F12215" t="str">
            <v>E250201I1</v>
          </cell>
          <cell r="J12215">
            <v>45761</v>
          </cell>
          <cell r="K12215">
            <v>8</v>
          </cell>
        </row>
        <row r="12216">
          <cell r="C12216" t="str">
            <v>郭景成</v>
          </cell>
          <cell r="F12216" t="str">
            <v>E250201I1</v>
          </cell>
          <cell r="J12216">
            <v>45762</v>
          </cell>
          <cell r="K12216">
            <v>8</v>
          </cell>
        </row>
        <row r="12217">
          <cell r="C12217" t="str">
            <v>郭景成</v>
          </cell>
          <cell r="F12217" t="str">
            <v>E250201I1</v>
          </cell>
          <cell r="J12217">
            <v>45763</v>
          </cell>
          <cell r="K12217">
            <v>8</v>
          </cell>
        </row>
        <row r="12218">
          <cell r="C12218" t="str">
            <v>郭景成</v>
          </cell>
          <cell r="F12218" t="str">
            <v>E250102I1</v>
          </cell>
          <cell r="J12218">
            <v>45764</v>
          </cell>
          <cell r="K12218">
            <v>8</v>
          </cell>
        </row>
        <row r="12219">
          <cell r="C12219" t="str">
            <v>郭景成</v>
          </cell>
          <cell r="J12219">
            <v>45765</v>
          </cell>
          <cell r="K12219">
            <v>4</v>
          </cell>
        </row>
        <row r="12220">
          <cell r="C12220" t="str">
            <v>郭景成</v>
          </cell>
          <cell r="F12220" t="str">
            <v>E250102I1</v>
          </cell>
          <cell r="J12220">
            <v>45765</v>
          </cell>
          <cell r="K12220">
            <v>4</v>
          </cell>
        </row>
        <row r="12221">
          <cell r="C12221" t="str">
            <v>郭景成</v>
          </cell>
          <cell r="F12221" t="str">
            <v>E250301I1</v>
          </cell>
          <cell r="J12221">
            <v>45768</v>
          </cell>
          <cell r="K12221">
            <v>8</v>
          </cell>
        </row>
        <row r="12222">
          <cell r="C12222" t="str">
            <v>郭景成</v>
          </cell>
          <cell r="F12222" t="str">
            <v>E250301I1</v>
          </cell>
          <cell r="J12222">
            <v>45769</v>
          </cell>
          <cell r="K12222">
            <v>8</v>
          </cell>
        </row>
        <row r="12223">
          <cell r="C12223" t="str">
            <v>郭景成</v>
          </cell>
          <cell r="F12223" t="str">
            <v>E250301I1</v>
          </cell>
          <cell r="J12223">
            <v>45777</v>
          </cell>
          <cell r="K12223">
            <v>8</v>
          </cell>
        </row>
        <row r="12224">
          <cell r="C12224" t="str">
            <v>郭景成</v>
          </cell>
          <cell r="F12224" t="str">
            <v>E250301I1</v>
          </cell>
          <cell r="J12224">
            <v>45779</v>
          </cell>
          <cell r="K12224">
            <v>8</v>
          </cell>
        </row>
        <row r="12225">
          <cell r="C12225" t="str">
            <v>郭景成</v>
          </cell>
          <cell r="J12225">
            <v>45782</v>
          </cell>
          <cell r="K12225">
            <v>8</v>
          </cell>
        </row>
        <row r="12226">
          <cell r="C12226" t="str">
            <v>郭景成</v>
          </cell>
          <cell r="J12226">
            <v>45783</v>
          </cell>
          <cell r="K12226">
            <v>8</v>
          </cell>
        </row>
        <row r="12227">
          <cell r="C12227" t="str">
            <v>郭景成</v>
          </cell>
          <cell r="J12227">
            <v>45784</v>
          </cell>
          <cell r="K12227">
            <v>8</v>
          </cell>
        </row>
        <row r="12228">
          <cell r="C12228" t="str">
            <v>郭景成</v>
          </cell>
          <cell r="J12228">
            <v>45785</v>
          </cell>
          <cell r="K12228">
            <v>8</v>
          </cell>
        </row>
        <row r="12229">
          <cell r="C12229" t="str">
            <v>郭景成</v>
          </cell>
          <cell r="J12229">
            <v>45786</v>
          </cell>
          <cell r="K12229">
            <v>8</v>
          </cell>
        </row>
        <row r="12230">
          <cell r="C12230" t="str">
            <v>郭景成</v>
          </cell>
          <cell r="F12230" t="str">
            <v>E250202I1</v>
          </cell>
          <cell r="J12230">
            <v>45789</v>
          </cell>
          <cell r="K12230">
            <v>8</v>
          </cell>
        </row>
        <row r="12231">
          <cell r="C12231" t="str">
            <v>郭景成</v>
          </cell>
          <cell r="F12231" t="str">
            <v>E250202I1</v>
          </cell>
          <cell r="J12231">
            <v>45790</v>
          </cell>
          <cell r="K12231">
            <v>8</v>
          </cell>
        </row>
        <row r="12232">
          <cell r="C12232" t="str">
            <v>郭景成</v>
          </cell>
          <cell r="F12232" t="str">
            <v>E250202I1</v>
          </cell>
          <cell r="J12232">
            <v>45791</v>
          </cell>
          <cell r="K12232">
            <v>8</v>
          </cell>
        </row>
        <row r="12233">
          <cell r="C12233" t="str">
            <v>郭景成</v>
          </cell>
          <cell r="F12233" t="str">
            <v>E250301I1</v>
          </cell>
          <cell r="J12233">
            <v>45792</v>
          </cell>
          <cell r="K12233">
            <v>8</v>
          </cell>
        </row>
        <row r="12234">
          <cell r="C12234" t="str">
            <v>郭景成</v>
          </cell>
          <cell r="F12234" t="str">
            <v>E250201I1</v>
          </cell>
          <cell r="J12234">
            <v>45793</v>
          </cell>
          <cell r="K12234">
            <v>8</v>
          </cell>
        </row>
        <row r="12235">
          <cell r="C12235" t="str">
            <v>郭景成</v>
          </cell>
          <cell r="J12235">
            <v>45796</v>
          </cell>
          <cell r="K12235">
            <v>8</v>
          </cell>
        </row>
        <row r="12236">
          <cell r="C12236" t="str">
            <v>郭景成</v>
          </cell>
          <cell r="F12236" t="str">
            <v>E250201I1</v>
          </cell>
          <cell r="J12236">
            <v>45797</v>
          </cell>
          <cell r="K12236">
            <v>8</v>
          </cell>
        </row>
        <row r="12237">
          <cell r="C12237" t="str">
            <v>郭景成</v>
          </cell>
          <cell r="F12237" t="str">
            <v>E250201I1</v>
          </cell>
          <cell r="J12237">
            <v>45798</v>
          </cell>
          <cell r="K12237">
            <v>8</v>
          </cell>
        </row>
        <row r="12238">
          <cell r="C12238" t="str">
            <v>郭景成</v>
          </cell>
          <cell r="J12238">
            <v>45799</v>
          </cell>
          <cell r="K12238">
            <v>8</v>
          </cell>
        </row>
        <row r="12239">
          <cell r="C12239" t="str">
            <v>郭景成</v>
          </cell>
          <cell r="J12239">
            <v>45800</v>
          </cell>
          <cell r="K12239">
            <v>8</v>
          </cell>
        </row>
        <row r="12240">
          <cell r="C12240" t="str">
            <v>郭景成</v>
          </cell>
          <cell r="J12240">
            <v>45803</v>
          </cell>
          <cell r="K12240">
            <v>8</v>
          </cell>
        </row>
        <row r="12241">
          <cell r="C12241" t="str">
            <v>郭景成</v>
          </cell>
          <cell r="J12241">
            <v>45810</v>
          </cell>
          <cell r="K12241">
            <v>8</v>
          </cell>
        </row>
        <row r="12242">
          <cell r="C12242" t="str">
            <v>郭景成</v>
          </cell>
          <cell r="J12242">
            <v>45811</v>
          </cell>
          <cell r="K12242">
            <v>8</v>
          </cell>
        </row>
        <row r="12243">
          <cell r="C12243" t="str">
            <v>郭景成</v>
          </cell>
          <cell r="J12243">
            <v>45812</v>
          </cell>
          <cell r="K12243">
            <v>8</v>
          </cell>
        </row>
        <row r="12244">
          <cell r="C12244" t="str">
            <v>郭景成</v>
          </cell>
          <cell r="F12244" t="str">
            <v>E250301I1</v>
          </cell>
          <cell r="J12244">
            <v>45813</v>
          </cell>
          <cell r="K12244">
            <v>8</v>
          </cell>
        </row>
        <row r="12245">
          <cell r="C12245" t="str">
            <v>郭景成</v>
          </cell>
          <cell r="F12245" t="str">
            <v>E250301I1</v>
          </cell>
          <cell r="J12245">
            <v>45814</v>
          </cell>
          <cell r="K12245">
            <v>8</v>
          </cell>
        </row>
        <row r="12246">
          <cell r="C12246" t="str">
            <v>郭景成</v>
          </cell>
          <cell r="F12246" t="str">
            <v>E250201I1</v>
          </cell>
          <cell r="J12246">
            <v>45817</v>
          </cell>
          <cell r="K12246">
            <v>8</v>
          </cell>
        </row>
        <row r="12247">
          <cell r="C12247" t="str">
            <v>郭景成</v>
          </cell>
          <cell r="J12247">
            <v>45818</v>
          </cell>
          <cell r="K12247">
            <v>4</v>
          </cell>
        </row>
        <row r="12248">
          <cell r="C12248" t="str">
            <v>郭景成</v>
          </cell>
          <cell r="F12248" t="str">
            <v>E250201I1</v>
          </cell>
          <cell r="J12248">
            <v>45818</v>
          </cell>
          <cell r="K12248">
            <v>4</v>
          </cell>
        </row>
        <row r="12249">
          <cell r="C12249" t="str">
            <v>郭景成</v>
          </cell>
          <cell r="F12249" t="str">
            <v>E250201I1</v>
          </cell>
          <cell r="J12249">
            <v>45819</v>
          </cell>
          <cell r="K12249">
            <v>8</v>
          </cell>
        </row>
        <row r="12250">
          <cell r="C12250" t="str">
            <v>郭景成</v>
          </cell>
          <cell r="F12250" t="str">
            <v>E250301I1</v>
          </cell>
          <cell r="J12250">
            <v>45820</v>
          </cell>
          <cell r="K12250">
            <v>8</v>
          </cell>
        </row>
        <row r="12251">
          <cell r="C12251" t="str">
            <v>郭景成</v>
          </cell>
          <cell r="F12251" t="str">
            <v>E250301I1</v>
          </cell>
          <cell r="J12251">
            <v>45821</v>
          </cell>
          <cell r="K12251">
            <v>8</v>
          </cell>
        </row>
        <row r="12252">
          <cell r="C12252" t="str">
            <v>郭景成</v>
          </cell>
          <cell r="F12252" t="str">
            <v>E250301I1</v>
          </cell>
          <cell r="J12252">
            <v>45824</v>
          </cell>
          <cell r="K12252">
            <v>8</v>
          </cell>
        </row>
        <row r="12253">
          <cell r="C12253" t="str">
            <v>郭景成</v>
          </cell>
          <cell r="F12253" t="str">
            <v>E250301I1</v>
          </cell>
          <cell r="J12253">
            <v>45832</v>
          </cell>
          <cell r="K12253">
            <v>8</v>
          </cell>
        </row>
        <row r="12254">
          <cell r="C12254" t="str">
            <v>郭景成</v>
          </cell>
          <cell r="F12254" t="str">
            <v>E250201I1</v>
          </cell>
          <cell r="J12254">
            <v>45833</v>
          </cell>
          <cell r="K12254">
            <v>8</v>
          </cell>
        </row>
        <row r="12255">
          <cell r="C12255" t="str">
            <v>郭景成</v>
          </cell>
          <cell r="F12255" t="str">
            <v>E250201I1</v>
          </cell>
          <cell r="J12255">
            <v>45834</v>
          </cell>
          <cell r="K12255">
            <v>8</v>
          </cell>
        </row>
        <row r="12256">
          <cell r="C12256" t="str">
            <v>郭景成</v>
          </cell>
          <cell r="F12256" t="str">
            <v>E250201I1</v>
          </cell>
          <cell r="J12256">
            <v>45835</v>
          </cell>
          <cell r="K12256">
            <v>8</v>
          </cell>
        </row>
        <row r="12257">
          <cell r="C12257" t="str">
            <v>郭景成</v>
          </cell>
          <cell r="F12257" t="str">
            <v>E250201I1</v>
          </cell>
          <cell r="J12257">
            <v>45838</v>
          </cell>
          <cell r="K12257">
            <v>8</v>
          </cell>
        </row>
        <row r="12258">
          <cell r="C12258" t="str">
            <v>郭景成</v>
          </cell>
          <cell r="F12258" t="str">
            <v>E250201I1</v>
          </cell>
          <cell r="J12258">
            <v>45839</v>
          </cell>
          <cell r="K12258">
            <v>8</v>
          </cell>
        </row>
        <row r="12259">
          <cell r="C12259" t="str">
            <v>郭景成</v>
          </cell>
          <cell r="F12259" t="str">
            <v>E250301I1</v>
          </cell>
          <cell r="J12259">
            <v>45840</v>
          </cell>
          <cell r="K12259">
            <v>8</v>
          </cell>
        </row>
        <row r="12260">
          <cell r="C12260" t="str">
            <v>郭景成</v>
          </cell>
          <cell r="F12260" t="str">
            <v>E250301I1</v>
          </cell>
          <cell r="J12260">
            <v>45841</v>
          </cell>
          <cell r="K12260">
            <v>8</v>
          </cell>
        </row>
        <row r="12261">
          <cell r="C12261" t="str">
            <v>郭景成</v>
          </cell>
          <cell r="F12261" t="str">
            <v>E250201I1</v>
          </cell>
          <cell r="J12261">
            <v>45842</v>
          </cell>
          <cell r="K12261">
            <v>8</v>
          </cell>
        </row>
        <row r="12262">
          <cell r="C12262" t="str">
            <v>郭景成</v>
          </cell>
          <cell r="F12262" t="str">
            <v>E250201I1</v>
          </cell>
          <cell r="J12262">
            <v>45846</v>
          </cell>
          <cell r="K12262">
            <v>8</v>
          </cell>
        </row>
        <row r="12263">
          <cell r="C12263" t="str">
            <v>郭景成</v>
          </cell>
          <cell r="F12263" t="str">
            <v>E250201I1</v>
          </cell>
          <cell r="J12263">
            <v>45847</v>
          </cell>
          <cell r="K12263">
            <v>8</v>
          </cell>
        </row>
        <row r="12264">
          <cell r="C12264" t="str">
            <v>郭景成</v>
          </cell>
          <cell r="F12264" t="str">
            <v>E250101I1</v>
          </cell>
          <cell r="J12264">
            <v>45848</v>
          </cell>
          <cell r="K12264">
            <v>8</v>
          </cell>
        </row>
        <row r="12265">
          <cell r="C12265" t="str">
            <v>郭景成</v>
          </cell>
          <cell r="F12265" t="str">
            <v>E250101I1</v>
          </cell>
          <cell r="J12265">
            <v>45849</v>
          </cell>
          <cell r="K12265">
            <v>8</v>
          </cell>
        </row>
        <row r="12266">
          <cell r="C12266" t="str">
            <v>郭景成</v>
          </cell>
          <cell r="F12266" t="str">
            <v>E250101I1</v>
          </cell>
          <cell r="J12266">
            <v>45852</v>
          </cell>
          <cell r="K12266">
            <v>8</v>
          </cell>
        </row>
        <row r="12267">
          <cell r="C12267" t="str">
            <v>郭景成</v>
          </cell>
          <cell r="F12267" t="str">
            <v>E250101I1</v>
          </cell>
          <cell r="J12267">
            <v>45853</v>
          </cell>
          <cell r="K12267">
            <v>8</v>
          </cell>
        </row>
        <row r="12268">
          <cell r="C12268" t="str">
            <v>郭景成</v>
          </cell>
          <cell r="F12268" t="str">
            <v>E250201I1</v>
          </cell>
          <cell r="J12268">
            <v>45854</v>
          </cell>
          <cell r="K12268">
            <v>8</v>
          </cell>
        </row>
        <row r="12269">
          <cell r="C12269" t="str">
            <v>郭景成</v>
          </cell>
          <cell r="F12269" t="str">
            <v>E250201I1</v>
          </cell>
          <cell r="J12269">
            <v>45855</v>
          </cell>
          <cell r="K12269">
            <v>8</v>
          </cell>
        </row>
        <row r="12270">
          <cell r="C12270" t="str">
            <v>郭景成</v>
          </cell>
          <cell r="F12270" t="str">
            <v>E250101I1</v>
          </cell>
          <cell r="J12270">
            <v>45856</v>
          </cell>
          <cell r="K12270">
            <v>8</v>
          </cell>
        </row>
        <row r="12271">
          <cell r="C12271" t="str">
            <v>郭景成</v>
          </cell>
          <cell r="F12271" t="str">
            <v>E250101I1</v>
          </cell>
          <cell r="J12271">
            <v>45859</v>
          </cell>
          <cell r="K12271">
            <v>8</v>
          </cell>
        </row>
        <row r="12272">
          <cell r="C12272" t="str">
            <v>郭景成</v>
          </cell>
          <cell r="F12272" t="str">
            <v>E250101I1</v>
          </cell>
          <cell r="J12272">
            <v>45860</v>
          </cell>
          <cell r="K12272">
            <v>8</v>
          </cell>
        </row>
        <row r="12273">
          <cell r="C12273" t="str">
            <v>郭景成</v>
          </cell>
          <cell r="F12273" t="str">
            <v>E250101I1</v>
          </cell>
          <cell r="J12273">
            <v>45861</v>
          </cell>
          <cell r="K12273">
            <v>8</v>
          </cell>
        </row>
        <row r="12274">
          <cell r="C12274" t="str">
            <v>郭景成</v>
          </cell>
          <cell r="F12274" t="str">
            <v>E250201I1</v>
          </cell>
          <cell r="J12274">
            <v>45862</v>
          </cell>
          <cell r="K12274">
            <v>8</v>
          </cell>
        </row>
        <row r="12275">
          <cell r="C12275" t="str">
            <v>郭景成</v>
          </cell>
          <cell r="F12275" t="str">
            <v>E250201I1</v>
          </cell>
          <cell r="J12275">
            <v>45863</v>
          </cell>
          <cell r="K12275">
            <v>8</v>
          </cell>
        </row>
        <row r="12276">
          <cell r="C12276" t="str">
            <v>郭景成</v>
          </cell>
          <cell r="J12276">
            <v>45866</v>
          </cell>
          <cell r="K12276">
            <v>8</v>
          </cell>
        </row>
        <row r="12277">
          <cell r="C12277" t="str">
            <v>郭景成</v>
          </cell>
          <cell r="J12277">
            <v>45867</v>
          </cell>
          <cell r="K12277">
            <v>8</v>
          </cell>
        </row>
        <row r="12278">
          <cell r="C12278" t="str">
            <v>郭景成</v>
          </cell>
          <cell r="J12278">
            <v>45868</v>
          </cell>
          <cell r="K12278">
            <v>8</v>
          </cell>
        </row>
        <row r="12279">
          <cell r="C12279" t="str">
            <v>郭景成</v>
          </cell>
          <cell r="J12279">
            <v>45870</v>
          </cell>
          <cell r="K12279">
            <v>8</v>
          </cell>
        </row>
        <row r="12280">
          <cell r="C12280" t="str">
            <v>郭景成</v>
          </cell>
          <cell r="F12280" t="str">
            <v>E250301I1</v>
          </cell>
          <cell r="J12280">
            <v>45873</v>
          </cell>
          <cell r="K12280">
            <v>8</v>
          </cell>
        </row>
        <row r="12281">
          <cell r="C12281" t="str">
            <v>郭景成</v>
          </cell>
          <cell r="F12281" t="str">
            <v>E250301I1</v>
          </cell>
          <cell r="J12281">
            <v>45874</v>
          </cell>
          <cell r="K12281">
            <v>8</v>
          </cell>
        </row>
        <row r="12282">
          <cell r="C12282" t="str">
            <v>郭景成</v>
          </cell>
          <cell r="F12282" t="str">
            <v>E250101I1</v>
          </cell>
          <cell r="J12282">
            <v>45875</v>
          </cell>
          <cell r="K12282">
            <v>8</v>
          </cell>
        </row>
        <row r="12283">
          <cell r="C12283" t="str">
            <v>郭景成</v>
          </cell>
          <cell r="F12283" t="str">
            <v>E250101I1</v>
          </cell>
          <cell r="J12283">
            <v>45876</v>
          </cell>
          <cell r="K12283">
            <v>8</v>
          </cell>
        </row>
        <row r="12284">
          <cell r="C12284" t="str">
            <v>郭景成</v>
          </cell>
          <cell r="F12284" t="str">
            <v>E250101I1</v>
          </cell>
          <cell r="J12284">
            <v>45877</v>
          </cell>
          <cell r="K12284">
            <v>8</v>
          </cell>
        </row>
        <row r="12285">
          <cell r="C12285" t="str">
            <v>郭景成</v>
          </cell>
          <cell r="F12285" t="str">
            <v>E250201I1</v>
          </cell>
          <cell r="J12285">
            <v>45880</v>
          </cell>
          <cell r="K12285">
            <v>8</v>
          </cell>
        </row>
        <row r="12286">
          <cell r="C12286" t="str">
            <v>郭景成</v>
          </cell>
          <cell r="F12286" t="str">
            <v>E250201I1</v>
          </cell>
          <cell r="J12286">
            <v>45881</v>
          </cell>
          <cell r="K12286">
            <v>8</v>
          </cell>
        </row>
        <row r="12287">
          <cell r="C12287" t="str">
            <v>郭景成</v>
          </cell>
          <cell r="J12287">
            <v>45887</v>
          </cell>
          <cell r="K12287">
            <v>8</v>
          </cell>
        </row>
        <row r="12288">
          <cell r="C12288" t="str">
            <v>郭景成</v>
          </cell>
          <cell r="F12288" t="str">
            <v>E250101I1</v>
          </cell>
          <cell r="J12288">
            <v>45888</v>
          </cell>
          <cell r="K12288">
            <v>8</v>
          </cell>
        </row>
        <row r="12289">
          <cell r="C12289" t="str">
            <v>郭景成</v>
          </cell>
          <cell r="F12289" t="str">
            <v>E250101I1</v>
          </cell>
          <cell r="J12289">
            <v>45889</v>
          </cell>
          <cell r="K12289">
            <v>8</v>
          </cell>
        </row>
        <row r="12290">
          <cell r="C12290" t="str">
            <v>郭景成</v>
          </cell>
          <cell r="F12290" t="str">
            <v>E250101I1</v>
          </cell>
          <cell r="J12290">
            <v>45890</v>
          </cell>
          <cell r="K12290">
            <v>8</v>
          </cell>
        </row>
        <row r="12291">
          <cell r="C12291" t="str">
            <v>郭景成</v>
          </cell>
          <cell r="J12291">
            <v>45891</v>
          </cell>
          <cell r="K12291">
            <v>4</v>
          </cell>
        </row>
        <row r="12292">
          <cell r="C12292" t="str">
            <v>郭景成</v>
          </cell>
          <cell r="F12292" t="str">
            <v>E250101I1</v>
          </cell>
          <cell r="J12292">
            <v>45891</v>
          </cell>
          <cell r="K12292">
            <v>4</v>
          </cell>
        </row>
        <row r="12293">
          <cell r="C12293" t="str">
            <v>郭景成</v>
          </cell>
          <cell r="F12293" t="str">
            <v>E250101I1</v>
          </cell>
          <cell r="J12293">
            <v>45894</v>
          </cell>
          <cell r="K12293">
            <v>8</v>
          </cell>
        </row>
        <row r="12294">
          <cell r="C12294" t="str">
            <v>郭景成</v>
          </cell>
          <cell r="F12294" t="str">
            <v>E250101I1</v>
          </cell>
          <cell r="J12294">
            <v>45895</v>
          </cell>
          <cell r="K12294">
            <v>8</v>
          </cell>
        </row>
        <row r="12295">
          <cell r="C12295" t="str">
            <v>郭景成</v>
          </cell>
          <cell r="F12295" t="str">
            <v>E250101I1</v>
          </cell>
          <cell r="J12295">
            <v>45896</v>
          </cell>
          <cell r="K12295">
            <v>8</v>
          </cell>
        </row>
        <row r="12296">
          <cell r="C12296" t="str">
            <v>郭景成</v>
          </cell>
          <cell r="J12296">
            <v>45897</v>
          </cell>
          <cell r="K12296">
            <v>8</v>
          </cell>
        </row>
        <row r="12297">
          <cell r="C12297" t="str">
            <v>郭景成</v>
          </cell>
          <cell r="F12297" t="str">
            <v>E250202I1</v>
          </cell>
          <cell r="J12297">
            <v>45898</v>
          </cell>
          <cell r="K12297">
            <v>8</v>
          </cell>
        </row>
        <row r="12298">
          <cell r="C12298" t="str">
            <v>郭景成</v>
          </cell>
          <cell r="F12298" t="str">
            <v>E250102I1</v>
          </cell>
          <cell r="J12298">
            <v>45901</v>
          </cell>
          <cell r="K12298">
            <v>8</v>
          </cell>
        </row>
        <row r="12299">
          <cell r="C12299" t="str">
            <v>郭景成</v>
          </cell>
          <cell r="F12299" t="str">
            <v>E250202I1</v>
          </cell>
          <cell r="J12299">
            <v>45902</v>
          </cell>
          <cell r="K12299">
            <v>8</v>
          </cell>
        </row>
        <row r="12300">
          <cell r="C12300" t="str">
            <v>郭景成</v>
          </cell>
          <cell r="F12300" t="str">
            <v>E250102I1</v>
          </cell>
          <cell r="J12300">
            <v>45903</v>
          </cell>
          <cell r="K12300">
            <v>8</v>
          </cell>
        </row>
        <row r="12301">
          <cell r="C12301" t="str">
            <v>郭景成</v>
          </cell>
          <cell r="F12301" t="str">
            <v>E250201I1</v>
          </cell>
          <cell r="J12301">
            <v>45904</v>
          </cell>
          <cell r="K12301">
            <v>8</v>
          </cell>
        </row>
        <row r="12302">
          <cell r="C12302" t="str">
            <v>郭景成</v>
          </cell>
          <cell r="F12302" t="str">
            <v>E250201I1</v>
          </cell>
          <cell r="J12302">
            <v>45905</v>
          </cell>
          <cell r="K12302">
            <v>8</v>
          </cell>
        </row>
        <row r="12303">
          <cell r="C12303" t="str">
            <v>郭景成</v>
          </cell>
          <cell r="J12303">
            <v>45908</v>
          </cell>
          <cell r="K12303">
            <v>8</v>
          </cell>
        </row>
        <row r="12304">
          <cell r="C12304" t="str">
            <v>郭景成</v>
          </cell>
          <cell r="F12304" t="str">
            <v>E250201I1</v>
          </cell>
          <cell r="J12304">
            <v>45909</v>
          </cell>
          <cell r="K12304">
            <v>8</v>
          </cell>
        </row>
        <row r="12305">
          <cell r="C12305" t="str">
            <v>郭景成</v>
          </cell>
          <cell r="F12305" t="str">
            <v>E250201I1</v>
          </cell>
          <cell r="J12305">
            <v>45910</v>
          </cell>
          <cell r="K12305">
            <v>8</v>
          </cell>
        </row>
        <row r="12306">
          <cell r="C12306" t="str">
            <v>郭景成</v>
          </cell>
          <cell r="J12306">
            <v>45911</v>
          </cell>
          <cell r="K12306">
            <v>8</v>
          </cell>
        </row>
        <row r="12307">
          <cell r="C12307" t="str">
            <v>郭景成</v>
          </cell>
          <cell r="J12307">
            <v>45912</v>
          </cell>
          <cell r="K12307">
            <v>8</v>
          </cell>
        </row>
        <row r="12308">
          <cell r="C12308" t="str">
            <v>郭景成</v>
          </cell>
          <cell r="J12308">
            <v>45915</v>
          </cell>
          <cell r="K12308">
            <v>8</v>
          </cell>
        </row>
        <row r="12309">
          <cell r="C12309" t="str">
            <v>郭景成</v>
          </cell>
          <cell r="J12309">
            <v>45916</v>
          </cell>
          <cell r="K12309">
            <v>8</v>
          </cell>
        </row>
        <row r="12310">
          <cell r="C12310" t="str">
            <v>郭景成</v>
          </cell>
          <cell r="J12310">
            <v>45917</v>
          </cell>
          <cell r="K12310">
            <v>8</v>
          </cell>
        </row>
        <row r="12311">
          <cell r="C12311" t="str">
            <v>郭景成</v>
          </cell>
          <cell r="J12311">
            <v>45919</v>
          </cell>
          <cell r="K12311">
            <v>8</v>
          </cell>
        </row>
        <row r="12312">
          <cell r="C12312" t="str">
            <v>郭景成</v>
          </cell>
          <cell r="J12312">
            <v>45922</v>
          </cell>
          <cell r="K12312">
            <v>8</v>
          </cell>
        </row>
        <row r="12313">
          <cell r="C12313" t="str">
            <v>郭景成</v>
          </cell>
          <cell r="J12313">
            <v>45923</v>
          </cell>
          <cell r="K12313">
            <v>8</v>
          </cell>
        </row>
        <row r="12314">
          <cell r="C12314" t="str">
            <v>郭景成</v>
          </cell>
          <cell r="J12314">
            <v>45924</v>
          </cell>
          <cell r="K12314">
            <v>8</v>
          </cell>
        </row>
        <row r="12315">
          <cell r="C12315" t="str">
            <v>郭景成</v>
          </cell>
          <cell r="F12315" t="str">
            <v>E250201I1</v>
          </cell>
          <cell r="J12315">
            <v>45925</v>
          </cell>
          <cell r="K12315">
            <v>8</v>
          </cell>
        </row>
        <row r="12316">
          <cell r="C12316" t="str">
            <v>郭景成</v>
          </cell>
          <cell r="F12316" t="str">
            <v>E250201I1</v>
          </cell>
          <cell r="J12316">
            <v>45926</v>
          </cell>
          <cell r="K12316">
            <v>8</v>
          </cell>
        </row>
        <row r="12317">
          <cell r="C12317" t="str">
            <v>郭景成</v>
          </cell>
          <cell r="F12317" t="str">
            <v>E250202I1</v>
          </cell>
          <cell r="J12317">
            <v>45930</v>
          </cell>
          <cell r="K12317">
            <v>8</v>
          </cell>
        </row>
        <row r="12318">
          <cell r="C12318" t="str">
            <v>郭景成</v>
          </cell>
          <cell r="J12318">
            <v>45931</v>
          </cell>
          <cell r="K12318">
            <v>8</v>
          </cell>
        </row>
        <row r="12319">
          <cell r="C12319" t="str">
            <v>郭景成</v>
          </cell>
          <cell r="J12319">
            <v>45932</v>
          </cell>
          <cell r="K12319">
            <v>8</v>
          </cell>
        </row>
        <row r="12320">
          <cell r="C12320" t="str">
            <v>郭景成</v>
          </cell>
          <cell r="J12320">
            <v>45933</v>
          </cell>
          <cell r="K12320">
            <v>8</v>
          </cell>
        </row>
        <row r="12321">
          <cell r="C12321" t="str">
            <v>郭景成</v>
          </cell>
          <cell r="J12321">
            <v>45937</v>
          </cell>
          <cell r="K12321">
            <v>8</v>
          </cell>
        </row>
        <row r="12322">
          <cell r="C12322" t="str">
            <v>郭景成</v>
          </cell>
          <cell r="J12322">
            <v>45938</v>
          </cell>
          <cell r="K12322">
            <v>8</v>
          </cell>
        </row>
        <row r="12323">
          <cell r="C12323" t="str">
            <v>郭景成</v>
          </cell>
          <cell r="F12323" t="str">
            <v>E250202I1</v>
          </cell>
          <cell r="J12323">
            <v>45939</v>
          </cell>
          <cell r="K12323">
            <v>8</v>
          </cell>
        </row>
        <row r="12324">
          <cell r="C12324" t="str">
            <v>郭景成</v>
          </cell>
          <cell r="J12324">
            <v>45943</v>
          </cell>
          <cell r="K12324">
            <v>4</v>
          </cell>
        </row>
        <row r="12325">
          <cell r="C12325" t="str">
            <v>郭景成</v>
          </cell>
          <cell r="F12325" t="str">
            <v>E250202I1</v>
          </cell>
          <cell r="J12325">
            <v>45943</v>
          </cell>
          <cell r="K12325">
            <v>4</v>
          </cell>
        </row>
        <row r="12326">
          <cell r="C12326" t="str">
            <v>郭景成</v>
          </cell>
          <cell r="J12326">
            <v>45944</v>
          </cell>
          <cell r="K12326">
            <v>8</v>
          </cell>
        </row>
        <row r="12327">
          <cell r="C12327" t="str">
            <v>郭景成</v>
          </cell>
          <cell r="J12327">
            <v>45945</v>
          </cell>
          <cell r="K12327">
            <v>8</v>
          </cell>
        </row>
        <row r="12328">
          <cell r="C12328" t="str">
            <v>郭景成</v>
          </cell>
          <cell r="F12328" t="str">
            <v>E250102I1</v>
          </cell>
          <cell r="J12328">
            <v>45946</v>
          </cell>
          <cell r="K12328">
            <v>8</v>
          </cell>
        </row>
        <row r="12329">
          <cell r="C12329" t="str">
            <v>郭景成</v>
          </cell>
          <cell r="F12329" t="str">
            <v>E250201I1</v>
          </cell>
          <cell r="J12329">
            <v>45947</v>
          </cell>
          <cell r="K12329">
            <v>8</v>
          </cell>
        </row>
        <row r="12330">
          <cell r="C12330" t="str">
            <v>郭景成</v>
          </cell>
          <cell r="J12330">
            <v>45950</v>
          </cell>
          <cell r="K12330">
            <v>8</v>
          </cell>
        </row>
        <row r="12331">
          <cell r="C12331" t="str">
            <v>郭景成</v>
          </cell>
          <cell r="J12331">
            <v>45951</v>
          </cell>
          <cell r="K12331">
            <v>8</v>
          </cell>
        </row>
        <row r="12332">
          <cell r="C12332" t="str">
            <v>郭景成</v>
          </cell>
          <cell r="F12332" t="str">
            <v>E250201I1</v>
          </cell>
          <cell r="J12332">
            <v>45952</v>
          </cell>
          <cell r="K12332">
            <v>8</v>
          </cell>
        </row>
        <row r="12333">
          <cell r="C12333" t="str">
            <v>郭景成</v>
          </cell>
          <cell r="F12333" t="str">
            <v>E250201I1</v>
          </cell>
          <cell r="J12333">
            <v>45953</v>
          </cell>
          <cell r="K12333">
            <v>8</v>
          </cell>
        </row>
        <row r="12334">
          <cell r="C12334" t="str">
            <v>郭景成</v>
          </cell>
          <cell r="J12334">
            <v>45957</v>
          </cell>
          <cell r="K12334">
            <v>4</v>
          </cell>
        </row>
        <row r="12335">
          <cell r="C12335" t="str">
            <v>郭景成</v>
          </cell>
          <cell r="J12335">
            <v>45957</v>
          </cell>
          <cell r="K12335">
            <v>4</v>
          </cell>
        </row>
        <row r="12336">
          <cell r="C12336" t="str">
            <v>郭景成</v>
          </cell>
          <cell r="J12336">
            <v>45958</v>
          </cell>
          <cell r="K12336">
            <v>8</v>
          </cell>
        </row>
        <row r="12337">
          <cell r="C12337" t="str">
            <v>郭景成</v>
          </cell>
          <cell r="J12337">
            <v>45959</v>
          </cell>
          <cell r="K12337">
            <v>6</v>
          </cell>
        </row>
        <row r="12338">
          <cell r="C12338" t="str">
            <v>郭景成</v>
          </cell>
          <cell r="J12338">
            <v>45959</v>
          </cell>
          <cell r="K12338">
            <v>2</v>
          </cell>
        </row>
        <row r="12339">
          <cell r="C12339" t="str">
            <v>郭景成</v>
          </cell>
          <cell r="J12339">
            <v>45960</v>
          </cell>
          <cell r="K12339">
            <v>8</v>
          </cell>
        </row>
        <row r="12340">
          <cell r="C12340" t="str">
            <v>郭景成</v>
          </cell>
          <cell r="J12340">
            <v>45961</v>
          </cell>
          <cell r="K12340">
            <v>8</v>
          </cell>
        </row>
        <row r="12341">
          <cell r="C12341" t="str">
            <v>郭景成</v>
          </cell>
          <cell r="J12341">
            <v>45964</v>
          </cell>
          <cell r="K12341">
            <v>8</v>
          </cell>
        </row>
        <row r="12342">
          <cell r="C12342" t="str">
            <v>郭景成</v>
          </cell>
          <cell r="J12342">
            <v>45965</v>
          </cell>
          <cell r="K12342">
            <v>4</v>
          </cell>
        </row>
        <row r="12343">
          <cell r="C12343" t="str">
            <v>郭景成</v>
          </cell>
          <cell r="J12343">
            <v>45965</v>
          </cell>
          <cell r="K12343">
            <v>4</v>
          </cell>
        </row>
        <row r="12344">
          <cell r="C12344" t="str">
            <v>郭景成</v>
          </cell>
          <cell r="J12344">
            <v>45966</v>
          </cell>
          <cell r="K12344">
            <v>4</v>
          </cell>
        </row>
        <row r="12345">
          <cell r="C12345" t="str">
            <v>郭景成</v>
          </cell>
          <cell r="F12345" t="str">
            <v>E250202I1</v>
          </cell>
          <cell r="J12345">
            <v>45966</v>
          </cell>
          <cell r="K12345">
            <v>4</v>
          </cell>
        </row>
        <row r="12346">
          <cell r="C12346" t="str">
            <v>郭景成</v>
          </cell>
          <cell r="J12346">
            <v>45967</v>
          </cell>
          <cell r="K12346">
            <v>8</v>
          </cell>
        </row>
        <row r="12347">
          <cell r="C12347" t="str">
            <v>郭景成</v>
          </cell>
          <cell r="J12347">
            <v>45968</v>
          </cell>
          <cell r="K12347">
            <v>8</v>
          </cell>
        </row>
        <row r="12348">
          <cell r="C12348" t="str">
            <v>郭景成</v>
          </cell>
          <cell r="F12348" t="str">
            <v>E250202I1</v>
          </cell>
          <cell r="J12348">
            <v>45971</v>
          </cell>
          <cell r="K12348">
            <v>4</v>
          </cell>
        </row>
        <row r="12349">
          <cell r="C12349" t="str">
            <v>郭景成</v>
          </cell>
          <cell r="J12349">
            <v>45971</v>
          </cell>
          <cell r="K12349">
            <v>4</v>
          </cell>
        </row>
        <row r="12350">
          <cell r="C12350" t="str">
            <v>郭景成</v>
          </cell>
          <cell r="F12350" t="str">
            <v>E250202I1</v>
          </cell>
          <cell r="J12350">
            <v>45972</v>
          </cell>
          <cell r="K12350">
            <v>8</v>
          </cell>
        </row>
        <row r="12351">
          <cell r="C12351" t="str">
            <v>郭景成</v>
          </cell>
          <cell r="F12351" t="str">
            <v>E250102I1</v>
          </cell>
          <cell r="J12351">
            <v>45973</v>
          </cell>
          <cell r="K12351">
            <v>8</v>
          </cell>
        </row>
        <row r="12352">
          <cell r="C12352" t="str">
            <v>郭景成</v>
          </cell>
          <cell r="J12352">
            <v>45974</v>
          </cell>
          <cell r="K12352">
            <v>8</v>
          </cell>
        </row>
        <row r="12353">
          <cell r="C12353" t="str">
            <v>郭景成</v>
          </cell>
          <cell r="J12353">
            <v>45975</v>
          </cell>
          <cell r="K12353">
            <v>8</v>
          </cell>
        </row>
        <row r="12354">
          <cell r="C12354" t="str">
            <v>郭景成</v>
          </cell>
          <cell r="J12354">
            <v>45978</v>
          </cell>
          <cell r="K12354">
            <v>8</v>
          </cell>
        </row>
        <row r="12355">
          <cell r="C12355" t="str">
            <v>郭景成</v>
          </cell>
          <cell r="J12355">
            <v>45979</v>
          </cell>
          <cell r="K12355">
            <v>8</v>
          </cell>
        </row>
        <row r="12356">
          <cell r="C12356" t="str">
            <v>郭景成</v>
          </cell>
          <cell r="J12356">
            <v>45980</v>
          </cell>
          <cell r="K12356">
            <v>8</v>
          </cell>
        </row>
        <row r="12357">
          <cell r="C12357" t="str">
            <v>郭景成</v>
          </cell>
          <cell r="J12357">
            <v>45981</v>
          </cell>
          <cell r="K12357">
            <v>8</v>
          </cell>
        </row>
        <row r="12358">
          <cell r="C12358" t="str">
            <v>郭景成</v>
          </cell>
          <cell r="J12358">
            <v>45982</v>
          </cell>
          <cell r="K12358">
            <v>8</v>
          </cell>
        </row>
        <row r="12359">
          <cell r="C12359" t="str">
            <v>郭景成</v>
          </cell>
          <cell r="J12359">
            <v>45985</v>
          </cell>
          <cell r="K12359">
            <v>8</v>
          </cell>
        </row>
        <row r="12360">
          <cell r="C12360" t="str">
            <v>郭景成</v>
          </cell>
          <cell r="J12360">
            <v>45986</v>
          </cell>
          <cell r="K12360">
            <v>8</v>
          </cell>
        </row>
        <row r="12361">
          <cell r="C12361" t="str">
            <v>郭景成</v>
          </cell>
          <cell r="J12361">
            <v>45987</v>
          </cell>
          <cell r="K12361">
            <v>8</v>
          </cell>
        </row>
        <row r="12362">
          <cell r="C12362" t="str">
            <v>郭景成</v>
          </cell>
          <cell r="J12362">
            <v>45988</v>
          </cell>
          <cell r="K12362">
            <v>8</v>
          </cell>
        </row>
        <row r="12363">
          <cell r="C12363" t="str">
            <v>郭景成</v>
          </cell>
          <cell r="J12363">
            <v>45989</v>
          </cell>
          <cell r="K12363">
            <v>4</v>
          </cell>
        </row>
        <row r="12364">
          <cell r="C12364" t="str">
            <v>郭景成</v>
          </cell>
          <cell r="J12364">
            <v>45989</v>
          </cell>
          <cell r="K12364">
            <v>4</v>
          </cell>
        </row>
        <row r="12365">
          <cell r="C12365" t="str">
            <v>郭景成</v>
          </cell>
          <cell r="F12365" t="str">
            <v>E251001I1</v>
          </cell>
          <cell r="J12365">
            <v>45992</v>
          </cell>
          <cell r="K12365">
            <v>4</v>
          </cell>
        </row>
        <row r="12366">
          <cell r="C12366" t="str">
            <v>郭景成</v>
          </cell>
          <cell r="J12366">
            <v>45992</v>
          </cell>
          <cell r="K12366">
            <v>4</v>
          </cell>
        </row>
        <row r="12367">
          <cell r="C12367" t="str">
            <v>郭景成</v>
          </cell>
          <cell r="F12367" t="str">
            <v>E251001I1</v>
          </cell>
          <cell r="J12367">
            <v>45993</v>
          </cell>
          <cell r="K12367">
            <v>8</v>
          </cell>
        </row>
        <row r="12368">
          <cell r="C12368" t="str">
            <v>郭景成</v>
          </cell>
          <cell r="F12368" t="str">
            <v>E251001I1</v>
          </cell>
          <cell r="J12368">
            <v>45994</v>
          </cell>
          <cell r="K12368">
            <v>8</v>
          </cell>
        </row>
        <row r="12369">
          <cell r="C12369" t="str">
            <v>郭景成</v>
          </cell>
          <cell r="F12369" t="str">
            <v>E251001I1</v>
          </cell>
          <cell r="J12369">
            <v>45995</v>
          </cell>
          <cell r="K12369">
            <v>8</v>
          </cell>
        </row>
        <row r="12370">
          <cell r="C12370" t="str">
            <v>郭景成</v>
          </cell>
          <cell r="J12370">
            <v>45996</v>
          </cell>
          <cell r="K12370">
            <v>8</v>
          </cell>
        </row>
        <row r="12371">
          <cell r="C12371" t="str">
            <v>郭景成</v>
          </cell>
          <cell r="J12371">
            <v>45999</v>
          </cell>
          <cell r="K12371">
            <v>8</v>
          </cell>
        </row>
        <row r="12372">
          <cell r="C12372" t="str">
            <v>郭景成</v>
          </cell>
          <cell r="J12372">
            <v>46000</v>
          </cell>
          <cell r="K12372">
            <v>2</v>
          </cell>
        </row>
        <row r="12373">
          <cell r="C12373" t="str">
            <v>郭景成</v>
          </cell>
          <cell r="F12373" t="str">
            <v>E251001I1</v>
          </cell>
          <cell r="J12373">
            <v>46000</v>
          </cell>
          <cell r="K12373">
            <v>6</v>
          </cell>
        </row>
        <row r="12374">
          <cell r="C12374" t="str">
            <v>郭景成</v>
          </cell>
          <cell r="F12374" t="str">
            <v>E251001I1</v>
          </cell>
          <cell r="J12374">
            <v>46001</v>
          </cell>
          <cell r="K12374">
            <v>8</v>
          </cell>
        </row>
        <row r="12375">
          <cell r="C12375" t="str">
            <v>郭景成</v>
          </cell>
          <cell r="J12375">
            <v>46002</v>
          </cell>
          <cell r="K12375">
            <v>8</v>
          </cell>
        </row>
        <row r="12376">
          <cell r="C12376" t="str">
            <v>郭景成</v>
          </cell>
          <cell r="J12376">
            <v>46003</v>
          </cell>
          <cell r="K12376">
            <v>8</v>
          </cell>
        </row>
        <row r="12377">
          <cell r="C12377" t="str">
            <v>郭景成</v>
          </cell>
          <cell r="J12377">
            <v>46006</v>
          </cell>
          <cell r="K12377">
            <v>8</v>
          </cell>
        </row>
        <row r="12378">
          <cell r="C12378" t="str">
            <v>郭景成</v>
          </cell>
          <cell r="J12378">
            <v>46007</v>
          </cell>
          <cell r="K12378">
            <v>4</v>
          </cell>
        </row>
        <row r="12379">
          <cell r="C12379" t="str">
            <v>郭景成</v>
          </cell>
          <cell r="J12379">
            <v>46007</v>
          </cell>
          <cell r="K12379">
            <v>4</v>
          </cell>
        </row>
        <row r="12380">
          <cell r="C12380" t="str">
            <v>郭景成</v>
          </cell>
          <cell r="J12380">
            <v>46008</v>
          </cell>
          <cell r="K12380">
            <v>8</v>
          </cell>
        </row>
        <row r="12381">
          <cell r="C12381" t="str">
            <v>郭景成</v>
          </cell>
          <cell r="J12381">
            <v>46009</v>
          </cell>
          <cell r="K12381">
            <v>8</v>
          </cell>
        </row>
        <row r="12382">
          <cell r="C12382" t="str">
            <v>郭景成</v>
          </cell>
          <cell r="J12382">
            <v>46010</v>
          </cell>
          <cell r="K12382">
            <v>4</v>
          </cell>
        </row>
        <row r="12383">
          <cell r="C12383" t="str">
            <v>郭景成</v>
          </cell>
          <cell r="J12383">
            <v>46010</v>
          </cell>
          <cell r="K12383">
            <v>4</v>
          </cell>
        </row>
        <row r="12384">
          <cell r="C12384" t="str">
            <v>郭景成</v>
          </cell>
          <cell r="J12384">
            <v>46013</v>
          </cell>
          <cell r="K12384">
            <v>8</v>
          </cell>
        </row>
        <row r="12385">
          <cell r="C12385" t="str">
            <v>郭景成</v>
          </cell>
          <cell r="J12385">
            <v>46014</v>
          </cell>
          <cell r="K12385">
            <v>8</v>
          </cell>
        </row>
        <row r="12386">
          <cell r="C12386" t="str">
            <v>郭景成</v>
          </cell>
          <cell r="J12386">
            <v>46015</v>
          </cell>
          <cell r="K12386">
            <v>8</v>
          </cell>
        </row>
        <row r="12387">
          <cell r="C12387" t="str">
            <v>郭景成</v>
          </cell>
          <cell r="J12387">
            <v>46017</v>
          </cell>
          <cell r="K12387">
            <v>8</v>
          </cell>
        </row>
        <row r="12388">
          <cell r="C12388" t="str">
            <v>郭景成</v>
          </cell>
          <cell r="J12388">
            <v>46020</v>
          </cell>
          <cell r="K12388">
            <v>8</v>
          </cell>
        </row>
        <row r="12389">
          <cell r="C12389" t="str">
            <v>郭景成</v>
          </cell>
          <cell r="J12389">
            <v>46021</v>
          </cell>
          <cell r="K12389">
            <v>8</v>
          </cell>
        </row>
        <row r="12390">
          <cell r="C12390" t="str">
            <v>郭景成</v>
          </cell>
          <cell r="F12390" t="str">
            <v>E251001I1</v>
          </cell>
          <cell r="J12390">
            <v>46022</v>
          </cell>
          <cell r="K12390">
            <v>4</v>
          </cell>
        </row>
        <row r="12391">
          <cell r="C12391" t="str">
            <v>郭景成</v>
          </cell>
          <cell r="J12391">
            <v>46022</v>
          </cell>
          <cell r="K12391">
            <v>4</v>
          </cell>
        </row>
        <row r="12392">
          <cell r="C12392" t="str">
            <v>郭景成</v>
          </cell>
          <cell r="J12392">
            <v>46024</v>
          </cell>
          <cell r="K12392">
            <v>8</v>
          </cell>
        </row>
        <row r="12393">
          <cell r="C12393" t="str">
            <v>郭景成</v>
          </cell>
          <cell r="F12393" t="str">
            <v>E251001I1</v>
          </cell>
          <cell r="J12393">
            <v>46027</v>
          </cell>
          <cell r="K12393">
            <v>4</v>
          </cell>
        </row>
        <row r="12394">
          <cell r="C12394" t="str">
            <v>郭景成</v>
          </cell>
          <cell r="J12394">
            <v>46027</v>
          </cell>
          <cell r="K12394">
            <v>4</v>
          </cell>
        </row>
        <row r="12395">
          <cell r="C12395" t="str">
            <v>郭景成</v>
          </cell>
          <cell r="J12395">
            <v>46028</v>
          </cell>
          <cell r="K12395">
            <v>8</v>
          </cell>
        </row>
        <row r="12396">
          <cell r="C12396" t="str">
            <v>郭景成</v>
          </cell>
          <cell r="J12396">
            <v>46029</v>
          </cell>
          <cell r="K12396">
            <v>8</v>
          </cell>
        </row>
        <row r="12397">
          <cell r="C12397" t="str">
            <v>郭景成</v>
          </cell>
          <cell r="J12397">
            <v>46030</v>
          </cell>
          <cell r="K12397">
            <v>8</v>
          </cell>
        </row>
        <row r="12398">
          <cell r="C12398" t="str">
            <v>郭景成</v>
          </cell>
          <cell r="F12398" t="str">
            <v>E251001I1</v>
          </cell>
          <cell r="J12398">
            <v>46031</v>
          </cell>
          <cell r="K12398">
            <v>8</v>
          </cell>
        </row>
        <row r="12399">
          <cell r="C12399" t="str">
            <v>郭景成</v>
          </cell>
          <cell r="J12399">
            <v>46034</v>
          </cell>
          <cell r="K12399">
            <v>4</v>
          </cell>
        </row>
        <row r="12400">
          <cell r="C12400" t="str">
            <v>郭景成</v>
          </cell>
          <cell r="J12400">
            <v>46034</v>
          </cell>
          <cell r="K12400">
            <v>4</v>
          </cell>
        </row>
        <row r="12401">
          <cell r="C12401" t="str">
            <v>郭景成</v>
          </cell>
          <cell r="F12401" t="str">
            <v>E251001I1</v>
          </cell>
          <cell r="J12401">
            <v>46035</v>
          </cell>
          <cell r="K12401">
            <v>8</v>
          </cell>
        </row>
        <row r="12402">
          <cell r="C12402" t="str">
            <v>郭景成</v>
          </cell>
          <cell r="F12402" t="str">
            <v>E251001I1</v>
          </cell>
          <cell r="J12402">
            <v>46036</v>
          </cell>
          <cell r="K12402">
            <v>8</v>
          </cell>
        </row>
        <row r="12403">
          <cell r="C12403" t="str">
            <v>郭景成</v>
          </cell>
          <cell r="J12403">
            <v>46037</v>
          </cell>
          <cell r="K12403">
            <v>8</v>
          </cell>
        </row>
        <row r="12404">
          <cell r="C12404" t="str">
            <v>郭景成</v>
          </cell>
          <cell r="J12404">
            <v>46038</v>
          </cell>
          <cell r="K12404">
            <v>8</v>
          </cell>
        </row>
        <row r="12405">
          <cell r="C12405" t="str">
            <v>郭景成</v>
          </cell>
          <cell r="J12405">
            <v>46041</v>
          </cell>
          <cell r="K12405">
            <v>8</v>
          </cell>
        </row>
        <row r="12406">
          <cell r="C12406" t="str">
            <v>郭景成</v>
          </cell>
          <cell r="J12406">
            <v>46042</v>
          </cell>
          <cell r="K12406">
            <v>8</v>
          </cell>
        </row>
        <row r="12407">
          <cell r="C12407" t="str">
            <v>郭景成</v>
          </cell>
          <cell r="J12407">
            <v>46043</v>
          </cell>
          <cell r="K12407">
            <v>8</v>
          </cell>
        </row>
        <row r="12408">
          <cell r="C12408" t="str">
            <v>郭景成</v>
          </cell>
          <cell r="J12408">
            <v>46044</v>
          </cell>
          <cell r="K12408">
            <v>8</v>
          </cell>
        </row>
        <row r="12409">
          <cell r="C12409" t="str">
            <v>郭景成</v>
          </cell>
          <cell r="J12409">
            <v>46045</v>
          </cell>
          <cell r="K12409">
            <v>8</v>
          </cell>
        </row>
        <row r="12410">
          <cell r="C12410" t="str">
            <v>郭景成</v>
          </cell>
          <cell r="F12410" t="str">
            <v>E250101I1</v>
          </cell>
          <cell r="J12410">
            <v>46048</v>
          </cell>
          <cell r="K12410">
            <v>8</v>
          </cell>
        </row>
        <row r="12411">
          <cell r="C12411" t="str">
            <v>郭景成</v>
          </cell>
          <cell r="F12411" t="str">
            <v>E250101I1</v>
          </cell>
          <cell r="J12411">
            <v>46049</v>
          </cell>
          <cell r="K12411">
            <v>8</v>
          </cell>
        </row>
        <row r="12412">
          <cell r="C12412" t="str">
            <v>郭景成</v>
          </cell>
          <cell r="F12412" t="str">
            <v>E250101I1</v>
          </cell>
          <cell r="J12412">
            <v>46050</v>
          </cell>
          <cell r="K12412">
            <v>8</v>
          </cell>
        </row>
        <row r="12413">
          <cell r="C12413" t="str">
            <v>郭景成</v>
          </cell>
          <cell r="F12413" t="str">
            <v>E250101I1</v>
          </cell>
          <cell r="J12413">
            <v>46051</v>
          </cell>
          <cell r="K12413">
            <v>8</v>
          </cell>
        </row>
        <row r="12414">
          <cell r="C12414" t="str">
            <v>郭景成</v>
          </cell>
          <cell r="F12414" t="str">
            <v>E250101I1</v>
          </cell>
          <cell r="J12414">
            <v>46055</v>
          </cell>
          <cell r="K12414">
            <v>8</v>
          </cell>
        </row>
        <row r="12415">
          <cell r="C12415" t="str">
            <v>郭景成</v>
          </cell>
          <cell r="J12415">
            <v>46056</v>
          </cell>
          <cell r="K12415">
            <v>8</v>
          </cell>
        </row>
        <row r="12416">
          <cell r="C12416" t="str">
            <v>郭景成</v>
          </cell>
          <cell r="J12416">
            <v>46057</v>
          </cell>
          <cell r="K12416">
            <v>8</v>
          </cell>
        </row>
        <row r="12417">
          <cell r="C12417" t="str">
            <v>郭景成</v>
          </cell>
          <cell r="F12417" t="str">
            <v>E250101I1</v>
          </cell>
          <cell r="J12417">
            <v>46058</v>
          </cell>
          <cell r="K12417">
            <v>8</v>
          </cell>
        </row>
        <row r="12418">
          <cell r="C12418" t="str">
            <v>郭景成</v>
          </cell>
          <cell r="J12418">
            <v>46059</v>
          </cell>
          <cell r="K12418">
            <v>7</v>
          </cell>
        </row>
        <row r="12419">
          <cell r="C12419" t="str">
            <v>郭景成</v>
          </cell>
          <cell r="F12419" t="str">
            <v>E250101I1</v>
          </cell>
          <cell r="J12419">
            <v>46062</v>
          </cell>
          <cell r="K12419">
            <v>8</v>
          </cell>
        </row>
        <row r="12420">
          <cell r="C12420" t="str">
            <v>郭景成</v>
          </cell>
          <cell r="J12420">
            <v>46063</v>
          </cell>
          <cell r="K12420">
            <v>8</v>
          </cell>
        </row>
        <row r="12421">
          <cell r="C12421" t="str">
            <v>郭景成</v>
          </cell>
          <cell r="J12421">
            <v>46064</v>
          </cell>
          <cell r="K12421">
            <v>8</v>
          </cell>
        </row>
        <row r="12422">
          <cell r="C12422" t="str">
            <v>郭景成</v>
          </cell>
          <cell r="J12422">
            <v>46065</v>
          </cell>
          <cell r="K12422">
            <v>8</v>
          </cell>
        </row>
        <row r="12423">
          <cell r="C12423" t="str">
            <v>郭景成</v>
          </cell>
          <cell r="J12423">
            <v>46066</v>
          </cell>
          <cell r="K12423">
            <v>4</v>
          </cell>
        </row>
        <row r="12424">
          <cell r="C12424" t="str">
            <v>郭景成</v>
          </cell>
          <cell r="J12424">
            <v>46066</v>
          </cell>
          <cell r="K12424">
            <v>4</v>
          </cell>
        </row>
        <row r="12425">
          <cell r="C12425" t="str">
            <v>郭景成</v>
          </cell>
          <cell r="J12425">
            <v>46076</v>
          </cell>
          <cell r="K12425">
            <v>8</v>
          </cell>
        </row>
        <row r="12426">
          <cell r="C12426" t="str">
            <v>郭景成</v>
          </cell>
          <cell r="J12426">
            <v>46077</v>
          </cell>
          <cell r="K12426">
            <v>8</v>
          </cell>
        </row>
        <row r="12427">
          <cell r="C12427" t="str">
            <v>郭景成</v>
          </cell>
          <cell r="J12427">
            <v>46078</v>
          </cell>
          <cell r="K12427">
            <v>8</v>
          </cell>
        </row>
        <row r="12428">
          <cell r="C12428" t="str">
            <v>郭景成</v>
          </cell>
          <cell r="J12428">
            <v>46079</v>
          </cell>
          <cell r="K12428">
            <v>8</v>
          </cell>
        </row>
        <row r="12429">
          <cell r="C12429" t="str">
            <v>郭景成</v>
          </cell>
          <cell r="J12429">
            <v>46083</v>
          </cell>
          <cell r="K12429">
            <v>8</v>
          </cell>
        </row>
        <row r="12430">
          <cell r="C12430" t="str">
            <v>郭景成</v>
          </cell>
          <cell r="J12430">
            <v>46084</v>
          </cell>
          <cell r="K12430">
            <v>8</v>
          </cell>
        </row>
        <row r="12431">
          <cell r="C12431" t="str">
            <v>郭景成</v>
          </cell>
          <cell r="J12431">
            <v>46085</v>
          </cell>
          <cell r="K12431">
            <v>8</v>
          </cell>
        </row>
        <row r="12432">
          <cell r="C12432" t="str">
            <v>郭景成</v>
          </cell>
          <cell r="J12432">
            <v>46086</v>
          </cell>
          <cell r="K12432">
            <v>8</v>
          </cell>
        </row>
        <row r="12433">
          <cell r="C12433" t="str">
            <v>郭景成</v>
          </cell>
          <cell r="J12433">
            <v>46087</v>
          </cell>
          <cell r="K12433">
            <v>8</v>
          </cell>
        </row>
        <row r="12434">
          <cell r="C12434" t="str">
            <v>郭景成</v>
          </cell>
          <cell r="J12434">
            <v>46090</v>
          </cell>
          <cell r="K12434">
            <v>8</v>
          </cell>
        </row>
        <row r="12435">
          <cell r="C12435" t="str">
            <v>郭景成</v>
          </cell>
          <cell r="J12435">
            <v>46091</v>
          </cell>
          <cell r="K12435">
            <v>8</v>
          </cell>
        </row>
        <row r="12436">
          <cell r="C12436" t="str">
            <v>郭景成</v>
          </cell>
          <cell r="J12436">
            <v>46092</v>
          </cell>
          <cell r="K12436">
            <v>8</v>
          </cell>
        </row>
        <row r="12437">
          <cell r="C12437" t="str">
            <v>郭景成</v>
          </cell>
          <cell r="J12437">
            <v>46093</v>
          </cell>
          <cell r="K12437">
            <v>8</v>
          </cell>
        </row>
        <row r="12438">
          <cell r="C12438" t="str">
            <v>郭景成</v>
          </cell>
          <cell r="J12438">
            <v>46094</v>
          </cell>
          <cell r="K12438">
            <v>8</v>
          </cell>
        </row>
        <row r="12439">
          <cell r="C12439" t="str">
            <v>郭景成</v>
          </cell>
          <cell r="J12439">
            <v>46097</v>
          </cell>
          <cell r="K12439">
            <v>8</v>
          </cell>
        </row>
        <row r="12440">
          <cell r="C12440" t="str">
            <v>郭景成</v>
          </cell>
          <cell r="J12440">
            <v>46098</v>
          </cell>
          <cell r="K12440">
            <v>8</v>
          </cell>
        </row>
        <row r="12441">
          <cell r="C12441" t="str">
            <v>郭景成</v>
          </cell>
          <cell r="J12441">
            <v>46099</v>
          </cell>
          <cell r="K12441">
            <v>8</v>
          </cell>
        </row>
        <row r="12442">
          <cell r="C12442" t="str">
            <v>郭景成</v>
          </cell>
          <cell r="J12442">
            <v>46100</v>
          </cell>
          <cell r="K12442">
            <v>8</v>
          </cell>
        </row>
        <row r="12443">
          <cell r="C12443" t="str">
            <v>郭景成</v>
          </cell>
          <cell r="J12443">
            <v>46101</v>
          </cell>
          <cell r="K12443">
            <v>8</v>
          </cell>
        </row>
        <row r="12444">
          <cell r="C12444" t="str">
            <v>郭景成</v>
          </cell>
          <cell r="J12444">
            <v>46104</v>
          </cell>
          <cell r="K12444">
            <v>8</v>
          </cell>
        </row>
        <row r="12445">
          <cell r="C12445" t="str">
            <v>郭景成</v>
          </cell>
          <cell r="J12445">
            <v>46105</v>
          </cell>
          <cell r="K12445">
            <v>8</v>
          </cell>
        </row>
        <row r="12446">
          <cell r="C12446" t="str">
            <v>郭景成</v>
          </cell>
          <cell r="J12446">
            <v>46106</v>
          </cell>
          <cell r="K12446">
            <v>8</v>
          </cell>
        </row>
        <row r="12447">
          <cell r="C12447" t="str">
            <v>郭景成</v>
          </cell>
          <cell r="J12447">
            <v>46107</v>
          </cell>
          <cell r="K12447">
            <v>8</v>
          </cell>
        </row>
        <row r="12448">
          <cell r="C12448" t="str">
            <v>郭景成</v>
          </cell>
          <cell r="J12448">
            <v>46108</v>
          </cell>
          <cell r="K12448">
            <v>8</v>
          </cell>
        </row>
        <row r="12449">
          <cell r="C12449" t="str">
            <v>郭景成</v>
          </cell>
          <cell r="J12449">
            <v>46111</v>
          </cell>
          <cell r="K12449">
            <v>8</v>
          </cell>
        </row>
        <row r="12450">
          <cell r="C12450" t="str">
            <v>郭景成</v>
          </cell>
          <cell r="J12450">
            <v>46112</v>
          </cell>
          <cell r="K12450">
            <v>8</v>
          </cell>
        </row>
        <row r="12451">
          <cell r="C12451" t="str">
            <v>郭景成</v>
          </cell>
          <cell r="J12451">
            <v>46113</v>
          </cell>
          <cell r="K12451">
            <v>8</v>
          </cell>
        </row>
        <row r="12452">
          <cell r="C12452" t="str">
            <v>郭景成</v>
          </cell>
          <cell r="J12452">
            <v>46114</v>
          </cell>
          <cell r="K12452">
            <v>8</v>
          </cell>
        </row>
        <row r="12453">
          <cell r="C12453" t="str">
            <v>郭景成</v>
          </cell>
          <cell r="J12453">
            <v>46119</v>
          </cell>
          <cell r="K12453">
            <v>8</v>
          </cell>
        </row>
        <row r="12454">
          <cell r="C12454" t="str">
            <v>郭景成</v>
          </cell>
          <cell r="J12454">
            <v>46120</v>
          </cell>
          <cell r="K12454">
            <v>8</v>
          </cell>
        </row>
        <row r="12455">
          <cell r="C12455" t="str">
            <v>郭景成</v>
          </cell>
          <cell r="J12455">
            <v>46121</v>
          </cell>
          <cell r="K12455">
            <v>8</v>
          </cell>
        </row>
        <row r="12456">
          <cell r="C12456" t="str">
            <v>郭景成</v>
          </cell>
          <cell r="J12456">
            <v>46122</v>
          </cell>
          <cell r="K12456">
            <v>8</v>
          </cell>
        </row>
        <row r="12457">
          <cell r="C12457" t="str">
            <v>郭景成</v>
          </cell>
          <cell r="J12457">
            <v>46125</v>
          </cell>
          <cell r="K12457">
            <v>8</v>
          </cell>
        </row>
        <row r="12458">
          <cell r="C12458" t="str">
            <v>郭景成</v>
          </cell>
          <cell r="J12458">
            <v>46126</v>
          </cell>
          <cell r="K12458">
            <v>8</v>
          </cell>
        </row>
        <row r="12459">
          <cell r="C12459" t="str">
            <v>郭景成</v>
          </cell>
          <cell r="J12459">
            <v>46127</v>
          </cell>
          <cell r="K12459">
            <v>8</v>
          </cell>
        </row>
        <row r="12460">
          <cell r="C12460" t="str">
            <v>郭景成</v>
          </cell>
          <cell r="J12460">
            <v>46128</v>
          </cell>
          <cell r="K12460">
            <v>8</v>
          </cell>
        </row>
        <row r="12461">
          <cell r="C12461" t="str">
            <v>郭景成</v>
          </cell>
          <cell r="J12461">
            <v>46129</v>
          </cell>
          <cell r="K12461">
            <v>8</v>
          </cell>
        </row>
        <row r="12462">
          <cell r="C12462" t="str">
            <v>郭景成</v>
          </cell>
          <cell r="J12462">
            <v>46132</v>
          </cell>
          <cell r="K12462">
            <v>8</v>
          </cell>
        </row>
        <row r="12463">
          <cell r="C12463" t="str">
            <v>郭景成</v>
          </cell>
          <cell r="J12463">
            <v>46133</v>
          </cell>
          <cell r="K12463">
            <v>8</v>
          </cell>
        </row>
        <row r="12464">
          <cell r="C12464" t="str">
            <v>郭景成</v>
          </cell>
          <cell r="J12464">
            <v>46134</v>
          </cell>
          <cell r="K12464">
            <v>8</v>
          </cell>
        </row>
        <row r="12465">
          <cell r="C12465" t="str">
            <v>郭景成</v>
          </cell>
          <cell r="J12465">
            <v>46135</v>
          </cell>
          <cell r="K12465">
            <v>8</v>
          </cell>
        </row>
        <row r="12466">
          <cell r="C12466" t="str">
            <v>郭景成</v>
          </cell>
          <cell r="J12466">
            <v>46136</v>
          </cell>
          <cell r="K12466">
            <v>8</v>
          </cell>
        </row>
        <row r="12467">
          <cell r="C12467" t="str">
            <v>郭景成</v>
          </cell>
          <cell r="J12467">
            <v>46139</v>
          </cell>
          <cell r="K12467">
            <v>8</v>
          </cell>
        </row>
        <row r="12468">
          <cell r="C12468" t="str">
            <v>郭景成</v>
          </cell>
          <cell r="J12468">
            <v>46140</v>
          </cell>
          <cell r="K12468">
            <v>8</v>
          </cell>
        </row>
        <row r="12469">
          <cell r="C12469" t="str">
            <v>郭景成</v>
          </cell>
          <cell r="J12469">
            <v>46141</v>
          </cell>
          <cell r="K12469">
            <v>8</v>
          </cell>
        </row>
        <row r="12470">
          <cell r="C12470" t="str">
            <v>郭景成</v>
          </cell>
          <cell r="J12470">
            <v>46142</v>
          </cell>
          <cell r="K12470">
            <v>8</v>
          </cell>
        </row>
        <row r="12471">
          <cell r="C12471" t="str">
            <v>郭景成</v>
          </cell>
          <cell r="J12471">
            <v>46146</v>
          </cell>
          <cell r="K12471">
            <v>8</v>
          </cell>
        </row>
        <row r="12472">
          <cell r="C12472" t="str">
            <v>郭景成</v>
          </cell>
          <cell r="J12472">
            <v>46147</v>
          </cell>
          <cell r="K12472">
            <v>8</v>
          </cell>
        </row>
        <row r="12473">
          <cell r="C12473" t="str">
            <v>郭景成</v>
          </cell>
          <cell r="J12473">
            <v>46148</v>
          </cell>
          <cell r="K12473">
            <v>8</v>
          </cell>
        </row>
        <row r="12474">
          <cell r="C12474" t="str">
            <v>郭景成</v>
          </cell>
          <cell r="J12474">
            <v>46149</v>
          </cell>
          <cell r="K12474">
            <v>8</v>
          </cell>
        </row>
        <row r="12475">
          <cell r="C12475" t="str">
            <v>郭景成</v>
          </cell>
          <cell r="J12475">
            <v>46150</v>
          </cell>
          <cell r="K12475">
            <v>8</v>
          </cell>
        </row>
        <row r="12476">
          <cell r="C12476" t="str">
            <v>郭景成</v>
          </cell>
          <cell r="J12476">
            <v>46153</v>
          </cell>
          <cell r="K12476">
            <v>8</v>
          </cell>
        </row>
        <row r="12477">
          <cell r="C12477" t="str">
            <v>郭景成</v>
          </cell>
          <cell r="J12477">
            <v>46154</v>
          </cell>
          <cell r="K12477">
            <v>8</v>
          </cell>
        </row>
        <row r="12478">
          <cell r="C12478" t="str">
            <v>郭景成</v>
          </cell>
          <cell r="J12478">
            <v>46155</v>
          </cell>
          <cell r="K12478">
            <v>8</v>
          </cell>
        </row>
        <row r="12479">
          <cell r="C12479" t="str">
            <v>郭景成</v>
          </cell>
          <cell r="J12479">
            <v>46156</v>
          </cell>
          <cell r="K12479">
            <v>8</v>
          </cell>
        </row>
        <row r="12480">
          <cell r="C12480" t="str">
            <v>郭景成</v>
          </cell>
          <cell r="J12480">
            <v>46157</v>
          </cell>
          <cell r="K12480">
            <v>8</v>
          </cell>
        </row>
        <row r="12481">
          <cell r="C12481" t="str">
            <v>郭景成</v>
          </cell>
          <cell r="J12481">
            <v>46160</v>
          </cell>
          <cell r="K12481">
            <v>8</v>
          </cell>
        </row>
        <row r="12482">
          <cell r="C12482" t="str">
            <v>郭景成</v>
          </cell>
          <cell r="J12482">
            <v>46161</v>
          </cell>
          <cell r="K12482">
            <v>8</v>
          </cell>
        </row>
        <row r="12483">
          <cell r="C12483" t="str">
            <v>陳威瑜</v>
          </cell>
          <cell r="F12483" t="str">
            <v>E241001I1</v>
          </cell>
          <cell r="J12483">
            <v>45728</v>
          </cell>
          <cell r="K12483">
            <v>8</v>
          </cell>
        </row>
        <row r="12484">
          <cell r="C12484" t="str">
            <v>陳威瑜</v>
          </cell>
          <cell r="F12484" t="str">
            <v>E250301I1</v>
          </cell>
          <cell r="J12484">
            <v>45744</v>
          </cell>
          <cell r="K12484">
            <v>8</v>
          </cell>
        </row>
        <row r="12485">
          <cell r="C12485" t="str">
            <v>陳威瑜</v>
          </cell>
          <cell r="F12485" t="str">
            <v>E250301I1</v>
          </cell>
          <cell r="J12485">
            <v>45747</v>
          </cell>
          <cell r="K12485">
            <v>6</v>
          </cell>
        </row>
        <row r="12486">
          <cell r="C12486" t="str">
            <v>陳威瑜</v>
          </cell>
          <cell r="F12486" t="str">
            <v>E250301I1</v>
          </cell>
          <cell r="J12486">
            <v>45750</v>
          </cell>
          <cell r="K12486">
            <v>8</v>
          </cell>
        </row>
        <row r="12487">
          <cell r="C12487" t="str">
            <v>陳威瑜</v>
          </cell>
          <cell r="F12487" t="str">
            <v>E250301I1</v>
          </cell>
          <cell r="J12487">
            <v>45750</v>
          </cell>
          <cell r="K12487">
            <v>8</v>
          </cell>
        </row>
        <row r="12488">
          <cell r="C12488" t="str">
            <v>陳威瑜</v>
          </cell>
          <cell r="J12488">
            <v>45754</v>
          </cell>
          <cell r="K12488">
            <v>3</v>
          </cell>
        </row>
        <row r="12489">
          <cell r="C12489" t="str">
            <v>陳威瑜</v>
          </cell>
          <cell r="F12489" t="str">
            <v>E250301I1</v>
          </cell>
          <cell r="J12489">
            <v>45754</v>
          </cell>
          <cell r="K12489">
            <v>6</v>
          </cell>
        </row>
        <row r="12490">
          <cell r="C12490" t="str">
            <v>陳威瑜</v>
          </cell>
          <cell r="J12490">
            <v>45755</v>
          </cell>
          <cell r="K12490">
            <v>3</v>
          </cell>
        </row>
        <row r="12491">
          <cell r="C12491" t="str">
            <v>陳威瑜</v>
          </cell>
          <cell r="F12491" t="str">
            <v>E250301I1</v>
          </cell>
          <cell r="J12491">
            <v>45755</v>
          </cell>
          <cell r="K12491">
            <v>2</v>
          </cell>
        </row>
        <row r="12492">
          <cell r="C12492" t="str">
            <v>陳威瑜</v>
          </cell>
          <cell r="F12492" t="str">
            <v>E250301I1</v>
          </cell>
          <cell r="J12492">
            <v>45755</v>
          </cell>
          <cell r="K12492">
            <v>4</v>
          </cell>
        </row>
        <row r="12493">
          <cell r="C12493" t="str">
            <v>陳威瑜</v>
          </cell>
          <cell r="F12493" t="str">
            <v>C241001E1</v>
          </cell>
          <cell r="J12493">
            <v>45756</v>
          </cell>
          <cell r="K12493">
            <v>5</v>
          </cell>
        </row>
        <row r="12494">
          <cell r="C12494" t="str">
            <v>陳威瑜</v>
          </cell>
          <cell r="J12494">
            <v>45756</v>
          </cell>
          <cell r="K12494">
            <v>2</v>
          </cell>
        </row>
        <row r="12495">
          <cell r="C12495" t="str">
            <v>陳威瑜</v>
          </cell>
          <cell r="F12495" t="str">
            <v>C241001E1</v>
          </cell>
          <cell r="J12495">
            <v>45756</v>
          </cell>
          <cell r="K12495">
            <v>1</v>
          </cell>
        </row>
        <row r="12496">
          <cell r="C12496" t="str">
            <v>陳威瑜</v>
          </cell>
          <cell r="J12496">
            <v>45757</v>
          </cell>
          <cell r="K12496">
            <v>6.5</v>
          </cell>
        </row>
        <row r="12497">
          <cell r="C12497" t="str">
            <v>陳威瑜</v>
          </cell>
          <cell r="J12497">
            <v>45757</v>
          </cell>
          <cell r="K12497">
            <v>1</v>
          </cell>
        </row>
        <row r="12498">
          <cell r="C12498" t="str">
            <v>陳威瑜</v>
          </cell>
          <cell r="F12498" t="str">
            <v>C241001E1</v>
          </cell>
          <cell r="J12498">
            <v>45757</v>
          </cell>
          <cell r="K12498">
            <v>0.5</v>
          </cell>
        </row>
        <row r="12499">
          <cell r="C12499" t="str">
            <v>陳威瑜</v>
          </cell>
          <cell r="F12499" t="str">
            <v>C241001E1</v>
          </cell>
          <cell r="J12499">
            <v>45758</v>
          </cell>
          <cell r="K12499">
            <v>8</v>
          </cell>
        </row>
        <row r="12500">
          <cell r="C12500" t="str">
            <v>陳威瑜</v>
          </cell>
          <cell r="J12500">
            <v>45761</v>
          </cell>
          <cell r="K12500">
            <v>1</v>
          </cell>
        </row>
        <row r="12501">
          <cell r="C12501" t="str">
            <v>陳威瑜</v>
          </cell>
          <cell r="J12501">
            <v>45761</v>
          </cell>
          <cell r="K12501">
            <v>2</v>
          </cell>
        </row>
        <row r="12502">
          <cell r="C12502" t="str">
            <v>陳威瑜</v>
          </cell>
          <cell r="J12502">
            <v>45761</v>
          </cell>
          <cell r="K12502">
            <v>1.5</v>
          </cell>
        </row>
        <row r="12503">
          <cell r="C12503" t="str">
            <v>陳威瑜</v>
          </cell>
          <cell r="J12503">
            <v>45761</v>
          </cell>
          <cell r="K12503">
            <v>0.5</v>
          </cell>
        </row>
        <row r="12504">
          <cell r="C12504" t="str">
            <v>陳威瑜</v>
          </cell>
          <cell r="F12504" t="str">
            <v>C241001E1</v>
          </cell>
          <cell r="J12504">
            <v>45761</v>
          </cell>
          <cell r="K12504">
            <v>3.5</v>
          </cell>
        </row>
        <row r="12505">
          <cell r="C12505" t="str">
            <v>陳威瑜</v>
          </cell>
          <cell r="F12505" t="str">
            <v>C241001E1</v>
          </cell>
          <cell r="J12505">
            <v>45762</v>
          </cell>
          <cell r="K12505">
            <v>5</v>
          </cell>
        </row>
        <row r="12506">
          <cell r="C12506" t="str">
            <v>陳威瑜</v>
          </cell>
          <cell r="J12506">
            <v>45762</v>
          </cell>
          <cell r="K12506">
            <v>2</v>
          </cell>
        </row>
        <row r="12507">
          <cell r="C12507" t="str">
            <v>陳威瑜</v>
          </cell>
          <cell r="F12507" t="str">
            <v>E250301I1</v>
          </cell>
          <cell r="J12507">
            <v>45762</v>
          </cell>
          <cell r="K12507">
            <v>1.5</v>
          </cell>
        </row>
        <row r="12508">
          <cell r="C12508" t="str">
            <v>陳威瑜</v>
          </cell>
          <cell r="J12508">
            <v>45763</v>
          </cell>
          <cell r="K12508">
            <v>1</v>
          </cell>
        </row>
        <row r="12509">
          <cell r="C12509" t="str">
            <v>陳威瑜</v>
          </cell>
          <cell r="F12509" t="str">
            <v>C241001E1</v>
          </cell>
          <cell r="J12509">
            <v>45763</v>
          </cell>
          <cell r="K12509">
            <v>4</v>
          </cell>
        </row>
        <row r="12510">
          <cell r="C12510" t="str">
            <v>陳威瑜</v>
          </cell>
          <cell r="F12510" t="str">
            <v>E250301I1</v>
          </cell>
          <cell r="J12510">
            <v>45763</v>
          </cell>
          <cell r="K12510">
            <v>3</v>
          </cell>
        </row>
        <row r="12511">
          <cell r="C12511" t="str">
            <v>陳威瑜</v>
          </cell>
          <cell r="J12511">
            <v>45764</v>
          </cell>
          <cell r="K12511">
            <v>1</v>
          </cell>
        </row>
        <row r="12512">
          <cell r="C12512" t="str">
            <v>陳威瑜</v>
          </cell>
          <cell r="J12512">
            <v>45764</v>
          </cell>
          <cell r="K12512">
            <v>2</v>
          </cell>
        </row>
        <row r="12513">
          <cell r="C12513" t="str">
            <v>陳威瑜</v>
          </cell>
          <cell r="J12513">
            <v>45764</v>
          </cell>
          <cell r="K12513">
            <v>2</v>
          </cell>
        </row>
        <row r="12514">
          <cell r="C12514" t="str">
            <v>陳威瑜</v>
          </cell>
          <cell r="F12514" t="str">
            <v>E250301I1</v>
          </cell>
          <cell r="J12514">
            <v>45764</v>
          </cell>
          <cell r="K12514">
            <v>3</v>
          </cell>
        </row>
        <row r="12515">
          <cell r="C12515" t="str">
            <v>陳威瑜</v>
          </cell>
          <cell r="J12515">
            <v>45765</v>
          </cell>
          <cell r="K12515">
            <v>1</v>
          </cell>
        </row>
        <row r="12516">
          <cell r="C12516" t="str">
            <v>陳威瑜</v>
          </cell>
          <cell r="F12516" t="str">
            <v>C241001E1</v>
          </cell>
          <cell r="J12516">
            <v>45765</v>
          </cell>
          <cell r="K12516">
            <v>7</v>
          </cell>
        </row>
        <row r="12517">
          <cell r="C12517" t="str">
            <v>陳威瑜</v>
          </cell>
          <cell r="F12517" t="str">
            <v>C241001E1</v>
          </cell>
          <cell r="J12517">
            <v>45768</v>
          </cell>
          <cell r="K12517">
            <v>7.5</v>
          </cell>
        </row>
        <row r="12518">
          <cell r="C12518" t="str">
            <v>陳威瑜</v>
          </cell>
          <cell r="J12518">
            <v>45768</v>
          </cell>
          <cell r="K12518">
            <v>0.5</v>
          </cell>
        </row>
        <row r="12519">
          <cell r="C12519" t="str">
            <v>陳威瑜</v>
          </cell>
          <cell r="J12519">
            <v>45768</v>
          </cell>
          <cell r="K12519">
            <v>1</v>
          </cell>
        </row>
        <row r="12520">
          <cell r="C12520" t="str">
            <v>陳威瑜</v>
          </cell>
          <cell r="F12520" t="str">
            <v>C241001E1</v>
          </cell>
          <cell r="J12520">
            <v>45769</v>
          </cell>
          <cell r="K12520">
            <v>7.5</v>
          </cell>
        </row>
        <row r="12521">
          <cell r="C12521" t="str">
            <v>陳威瑜</v>
          </cell>
          <cell r="J12521">
            <v>45769</v>
          </cell>
          <cell r="K12521">
            <v>1</v>
          </cell>
        </row>
        <row r="12522">
          <cell r="C12522" t="str">
            <v>陳威瑜</v>
          </cell>
          <cell r="F12522" t="str">
            <v>C241001E1</v>
          </cell>
          <cell r="J12522">
            <v>45770</v>
          </cell>
          <cell r="K12522">
            <v>3.5</v>
          </cell>
        </row>
        <row r="12523">
          <cell r="C12523" t="str">
            <v>陳威瑜</v>
          </cell>
          <cell r="J12523">
            <v>45770</v>
          </cell>
          <cell r="K12523">
            <v>2</v>
          </cell>
        </row>
        <row r="12524">
          <cell r="C12524" t="str">
            <v>陳威瑜</v>
          </cell>
          <cell r="J12524">
            <v>45770</v>
          </cell>
          <cell r="K12524">
            <v>1.5</v>
          </cell>
        </row>
        <row r="12525">
          <cell r="C12525" t="str">
            <v>陳威瑜</v>
          </cell>
          <cell r="J12525">
            <v>45770</v>
          </cell>
          <cell r="K12525">
            <v>1</v>
          </cell>
        </row>
        <row r="12526">
          <cell r="C12526" t="str">
            <v>陳威瑜</v>
          </cell>
          <cell r="J12526">
            <v>45771</v>
          </cell>
          <cell r="K12526">
            <v>1</v>
          </cell>
        </row>
        <row r="12527">
          <cell r="C12527" t="str">
            <v>陳威瑜</v>
          </cell>
          <cell r="J12527">
            <v>45771</v>
          </cell>
          <cell r="K12527">
            <v>1</v>
          </cell>
        </row>
        <row r="12528">
          <cell r="C12528" t="str">
            <v>陳威瑜</v>
          </cell>
          <cell r="J12528">
            <v>45771</v>
          </cell>
          <cell r="K12528">
            <v>6</v>
          </cell>
        </row>
        <row r="12529">
          <cell r="C12529" t="str">
            <v>陳威瑜</v>
          </cell>
          <cell r="F12529" t="str">
            <v>E250301I1</v>
          </cell>
          <cell r="J12529">
            <v>45772</v>
          </cell>
          <cell r="K12529">
            <v>4</v>
          </cell>
        </row>
        <row r="12530">
          <cell r="C12530" t="str">
            <v>陳威瑜</v>
          </cell>
          <cell r="F12530" t="str">
            <v>E250301I1</v>
          </cell>
          <cell r="J12530">
            <v>45772</v>
          </cell>
          <cell r="K12530">
            <v>4</v>
          </cell>
        </row>
        <row r="12531">
          <cell r="C12531" t="str">
            <v>陳威瑜</v>
          </cell>
          <cell r="J12531">
            <v>45775</v>
          </cell>
          <cell r="K12531">
            <v>1</v>
          </cell>
        </row>
        <row r="12532">
          <cell r="C12532" t="str">
            <v>陳威瑜</v>
          </cell>
          <cell r="J12532">
            <v>45775</v>
          </cell>
          <cell r="K12532">
            <v>1.5</v>
          </cell>
        </row>
        <row r="12533">
          <cell r="C12533" t="str">
            <v>陳威瑜</v>
          </cell>
          <cell r="J12533">
            <v>45775</v>
          </cell>
          <cell r="K12533">
            <v>1</v>
          </cell>
        </row>
        <row r="12534">
          <cell r="C12534" t="str">
            <v>陳威瑜</v>
          </cell>
          <cell r="F12534" t="str">
            <v>E250301I1</v>
          </cell>
          <cell r="J12534">
            <v>45775</v>
          </cell>
          <cell r="K12534">
            <v>6</v>
          </cell>
        </row>
        <row r="12535">
          <cell r="C12535" t="str">
            <v>陳威瑜</v>
          </cell>
          <cell r="F12535" t="str">
            <v>C241001E1</v>
          </cell>
          <cell r="J12535">
            <v>45776</v>
          </cell>
          <cell r="K12535">
            <v>7</v>
          </cell>
        </row>
        <row r="12536">
          <cell r="C12536" t="str">
            <v>陳威瑜</v>
          </cell>
          <cell r="J12536">
            <v>45776</v>
          </cell>
          <cell r="K12536">
            <v>1.5</v>
          </cell>
        </row>
        <row r="12537">
          <cell r="C12537" t="str">
            <v>陳威瑜</v>
          </cell>
          <cell r="F12537" t="str">
            <v>E250301I1</v>
          </cell>
          <cell r="J12537">
            <v>45777</v>
          </cell>
          <cell r="K12537">
            <v>4</v>
          </cell>
        </row>
        <row r="12538">
          <cell r="C12538" t="str">
            <v>陳威瑜</v>
          </cell>
          <cell r="F12538" t="str">
            <v>C241001E1</v>
          </cell>
          <cell r="J12538">
            <v>45777</v>
          </cell>
          <cell r="K12538">
            <v>3</v>
          </cell>
        </row>
        <row r="12539">
          <cell r="C12539" t="str">
            <v>陳威瑜</v>
          </cell>
          <cell r="J12539">
            <v>45777</v>
          </cell>
          <cell r="K12539">
            <v>1</v>
          </cell>
        </row>
        <row r="12540">
          <cell r="C12540" t="str">
            <v>陳威瑜</v>
          </cell>
          <cell r="J12540">
            <v>45782</v>
          </cell>
          <cell r="K12540">
            <v>2</v>
          </cell>
        </row>
        <row r="12541">
          <cell r="C12541" t="str">
            <v>陳威瑜</v>
          </cell>
          <cell r="J12541">
            <v>45782</v>
          </cell>
          <cell r="K12541">
            <v>4</v>
          </cell>
        </row>
        <row r="12542">
          <cell r="C12542" t="str">
            <v>陳威瑜</v>
          </cell>
          <cell r="F12542" t="str">
            <v>E250301I1</v>
          </cell>
          <cell r="J12542">
            <v>45782</v>
          </cell>
          <cell r="K12542">
            <v>3</v>
          </cell>
        </row>
        <row r="12543">
          <cell r="C12543" t="str">
            <v>陳威瑜</v>
          </cell>
          <cell r="F12543" t="str">
            <v>C241001E1</v>
          </cell>
          <cell r="J12543">
            <v>45783</v>
          </cell>
          <cell r="K12543">
            <v>5.5</v>
          </cell>
        </row>
        <row r="12544">
          <cell r="C12544" t="str">
            <v>陳威瑜</v>
          </cell>
          <cell r="F12544" t="str">
            <v>E250301I1</v>
          </cell>
          <cell r="J12544">
            <v>45783</v>
          </cell>
          <cell r="K12544">
            <v>3</v>
          </cell>
        </row>
        <row r="12545">
          <cell r="C12545" t="str">
            <v>陳威瑜</v>
          </cell>
          <cell r="F12545" t="str">
            <v>C241001E1</v>
          </cell>
          <cell r="J12545">
            <v>45784</v>
          </cell>
          <cell r="K12545">
            <v>6.5</v>
          </cell>
        </row>
        <row r="12546">
          <cell r="C12546" t="str">
            <v>陳威瑜</v>
          </cell>
          <cell r="J12546">
            <v>45784</v>
          </cell>
          <cell r="K12546">
            <v>2</v>
          </cell>
        </row>
        <row r="12547">
          <cell r="C12547" t="str">
            <v>陳威瑜</v>
          </cell>
          <cell r="J12547">
            <v>45785</v>
          </cell>
          <cell r="K12547">
            <v>3.5</v>
          </cell>
        </row>
        <row r="12548">
          <cell r="C12548" t="str">
            <v>陳威瑜</v>
          </cell>
          <cell r="J12548">
            <v>45785</v>
          </cell>
          <cell r="K12548">
            <v>1</v>
          </cell>
        </row>
        <row r="12549">
          <cell r="C12549" t="str">
            <v>陳威瑜</v>
          </cell>
          <cell r="F12549" t="str">
            <v>C241001E1</v>
          </cell>
          <cell r="J12549">
            <v>45785</v>
          </cell>
          <cell r="K12549">
            <v>3.5</v>
          </cell>
        </row>
        <row r="12550">
          <cell r="C12550" t="str">
            <v>陳威瑜</v>
          </cell>
          <cell r="F12550" t="str">
            <v>C241001E1</v>
          </cell>
          <cell r="J12550">
            <v>45786</v>
          </cell>
          <cell r="K12550">
            <v>6.5</v>
          </cell>
        </row>
        <row r="12551">
          <cell r="C12551" t="str">
            <v>陳威瑜</v>
          </cell>
          <cell r="J12551">
            <v>45786</v>
          </cell>
          <cell r="K12551">
            <v>1.5</v>
          </cell>
        </row>
        <row r="12552">
          <cell r="C12552" t="str">
            <v>陳威瑜</v>
          </cell>
          <cell r="J12552">
            <v>45789</v>
          </cell>
          <cell r="K12552">
            <v>1</v>
          </cell>
        </row>
        <row r="12553">
          <cell r="C12553" t="str">
            <v>陳威瑜</v>
          </cell>
          <cell r="F12553" t="str">
            <v>C241001E1</v>
          </cell>
          <cell r="J12553">
            <v>45789</v>
          </cell>
          <cell r="K12553">
            <v>7.5</v>
          </cell>
        </row>
        <row r="12554">
          <cell r="C12554" t="str">
            <v>陳威瑜</v>
          </cell>
          <cell r="J12554">
            <v>45789</v>
          </cell>
          <cell r="K12554">
            <v>0.5</v>
          </cell>
        </row>
        <row r="12555">
          <cell r="C12555" t="str">
            <v>陳威瑜</v>
          </cell>
          <cell r="F12555" t="str">
            <v>C241001E1</v>
          </cell>
          <cell r="J12555">
            <v>45790</v>
          </cell>
          <cell r="K12555">
            <v>3.5</v>
          </cell>
        </row>
        <row r="12556">
          <cell r="C12556" t="str">
            <v>陳威瑜</v>
          </cell>
          <cell r="J12556">
            <v>45790</v>
          </cell>
          <cell r="K12556">
            <v>1.5</v>
          </cell>
        </row>
        <row r="12557">
          <cell r="C12557" t="str">
            <v>陳威瑜</v>
          </cell>
          <cell r="J12557">
            <v>45790</v>
          </cell>
          <cell r="K12557">
            <v>2</v>
          </cell>
        </row>
        <row r="12558">
          <cell r="C12558" t="str">
            <v>陳威瑜</v>
          </cell>
          <cell r="J12558">
            <v>45790</v>
          </cell>
          <cell r="K12558">
            <v>1.5</v>
          </cell>
        </row>
        <row r="12559">
          <cell r="C12559" t="str">
            <v>陳威瑜</v>
          </cell>
          <cell r="J12559">
            <v>45791</v>
          </cell>
          <cell r="K12559">
            <v>2</v>
          </cell>
        </row>
        <row r="12560">
          <cell r="C12560" t="str">
            <v>陳威瑜</v>
          </cell>
          <cell r="J12560">
            <v>45791</v>
          </cell>
          <cell r="K12560">
            <v>2</v>
          </cell>
        </row>
        <row r="12561">
          <cell r="C12561" t="str">
            <v>陳威瑜</v>
          </cell>
          <cell r="J12561">
            <v>45791</v>
          </cell>
          <cell r="K12561">
            <v>1</v>
          </cell>
        </row>
        <row r="12562">
          <cell r="C12562" t="str">
            <v>陳威瑜</v>
          </cell>
          <cell r="F12562" t="str">
            <v>C241001E1</v>
          </cell>
          <cell r="J12562">
            <v>45791</v>
          </cell>
          <cell r="K12562">
            <v>3</v>
          </cell>
        </row>
        <row r="12563">
          <cell r="C12563" t="str">
            <v>陳威瑜</v>
          </cell>
          <cell r="J12563">
            <v>45792</v>
          </cell>
          <cell r="K12563">
            <v>0.5</v>
          </cell>
        </row>
        <row r="12564">
          <cell r="C12564" t="str">
            <v>陳威瑜</v>
          </cell>
          <cell r="J12564">
            <v>45792</v>
          </cell>
          <cell r="K12564">
            <v>1.5</v>
          </cell>
        </row>
        <row r="12565">
          <cell r="C12565" t="str">
            <v>陳威瑜</v>
          </cell>
          <cell r="F12565" t="str">
            <v>C241001E1</v>
          </cell>
          <cell r="J12565">
            <v>45792</v>
          </cell>
          <cell r="K12565">
            <v>2</v>
          </cell>
        </row>
        <row r="12566">
          <cell r="C12566" t="str">
            <v>陳威瑜</v>
          </cell>
          <cell r="F12566" t="str">
            <v>E250301I1</v>
          </cell>
          <cell r="J12566">
            <v>45792</v>
          </cell>
          <cell r="K12566">
            <v>4</v>
          </cell>
        </row>
        <row r="12567">
          <cell r="C12567" t="str">
            <v>陳威瑜</v>
          </cell>
          <cell r="J12567">
            <v>45793</v>
          </cell>
          <cell r="K12567">
            <v>1.5</v>
          </cell>
        </row>
        <row r="12568">
          <cell r="C12568" t="str">
            <v>陳威瑜</v>
          </cell>
          <cell r="F12568" t="str">
            <v>E250301I1</v>
          </cell>
          <cell r="J12568">
            <v>45793</v>
          </cell>
          <cell r="K12568">
            <v>6.5</v>
          </cell>
        </row>
        <row r="12569">
          <cell r="C12569" t="str">
            <v>陳威瑜</v>
          </cell>
          <cell r="J12569">
            <v>45796</v>
          </cell>
          <cell r="K12569">
            <v>0.5</v>
          </cell>
        </row>
        <row r="12570">
          <cell r="C12570" t="str">
            <v>陳威瑜</v>
          </cell>
          <cell r="F12570" t="str">
            <v>E250301I1</v>
          </cell>
          <cell r="J12570">
            <v>45796</v>
          </cell>
          <cell r="K12570">
            <v>5</v>
          </cell>
        </row>
        <row r="12571">
          <cell r="C12571" t="str">
            <v>陳威瑜</v>
          </cell>
          <cell r="F12571" t="str">
            <v>E250301I1</v>
          </cell>
          <cell r="J12571">
            <v>45796</v>
          </cell>
          <cell r="K12571">
            <v>3</v>
          </cell>
        </row>
        <row r="12572">
          <cell r="C12572" t="str">
            <v>陳威瑜</v>
          </cell>
          <cell r="J12572">
            <v>45797</v>
          </cell>
          <cell r="K12572">
            <v>1.5</v>
          </cell>
        </row>
        <row r="12573">
          <cell r="C12573" t="str">
            <v>陳威瑜</v>
          </cell>
          <cell r="F12573" t="str">
            <v>E250301I1</v>
          </cell>
          <cell r="J12573">
            <v>45797</v>
          </cell>
          <cell r="K12573">
            <v>7.5</v>
          </cell>
        </row>
        <row r="12574">
          <cell r="C12574" t="str">
            <v>陳威瑜</v>
          </cell>
          <cell r="F12574" t="str">
            <v>E250301I1</v>
          </cell>
          <cell r="J12574">
            <v>45798</v>
          </cell>
          <cell r="K12574">
            <v>5.5</v>
          </cell>
        </row>
        <row r="12575">
          <cell r="C12575" t="str">
            <v>陳威瑜</v>
          </cell>
          <cell r="F12575" t="str">
            <v>E250301I1</v>
          </cell>
          <cell r="J12575">
            <v>45798</v>
          </cell>
          <cell r="K12575">
            <v>3</v>
          </cell>
        </row>
        <row r="12576">
          <cell r="C12576" t="str">
            <v>陳威瑜</v>
          </cell>
          <cell r="J12576">
            <v>45799</v>
          </cell>
          <cell r="K12576">
            <v>1</v>
          </cell>
        </row>
        <row r="12577">
          <cell r="C12577" t="str">
            <v>陳威瑜</v>
          </cell>
          <cell r="J12577">
            <v>45799</v>
          </cell>
          <cell r="K12577">
            <v>0.5</v>
          </cell>
        </row>
        <row r="12578">
          <cell r="C12578" t="str">
            <v>陳威瑜</v>
          </cell>
          <cell r="F12578" t="str">
            <v>E250301I1</v>
          </cell>
          <cell r="J12578">
            <v>45799</v>
          </cell>
          <cell r="K12578">
            <v>1.5</v>
          </cell>
        </row>
        <row r="12579">
          <cell r="C12579" t="str">
            <v>陳威瑜</v>
          </cell>
          <cell r="F12579" t="str">
            <v>E250301I1</v>
          </cell>
          <cell r="J12579">
            <v>45799</v>
          </cell>
          <cell r="K12579">
            <v>5</v>
          </cell>
        </row>
        <row r="12580">
          <cell r="C12580" t="str">
            <v>陳威瑜</v>
          </cell>
          <cell r="J12580">
            <v>45800</v>
          </cell>
          <cell r="K12580">
            <v>4</v>
          </cell>
        </row>
        <row r="12581">
          <cell r="C12581" t="str">
            <v>陳威瑜</v>
          </cell>
          <cell r="F12581" t="str">
            <v>E250301I1</v>
          </cell>
          <cell r="J12581">
            <v>45800</v>
          </cell>
          <cell r="K12581">
            <v>4</v>
          </cell>
        </row>
        <row r="12582">
          <cell r="C12582" t="str">
            <v>陳威瑜</v>
          </cell>
          <cell r="J12582">
            <v>45803</v>
          </cell>
          <cell r="K12582">
            <v>2</v>
          </cell>
        </row>
        <row r="12583">
          <cell r="C12583" t="str">
            <v>陳威瑜</v>
          </cell>
          <cell r="J12583">
            <v>45803</v>
          </cell>
          <cell r="K12583">
            <v>1.5</v>
          </cell>
        </row>
        <row r="12584">
          <cell r="C12584" t="str">
            <v>陳威瑜</v>
          </cell>
          <cell r="F12584" t="str">
            <v>E250301I1</v>
          </cell>
          <cell r="J12584">
            <v>45803</v>
          </cell>
          <cell r="K12584">
            <v>5</v>
          </cell>
        </row>
        <row r="12585">
          <cell r="C12585" t="str">
            <v>陳威瑜</v>
          </cell>
          <cell r="J12585">
            <v>45804</v>
          </cell>
          <cell r="K12585">
            <v>1</v>
          </cell>
        </row>
        <row r="12586">
          <cell r="C12586" t="str">
            <v>陳威瑜</v>
          </cell>
          <cell r="F12586" t="str">
            <v>E250301I1</v>
          </cell>
          <cell r="J12586">
            <v>45804</v>
          </cell>
          <cell r="K12586">
            <v>6</v>
          </cell>
        </row>
        <row r="12587">
          <cell r="C12587" t="str">
            <v>陳威瑜</v>
          </cell>
          <cell r="F12587" t="str">
            <v>E250301I1</v>
          </cell>
          <cell r="J12587">
            <v>45804</v>
          </cell>
          <cell r="K12587">
            <v>1.5</v>
          </cell>
        </row>
        <row r="12588">
          <cell r="C12588" t="str">
            <v>陳威瑜</v>
          </cell>
          <cell r="F12588" t="str">
            <v>E250301I1</v>
          </cell>
          <cell r="J12588">
            <v>45805</v>
          </cell>
          <cell r="K12588">
            <v>2</v>
          </cell>
        </row>
        <row r="12589">
          <cell r="C12589" t="str">
            <v>陳威瑜</v>
          </cell>
          <cell r="F12589" t="str">
            <v>E250301I1</v>
          </cell>
          <cell r="J12589">
            <v>45805</v>
          </cell>
          <cell r="K12589">
            <v>6.5</v>
          </cell>
        </row>
        <row r="12590">
          <cell r="C12590" t="str">
            <v>陳威瑜</v>
          </cell>
          <cell r="J12590">
            <v>45806</v>
          </cell>
          <cell r="K12590">
            <v>0.5</v>
          </cell>
        </row>
        <row r="12591">
          <cell r="C12591" t="str">
            <v>陳威瑜</v>
          </cell>
          <cell r="J12591">
            <v>45806</v>
          </cell>
          <cell r="K12591">
            <v>1</v>
          </cell>
        </row>
        <row r="12592">
          <cell r="C12592" t="str">
            <v>陳威瑜</v>
          </cell>
          <cell r="F12592" t="str">
            <v>E250301I1</v>
          </cell>
          <cell r="J12592">
            <v>45806</v>
          </cell>
          <cell r="K12592">
            <v>6.5</v>
          </cell>
        </row>
        <row r="12593">
          <cell r="C12593" t="str">
            <v>陳威瑜</v>
          </cell>
          <cell r="J12593">
            <v>45810</v>
          </cell>
          <cell r="K12593">
            <v>0.5</v>
          </cell>
        </row>
        <row r="12594">
          <cell r="C12594" t="str">
            <v>陳威瑜</v>
          </cell>
          <cell r="F12594" t="str">
            <v>E250301I1</v>
          </cell>
          <cell r="J12594">
            <v>45810</v>
          </cell>
          <cell r="K12594">
            <v>2</v>
          </cell>
        </row>
        <row r="12595">
          <cell r="C12595" t="str">
            <v>陳威瑜</v>
          </cell>
          <cell r="F12595" t="str">
            <v>E250301I1</v>
          </cell>
          <cell r="J12595">
            <v>45810</v>
          </cell>
          <cell r="K12595">
            <v>5.5</v>
          </cell>
        </row>
        <row r="12596">
          <cell r="C12596" t="str">
            <v>陳威瑜</v>
          </cell>
          <cell r="F12596" t="str">
            <v>E250301I1</v>
          </cell>
          <cell r="J12596">
            <v>45811</v>
          </cell>
          <cell r="K12596">
            <v>3</v>
          </cell>
        </row>
        <row r="12597">
          <cell r="C12597" t="str">
            <v>陳威瑜</v>
          </cell>
          <cell r="F12597" t="str">
            <v>E250301I1</v>
          </cell>
          <cell r="J12597">
            <v>45811</v>
          </cell>
          <cell r="K12597">
            <v>3</v>
          </cell>
        </row>
        <row r="12598">
          <cell r="C12598" t="str">
            <v>陳威瑜</v>
          </cell>
          <cell r="F12598" t="str">
            <v>E250301I1</v>
          </cell>
          <cell r="J12598">
            <v>45811</v>
          </cell>
          <cell r="K12598">
            <v>2</v>
          </cell>
        </row>
        <row r="12599">
          <cell r="C12599" t="str">
            <v>陳威瑜</v>
          </cell>
          <cell r="F12599" t="str">
            <v>E250301I1</v>
          </cell>
          <cell r="J12599">
            <v>45812</v>
          </cell>
          <cell r="K12599">
            <v>5</v>
          </cell>
        </row>
        <row r="12600">
          <cell r="C12600" t="str">
            <v>陳威瑜</v>
          </cell>
          <cell r="F12600" t="str">
            <v>E250301I1</v>
          </cell>
          <cell r="J12600">
            <v>45812</v>
          </cell>
          <cell r="K12600">
            <v>3.5</v>
          </cell>
        </row>
        <row r="12601">
          <cell r="C12601" t="str">
            <v>陳威瑜</v>
          </cell>
          <cell r="J12601">
            <v>45813</v>
          </cell>
          <cell r="K12601">
            <v>0.5</v>
          </cell>
        </row>
        <row r="12602">
          <cell r="C12602" t="str">
            <v>陳威瑜</v>
          </cell>
          <cell r="F12602" t="str">
            <v>E250301I1</v>
          </cell>
          <cell r="J12602">
            <v>45813</v>
          </cell>
          <cell r="K12602">
            <v>3</v>
          </cell>
        </row>
        <row r="12603">
          <cell r="C12603" t="str">
            <v>陳威瑜</v>
          </cell>
          <cell r="F12603" t="str">
            <v>E250301I1</v>
          </cell>
          <cell r="J12603">
            <v>45813</v>
          </cell>
          <cell r="K12603">
            <v>4.5</v>
          </cell>
        </row>
        <row r="12604">
          <cell r="C12604" t="str">
            <v>陳威瑜</v>
          </cell>
          <cell r="J12604">
            <v>45814</v>
          </cell>
          <cell r="K12604">
            <v>1</v>
          </cell>
        </row>
        <row r="12605">
          <cell r="C12605" t="str">
            <v>陳威瑜</v>
          </cell>
          <cell r="F12605" t="str">
            <v>E250301I1</v>
          </cell>
          <cell r="J12605">
            <v>45814</v>
          </cell>
          <cell r="K12605">
            <v>3</v>
          </cell>
        </row>
        <row r="12606">
          <cell r="C12606" t="str">
            <v>陳威瑜</v>
          </cell>
          <cell r="F12606" t="str">
            <v>E250301I1</v>
          </cell>
          <cell r="J12606">
            <v>45814</v>
          </cell>
          <cell r="K12606">
            <v>4</v>
          </cell>
        </row>
        <row r="12607">
          <cell r="C12607" t="str">
            <v>陳威瑜</v>
          </cell>
          <cell r="J12607">
            <v>45817</v>
          </cell>
          <cell r="K12607">
            <v>0.5</v>
          </cell>
        </row>
        <row r="12608">
          <cell r="C12608" t="str">
            <v>陳威瑜</v>
          </cell>
          <cell r="F12608" t="str">
            <v>E250301I1</v>
          </cell>
          <cell r="J12608">
            <v>45817</v>
          </cell>
          <cell r="K12608">
            <v>3.5</v>
          </cell>
        </row>
        <row r="12609">
          <cell r="C12609" t="str">
            <v>陳威瑜</v>
          </cell>
          <cell r="F12609" t="str">
            <v>E250301I1</v>
          </cell>
          <cell r="J12609">
            <v>45817</v>
          </cell>
          <cell r="K12609">
            <v>4.5</v>
          </cell>
        </row>
        <row r="12610">
          <cell r="C12610" t="str">
            <v>陳威瑜</v>
          </cell>
          <cell r="J12610">
            <v>45818</v>
          </cell>
          <cell r="K12610">
            <v>8</v>
          </cell>
        </row>
        <row r="12611">
          <cell r="C12611" t="str">
            <v>陳威瑜</v>
          </cell>
          <cell r="F12611" t="str">
            <v>E250301I1</v>
          </cell>
          <cell r="J12611">
            <v>45819</v>
          </cell>
          <cell r="K12611">
            <v>8.5</v>
          </cell>
        </row>
        <row r="12612">
          <cell r="C12612" t="str">
            <v>陳威瑜</v>
          </cell>
          <cell r="J12612">
            <v>45820</v>
          </cell>
          <cell r="K12612">
            <v>1</v>
          </cell>
        </row>
        <row r="12613">
          <cell r="C12613" t="str">
            <v>陳威瑜</v>
          </cell>
          <cell r="F12613" t="str">
            <v>E250301I1</v>
          </cell>
          <cell r="J12613">
            <v>45820</v>
          </cell>
          <cell r="K12613">
            <v>7</v>
          </cell>
        </row>
        <row r="12614">
          <cell r="C12614" t="str">
            <v>陳威瑜</v>
          </cell>
          <cell r="J12614">
            <v>45821</v>
          </cell>
          <cell r="K12614">
            <v>2</v>
          </cell>
        </row>
        <row r="12615">
          <cell r="C12615" t="str">
            <v>陳威瑜</v>
          </cell>
          <cell r="F12615" t="str">
            <v>E250301I1</v>
          </cell>
          <cell r="J12615">
            <v>45821</v>
          </cell>
          <cell r="K12615">
            <v>6</v>
          </cell>
        </row>
        <row r="12616">
          <cell r="C12616" t="str">
            <v>陳威瑜</v>
          </cell>
          <cell r="J12616">
            <v>45824</v>
          </cell>
          <cell r="K12616">
            <v>1</v>
          </cell>
        </row>
        <row r="12617">
          <cell r="C12617" t="str">
            <v>陳威瑜</v>
          </cell>
          <cell r="J12617">
            <v>45824</v>
          </cell>
          <cell r="K12617">
            <v>1.5</v>
          </cell>
        </row>
        <row r="12618">
          <cell r="C12618" t="str">
            <v>陳威瑜</v>
          </cell>
          <cell r="F12618" t="str">
            <v>E250301I1</v>
          </cell>
          <cell r="J12618">
            <v>45824</v>
          </cell>
          <cell r="K12618">
            <v>3.5</v>
          </cell>
        </row>
        <row r="12619">
          <cell r="C12619" t="str">
            <v>陳威瑜</v>
          </cell>
          <cell r="F12619" t="str">
            <v>E250301I1</v>
          </cell>
          <cell r="J12619">
            <v>45824</v>
          </cell>
          <cell r="K12619">
            <v>2</v>
          </cell>
        </row>
        <row r="12620">
          <cell r="C12620" t="str">
            <v>陳威瑜</v>
          </cell>
          <cell r="F12620" t="str">
            <v>E250301I1</v>
          </cell>
          <cell r="J12620">
            <v>45824</v>
          </cell>
          <cell r="K12620">
            <v>1</v>
          </cell>
        </row>
        <row r="12621">
          <cell r="C12621" t="str">
            <v>陳威瑜</v>
          </cell>
          <cell r="F12621" t="str">
            <v>E250301I1</v>
          </cell>
          <cell r="J12621">
            <v>45825</v>
          </cell>
          <cell r="K12621">
            <v>8</v>
          </cell>
        </row>
        <row r="12622">
          <cell r="C12622" t="str">
            <v>陳威瑜</v>
          </cell>
          <cell r="J12622">
            <v>45826</v>
          </cell>
          <cell r="K12622">
            <v>8</v>
          </cell>
        </row>
        <row r="12623">
          <cell r="C12623" t="str">
            <v>陳威瑜</v>
          </cell>
          <cell r="F12623" t="str">
            <v>E250301I1</v>
          </cell>
          <cell r="J12623">
            <v>45827</v>
          </cell>
          <cell r="K12623">
            <v>1</v>
          </cell>
        </row>
        <row r="12624">
          <cell r="C12624" t="str">
            <v>陳威瑜</v>
          </cell>
          <cell r="F12624" t="str">
            <v>E250301I1</v>
          </cell>
          <cell r="J12624">
            <v>45827</v>
          </cell>
          <cell r="K12624">
            <v>7.5</v>
          </cell>
        </row>
        <row r="12625">
          <cell r="C12625" t="str">
            <v>陳威瑜</v>
          </cell>
          <cell r="J12625">
            <v>45828</v>
          </cell>
          <cell r="K12625">
            <v>4</v>
          </cell>
        </row>
        <row r="12626">
          <cell r="C12626" t="str">
            <v>陳威瑜</v>
          </cell>
          <cell r="F12626" t="str">
            <v>E250301I1</v>
          </cell>
          <cell r="J12626">
            <v>45828</v>
          </cell>
          <cell r="K12626">
            <v>4</v>
          </cell>
        </row>
        <row r="12627">
          <cell r="C12627" t="str">
            <v>陳威瑜</v>
          </cell>
          <cell r="J12627">
            <v>45831</v>
          </cell>
          <cell r="K12627">
            <v>1</v>
          </cell>
        </row>
        <row r="12628">
          <cell r="C12628" t="str">
            <v>陳威瑜</v>
          </cell>
          <cell r="F12628" t="str">
            <v>E250301I1</v>
          </cell>
          <cell r="J12628">
            <v>45831</v>
          </cell>
          <cell r="K12628">
            <v>8</v>
          </cell>
        </row>
        <row r="12629">
          <cell r="C12629" t="str">
            <v>陳威瑜</v>
          </cell>
          <cell r="J12629">
            <v>45832</v>
          </cell>
          <cell r="K12629">
            <v>1.5</v>
          </cell>
        </row>
        <row r="12630">
          <cell r="C12630" t="str">
            <v>陳威瑜</v>
          </cell>
          <cell r="F12630" t="str">
            <v>E250301I1</v>
          </cell>
          <cell r="J12630">
            <v>45832</v>
          </cell>
          <cell r="K12630">
            <v>7</v>
          </cell>
        </row>
        <row r="12631">
          <cell r="C12631" t="str">
            <v>陳威瑜</v>
          </cell>
          <cell r="F12631" t="str">
            <v>E250301I1</v>
          </cell>
          <cell r="J12631">
            <v>45833</v>
          </cell>
          <cell r="K12631">
            <v>8</v>
          </cell>
        </row>
        <row r="12632">
          <cell r="C12632" t="str">
            <v>陳威瑜</v>
          </cell>
          <cell r="F12632" t="str">
            <v>E250301I1</v>
          </cell>
          <cell r="J12632">
            <v>45834</v>
          </cell>
          <cell r="K12632">
            <v>4</v>
          </cell>
        </row>
        <row r="12633">
          <cell r="C12633" t="str">
            <v>陳威瑜</v>
          </cell>
          <cell r="F12633" t="str">
            <v>C250502E1</v>
          </cell>
          <cell r="J12633">
            <v>45835</v>
          </cell>
          <cell r="K12633">
            <v>6</v>
          </cell>
        </row>
        <row r="12634">
          <cell r="C12634" t="str">
            <v>陳威瑜</v>
          </cell>
          <cell r="F12634" t="str">
            <v>E250301I1</v>
          </cell>
          <cell r="J12634">
            <v>45835</v>
          </cell>
          <cell r="K12634">
            <v>2</v>
          </cell>
        </row>
        <row r="12635">
          <cell r="C12635" t="str">
            <v>陳威瑜</v>
          </cell>
          <cell r="J12635">
            <v>45838</v>
          </cell>
          <cell r="K12635">
            <v>1</v>
          </cell>
        </row>
        <row r="12636">
          <cell r="C12636" t="str">
            <v>陳威瑜</v>
          </cell>
          <cell r="J12636">
            <v>45838</v>
          </cell>
          <cell r="K12636">
            <v>7.5</v>
          </cell>
        </row>
        <row r="12637">
          <cell r="C12637" t="str">
            <v>陳威瑜</v>
          </cell>
          <cell r="F12637" t="str">
            <v>E250301I1</v>
          </cell>
          <cell r="J12637">
            <v>45838</v>
          </cell>
          <cell r="K12637">
            <v>1</v>
          </cell>
        </row>
        <row r="12638">
          <cell r="C12638" t="str">
            <v>陳威瑜</v>
          </cell>
          <cell r="J12638">
            <v>45839</v>
          </cell>
          <cell r="K12638">
            <v>3</v>
          </cell>
        </row>
        <row r="12639">
          <cell r="C12639" t="str">
            <v>陳威瑜</v>
          </cell>
          <cell r="F12639" t="str">
            <v>E250301I1</v>
          </cell>
          <cell r="J12639">
            <v>45839</v>
          </cell>
          <cell r="K12639">
            <v>5.5</v>
          </cell>
        </row>
        <row r="12640">
          <cell r="C12640" t="str">
            <v>陳威瑜</v>
          </cell>
          <cell r="J12640">
            <v>45840</v>
          </cell>
          <cell r="K12640">
            <v>2</v>
          </cell>
        </row>
        <row r="12641">
          <cell r="C12641" t="str">
            <v>陳威瑜</v>
          </cell>
          <cell r="F12641" t="str">
            <v>E250301I1</v>
          </cell>
          <cell r="J12641">
            <v>45840</v>
          </cell>
          <cell r="K12641">
            <v>1</v>
          </cell>
        </row>
        <row r="12642">
          <cell r="C12642" t="str">
            <v>陳威瑜</v>
          </cell>
          <cell r="F12642" t="str">
            <v>E250301I1</v>
          </cell>
          <cell r="J12642">
            <v>45840</v>
          </cell>
          <cell r="K12642">
            <v>5</v>
          </cell>
        </row>
        <row r="12643">
          <cell r="C12643" t="str">
            <v>陳威瑜</v>
          </cell>
          <cell r="J12643">
            <v>45841</v>
          </cell>
          <cell r="K12643">
            <v>1</v>
          </cell>
        </row>
        <row r="12644">
          <cell r="C12644" t="str">
            <v>陳威瑜</v>
          </cell>
          <cell r="J12644">
            <v>45841</v>
          </cell>
          <cell r="K12644">
            <v>5.5</v>
          </cell>
        </row>
        <row r="12645">
          <cell r="C12645" t="str">
            <v>陳威瑜</v>
          </cell>
          <cell r="J12645">
            <v>45841</v>
          </cell>
          <cell r="K12645">
            <v>1.5</v>
          </cell>
        </row>
        <row r="12646">
          <cell r="C12646" t="str">
            <v>陳威瑜</v>
          </cell>
          <cell r="J12646">
            <v>45842</v>
          </cell>
          <cell r="K12646">
            <v>4</v>
          </cell>
        </row>
        <row r="12647">
          <cell r="C12647" t="str">
            <v>陳威瑜</v>
          </cell>
          <cell r="J12647">
            <v>45845</v>
          </cell>
          <cell r="K12647">
            <v>1</v>
          </cell>
        </row>
        <row r="12648">
          <cell r="C12648" t="str">
            <v>陳威瑜</v>
          </cell>
          <cell r="F12648" t="str">
            <v>E250301I1</v>
          </cell>
          <cell r="J12648">
            <v>45845</v>
          </cell>
          <cell r="K12648">
            <v>7.5</v>
          </cell>
        </row>
        <row r="12649">
          <cell r="C12649" t="str">
            <v>陳威瑜</v>
          </cell>
          <cell r="J12649">
            <v>45846</v>
          </cell>
          <cell r="K12649">
            <v>8</v>
          </cell>
        </row>
        <row r="12650">
          <cell r="C12650" t="str">
            <v>陳威瑜</v>
          </cell>
          <cell r="J12650">
            <v>45847</v>
          </cell>
          <cell r="K12650">
            <v>8</v>
          </cell>
        </row>
        <row r="12651">
          <cell r="C12651" t="str">
            <v>陳威瑜</v>
          </cell>
          <cell r="J12651">
            <v>45848</v>
          </cell>
          <cell r="K12651">
            <v>1</v>
          </cell>
        </row>
        <row r="12652">
          <cell r="C12652" t="str">
            <v>陳威瑜</v>
          </cell>
          <cell r="J12652">
            <v>45848</v>
          </cell>
          <cell r="K12652">
            <v>0.5</v>
          </cell>
        </row>
        <row r="12653">
          <cell r="C12653" t="str">
            <v>陳威瑜</v>
          </cell>
          <cell r="J12653">
            <v>45848</v>
          </cell>
          <cell r="K12653">
            <v>2.5</v>
          </cell>
        </row>
        <row r="12654">
          <cell r="C12654" t="str">
            <v>陳威瑜</v>
          </cell>
          <cell r="J12654">
            <v>45848</v>
          </cell>
          <cell r="K12654">
            <v>2</v>
          </cell>
        </row>
        <row r="12655">
          <cell r="C12655" t="str">
            <v>陳威瑜</v>
          </cell>
          <cell r="F12655" t="str">
            <v>E250301I1</v>
          </cell>
          <cell r="J12655">
            <v>45848</v>
          </cell>
          <cell r="K12655">
            <v>2</v>
          </cell>
        </row>
        <row r="12656">
          <cell r="C12656" t="str">
            <v>陳威瑜</v>
          </cell>
          <cell r="F12656" t="str">
            <v>E250301I1</v>
          </cell>
          <cell r="J12656">
            <v>45849</v>
          </cell>
          <cell r="K12656">
            <v>8</v>
          </cell>
        </row>
        <row r="12657">
          <cell r="C12657" t="str">
            <v>陳威瑜</v>
          </cell>
          <cell r="J12657">
            <v>45852</v>
          </cell>
          <cell r="K12657">
            <v>1.5</v>
          </cell>
        </row>
        <row r="12658">
          <cell r="C12658" t="str">
            <v>陳威瑜</v>
          </cell>
          <cell r="J12658">
            <v>45852</v>
          </cell>
          <cell r="K12658">
            <v>0.5</v>
          </cell>
        </row>
        <row r="12659">
          <cell r="C12659" t="str">
            <v>陳威瑜</v>
          </cell>
          <cell r="J12659">
            <v>45852</v>
          </cell>
          <cell r="K12659">
            <v>7</v>
          </cell>
        </row>
        <row r="12660">
          <cell r="C12660" t="str">
            <v>陳威瑜</v>
          </cell>
          <cell r="J12660">
            <v>45853</v>
          </cell>
          <cell r="K12660">
            <v>2</v>
          </cell>
        </row>
        <row r="12661">
          <cell r="C12661" t="str">
            <v>陳威瑜</v>
          </cell>
          <cell r="J12661">
            <v>45853</v>
          </cell>
          <cell r="K12661">
            <v>4</v>
          </cell>
        </row>
        <row r="12662">
          <cell r="C12662" t="str">
            <v>陳威瑜</v>
          </cell>
          <cell r="F12662" t="str">
            <v>E250301I1</v>
          </cell>
          <cell r="J12662">
            <v>45853</v>
          </cell>
          <cell r="K12662">
            <v>2</v>
          </cell>
        </row>
        <row r="12663">
          <cell r="C12663" t="str">
            <v>陳威瑜</v>
          </cell>
          <cell r="J12663">
            <v>45854</v>
          </cell>
          <cell r="K12663">
            <v>8</v>
          </cell>
        </row>
        <row r="12664">
          <cell r="C12664" t="str">
            <v>陳威瑜</v>
          </cell>
          <cell r="J12664">
            <v>45855</v>
          </cell>
          <cell r="K12664">
            <v>1.5</v>
          </cell>
        </row>
        <row r="12665">
          <cell r="C12665" t="str">
            <v>陳威瑜</v>
          </cell>
          <cell r="J12665">
            <v>45855</v>
          </cell>
          <cell r="K12665">
            <v>6.5</v>
          </cell>
        </row>
        <row r="12666">
          <cell r="C12666" t="str">
            <v>陳威瑜</v>
          </cell>
          <cell r="J12666">
            <v>45856</v>
          </cell>
          <cell r="K12666">
            <v>8</v>
          </cell>
        </row>
        <row r="12667">
          <cell r="C12667" t="str">
            <v>陳威瑜</v>
          </cell>
          <cell r="J12667">
            <v>45859</v>
          </cell>
          <cell r="K12667">
            <v>1.5</v>
          </cell>
        </row>
        <row r="12668">
          <cell r="C12668" t="str">
            <v>陳威瑜</v>
          </cell>
          <cell r="J12668">
            <v>45859</v>
          </cell>
          <cell r="K12668">
            <v>2</v>
          </cell>
        </row>
        <row r="12669">
          <cell r="C12669" t="str">
            <v>陳威瑜</v>
          </cell>
          <cell r="J12669">
            <v>45859</v>
          </cell>
          <cell r="K12669">
            <v>1.5</v>
          </cell>
        </row>
        <row r="12670">
          <cell r="C12670" t="str">
            <v>陳威瑜</v>
          </cell>
          <cell r="J12670">
            <v>45859</v>
          </cell>
          <cell r="K12670">
            <v>2</v>
          </cell>
        </row>
        <row r="12671">
          <cell r="C12671" t="str">
            <v>陳威瑜</v>
          </cell>
          <cell r="J12671">
            <v>45859</v>
          </cell>
          <cell r="K12671">
            <v>1</v>
          </cell>
        </row>
        <row r="12672">
          <cell r="C12672" t="str">
            <v>陳威瑜</v>
          </cell>
          <cell r="J12672">
            <v>45860</v>
          </cell>
          <cell r="K12672">
            <v>3</v>
          </cell>
        </row>
        <row r="12673">
          <cell r="C12673" t="str">
            <v>陳威瑜</v>
          </cell>
          <cell r="J12673">
            <v>45860</v>
          </cell>
          <cell r="K12673">
            <v>5</v>
          </cell>
        </row>
        <row r="12674">
          <cell r="C12674" t="str">
            <v>陳威瑜</v>
          </cell>
          <cell r="J12674">
            <v>45861</v>
          </cell>
          <cell r="K12674">
            <v>6</v>
          </cell>
        </row>
        <row r="12675">
          <cell r="C12675" t="str">
            <v>陳威瑜</v>
          </cell>
          <cell r="J12675">
            <v>45861</v>
          </cell>
          <cell r="K12675">
            <v>2</v>
          </cell>
        </row>
        <row r="12676">
          <cell r="C12676" t="str">
            <v>陳威瑜</v>
          </cell>
          <cell r="J12676">
            <v>45862</v>
          </cell>
          <cell r="K12676">
            <v>1</v>
          </cell>
        </row>
        <row r="12677">
          <cell r="C12677" t="str">
            <v>陳威瑜</v>
          </cell>
          <cell r="J12677">
            <v>45862</v>
          </cell>
          <cell r="K12677">
            <v>7</v>
          </cell>
        </row>
        <row r="12678">
          <cell r="C12678" t="str">
            <v>陳威瑜</v>
          </cell>
          <cell r="J12678">
            <v>45863</v>
          </cell>
          <cell r="K12678">
            <v>8</v>
          </cell>
        </row>
        <row r="12679">
          <cell r="C12679" t="str">
            <v>陳威瑜</v>
          </cell>
          <cell r="J12679">
            <v>45866</v>
          </cell>
          <cell r="K12679">
            <v>8.5</v>
          </cell>
        </row>
        <row r="12680">
          <cell r="C12680" t="str">
            <v>陳威瑜</v>
          </cell>
          <cell r="J12680">
            <v>45866</v>
          </cell>
          <cell r="K12680">
            <v>0.5</v>
          </cell>
        </row>
        <row r="12681">
          <cell r="C12681" t="str">
            <v>陳威瑜</v>
          </cell>
          <cell r="J12681">
            <v>45867</v>
          </cell>
          <cell r="K12681">
            <v>8</v>
          </cell>
        </row>
        <row r="12682">
          <cell r="C12682" t="str">
            <v>陳威瑜</v>
          </cell>
          <cell r="J12682">
            <v>45868</v>
          </cell>
          <cell r="K12682">
            <v>2.5</v>
          </cell>
        </row>
        <row r="12683">
          <cell r="C12683" t="str">
            <v>陳威瑜</v>
          </cell>
          <cell r="J12683">
            <v>45868</v>
          </cell>
          <cell r="K12683">
            <v>3.5</v>
          </cell>
        </row>
        <row r="12684">
          <cell r="C12684" t="str">
            <v>陳威瑜</v>
          </cell>
          <cell r="J12684">
            <v>45868</v>
          </cell>
          <cell r="K12684">
            <v>1</v>
          </cell>
        </row>
        <row r="12685">
          <cell r="C12685" t="str">
            <v>陳威瑜</v>
          </cell>
          <cell r="J12685">
            <v>45868</v>
          </cell>
          <cell r="K12685">
            <v>1</v>
          </cell>
        </row>
        <row r="12686">
          <cell r="C12686" t="str">
            <v>陳威瑜</v>
          </cell>
          <cell r="J12686">
            <v>45869</v>
          </cell>
          <cell r="K12686">
            <v>3</v>
          </cell>
        </row>
        <row r="12687">
          <cell r="C12687" t="str">
            <v>陳威瑜</v>
          </cell>
          <cell r="J12687">
            <v>45869</v>
          </cell>
          <cell r="K12687">
            <v>1</v>
          </cell>
        </row>
        <row r="12688">
          <cell r="C12688" t="str">
            <v>陳威瑜</v>
          </cell>
          <cell r="J12688">
            <v>45869</v>
          </cell>
          <cell r="K12688">
            <v>1</v>
          </cell>
        </row>
        <row r="12689">
          <cell r="C12689" t="str">
            <v>陳威瑜</v>
          </cell>
          <cell r="J12689">
            <v>45869</v>
          </cell>
          <cell r="K12689">
            <v>3</v>
          </cell>
        </row>
        <row r="12690">
          <cell r="C12690" t="str">
            <v>陳威瑜</v>
          </cell>
          <cell r="J12690">
            <v>45873</v>
          </cell>
          <cell r="K12690">
            <v>1</v>
          </cell>
        </row>
        <row r="12691">
          <cell r="C12691" t="str">
            <v>陳威瑜</v>
          </cell>
          <cell r="J12691">
            <v>45873</v>
          </cell>
          <cell r="K12691">
            <v>1</v>
          </cell>
        </row>
        <row r="12692">
          <cell r="C12692" t="str">
            <v>陳威瑜</v>
          </cell>
          <cell r="J12692">
            <v>45873</v>
          </cell>
          <cell r="K12692">
            <v>2</v>
          </cell>
        </row>
        <row r="12693">
          <cell r="C12693" t="str">
            <v>陳威瑜</v>
          </cell>
          <cell r="J12693">
            <v>45873</v>
          </cell>
          <cell r="K12693">
            <v>4</v>
          </cell>
        </row>
        <row r="12694">
          <cell r="C12694" t="str">
            <v>陳威瑜</v>
          </cell>
          <cell r="J12694">
            <v>45874</v>
          </cell>
          <cell r="K12694">
            <v>1.5</v>
          </cell>
        </row>
        <row r="12695">
          <cell r="C12695" t="str">
            <v>陳威瑜</v>
          </cell>
          <cell r="J12695">
            <v>45874</v>
          </cell>
          <cell r="K12695">
            <v>1.5</v>
          </cell>
        </row>
        <row r="12696">
          <cell r="C12696" t="str">
            <v>陳威瑜</v>
          </cell>
          <cell r="J12696">
            <v>45874</v>
          </cell>
          <cell r="K12696">
            <v>5</v>
          </cell>
        </row>
        <row r="12697">
          <cell r="C12697" t="str">
            <v>陳威瑜</v>
          </cell>
          <cell r="J12697">
            <v>45875</v>
          </cell>
          <cell r="K12697">
            <v>2</v>
          </cell>
        </row>
        <row r="12698">
          <cell r="C12698" t="str">
            <v>陳威瑜</v>
          </cell>
          <cell r="J12698">
            <v>45875</v>
          </cell>
          <cell r="K12698">
            <v>6</v>
          </cell>
        </row>
        <row r="12699">
          <cell r="C12699" t="str">
            <v>陳威瑜</v>
          </cell>
          <cell r="J12699">
            <v>45876</v>
          </cell>
          <cell r="K12699">
            <v>1</v>
          </cell>
        </row>
        <row r="12700">
          <cell r="C12700" t="str">
            <v>陳威瑜</v>
          </cell>
          <cell r="J12700">
            <v>45876</v>
          </cell>
          <cell r="K12700">
            <v>0.5</v>
          </cell>
        </row>
        <row r="12701">
          <cell r="C12701" t="str">
            <v>陳威瑜</v>
          </cell>
          <cell r="J12701">
            <v>45876</v>
          </cell>
          <cell r="K12701">
            <v>6.5</v>
          </cell>
        </row>
        <row r="12702">
          <cell r="C12702" t="str">
            <v>陳威瑜</v>
          </cell>
          <cell r="J12702">
            <v>45880</v>
          </cell>
          <cell r="K12702">
            <v>3.5</v>
          </cell>
        </row>
        <row r="12703">
          <cell r="C12703" t="str">
            <v>陳威瑜</v>
          </cell>
          <cell r="J12703">
            <v>45880</v>
          </cell>
          <cell r="K12703">
            <v>1</v>
          </cell>
        </row>
        <row r="12704">
          <cell r="C12704" t="str">
            <v>陳威瑜</v>
          </cell>
          <cell r="J12704">
            <v>45880</v>
          </cell>
          <cell r="K12704">
            <v>4.5</v>
          </cell>
        </row>
        <row r="12705">
          <cell r="C12705" t="str">
            <v>陳威瑜</v>
          </cell>
          <cell r="J12705">
            <v>45881</v>
          </cell>
          <cell r="K12705">
            <v>2</v>
          </cell>
        </row>
        <row r="12706">
          <cell r="C12706" t="str">
            <v>陳威瑜</v>
          </cell>
          <cell r="J12706">
            <v>45881</v>
          </cell>
          <cell r="K12706">
            <v>2</v>
          </cell>
        </row>
        <row r="12707">
          <cell r="C12707" t="str">
            <v>陳威瑜</v>
          </cell>
          <cell r="J12707">
            <v>45881</v>
          </cell>
          <cell r="K12707">
            <v>4</v>
          </cell>
        </row>
        <row r="12708">
          <cell r="C12708" t="str">
            <v>陳威瑜</v>
          </cell>
          <cell r="J12708">
            <v>45882</v>
          </cell>
          <cell r="K12708">
            <v>2.5</v>
          </cell>
        </row>
        <row r="12709">
          <cell r="C12709" t="str">
            <v>陳威瑜</v>
          </cell>
          <cell r="J12709">
            <v>45882</v>
          </cell>
          <cell r="K12709">
            <v>1</v>
          </cell>
        </row>
        <row r="12710">
          <cell r="C12710" t="str">
            <v>陳威瑜</v>
          </cell>
          <cell r="J12710">
            <v>45882</v>
          </cell>
          <cell r="K12710">
            <v>4.5</v>
          </cell>
        </row>
        <row r="12711">
          <cell r="C12711" t="str">
            <v>陳威瑜</v>
          </cell>
          <cell r="J12711">
            <v>45883</v>
          </cell>
          <cell r="K12711">
            <v>4</v>
          </cell>
        </row>
        <row r="12712">
          <cell r="C12712" t="str">
            <v>陳威瑜</v>
          </cell>
          <cell r="J12712">
            <v>45883</v>
          </cell>
          <cell r="K12712">
            <v>1</v>
          </cell>
        </row>
        <row r="12713">
          <cell r="C12713" t="str">
            <v>陳威瑜</v>
          </cell>
          <cell r="J12713">
            <v>45883</v>
          </cell>
          <cell r="K12713">
            <v>1</v>
          </cell>
        </row>
        <row r="12714">
          <cell r="C12714" t="str">
            <v>陳威瑜</v>
          </cell>
          <cell r="J12714">
            <v>45884</v>
          </cell>
          <cell r="K12714">
            <v>1</v>
          </cell>
        </row>
        <row r="12715">
          <cell r="C12715" t="str">
            <v>陳威瑜</v>
          </cell>
          <cell r="J12715">
            <v>45884</v>
          </cell>
          <cell r="K12715">
            <v>5</v>
          </cell>
        </row>
        <row r="12716">
          <cell r="C12716" t="str">
            <v>陳威瑜</v>
          </cell>
          <cell r="J12716">
            <v>45884</v>
          </cell>
          <cell r="K12716">
            <v>2</v>
          </cell>
        </row>
        <row r="12717">
          <cell r="C12717" t="str">
            <v>陳威瑜</v>
          </cell>
          <cell r="J12717">
            <v>45887</v>
          </cell>
          <cell r="K12717">
            <v>1</v>
          </cell>
        </row>
        <row r="12718">
          <cell r="C12718" t="str">
            <v>陳威瑜</v>
          </cell>
          <cell r="J12718">
            <v>45887</v>
          </cell>
          <cell r="K12718">
            <v>2</v>
          </cell>
        </row>
        <row r="12719">
          <cell r="C12719" t="str">
            <v>陳威瑜</v>
          </cell>
          <cell r="J12719">
            <v>45887</v>
          </cell>
          <cell r="K12719">
            <v>1</v>
          </cell>
        </row>
        <row r="12720">
          <cell r="C12720" t="str">
            <v>陳威瑜</v>
          </cell>
          <cell r="J12720">
            <v>45887</v>
          </cell>
          <cell r="K12720">
            <v>4</v>
          </cell>
        </row>
        <row r="12721">
          <cell r="C12721" t="str">
            <v>陳威瑜</v>
          </cell>
          <cell r="J12721">
            <v>45888</v>
          </cell>
          <cell r="K12721">
            <v>7</v>
          </cell>
        </row>
        <row r="12722">
          <cell r="C12722" t="str">
            <v>陳威瑜</v>
          </cell>
          <cell r="J12722">
            <v>45888</v>
          </cell>
          <cell r="K12722">
            <v>1</v>
          </cell>
        </row>
        <row r="12723">
          <cell r="C12723" t="str">
            <v>陳威瑜</v>
          </cell>
          <cell r="J12723">
            <v>45889</v>
          </cell>
          <cell r="K12723">
            <v>2.5</v>
          </cell>
        </row>
        <row r="12724">
          <cell r="C12724" t="str">
            <v>陳威瑜</v>
          </cell>
          <cell r="J12724">
            <v>45889</v>
          </cell>
          <cell r="K12724">
            <v>5.5</v>
          </cell>
        </row>
        <row r="12725">
          <cell r="C12725" t="str">
            <v>陳威瑜</v>
          </cell>
          <cell r="J12725">
            <v>45890</v>
          </cell>
          <cell r="K12725">
            <v>4</v>
          </cell>
        </row>
        <row r="12726">
          <cell r="C12726" t="str">
            <v>陳威瑜</v>
          </cell>
          <cell r="J12726">
            <v>45890</v>
          </cell>
          <cell r="K12726">
            <v>4</v>
          </cell>
        </row>
        <row r="12727">
          <cell r="C12727" t="str">
            <v>陳威瑜</v>
          </cell>
          <cell r="J12727">
            <v>45891</v>
          </cell>
          <cell r="K12727">
            <v>3.5</v>
          </cell>
        </row>
        <row r="12728">
          <cell r="C12728" t="str">
            <v>陳威瑜</v>
          </cell>
          <cell r="J12728">
            <v>45891</v>
          </cell>
          <cell r="K12728">
            <v>4.5</v>
          </cell>
        </row>
        <row r="12729">
          <cell r="C12729" t="str">
            <v>陳威瑜</v>
          </cell>
          <cell r="J12729">
            <v>45894</v>
          </cell>
          <cell r="K12729">
            <v>4</v>
          </cell>
        </row>
        <row r="12730">
          <cell r="C12730" t="str">
            <v>陳威瑜</v>
          </cell>
          <cell r="J12730">
            <v>45894</v>
          </cell>
          <cell r="K12730">
            <v>1</v>
          </cell>
        </row>
        <row r="12731">
          <cell r="C12731" t="str">
            <v>陳威瑜</v>
          </cell>
          <cell r="J12731">
            <v>45894</v>
          </cell>
          <cell r="K12731">
            <v>1.5</v>
          </cell>
        </row>
        <row r="12732">
          <cell r="C12732" t="str">
            <v>陳威瑜</v>
          </cell>
          <cell r="J12732">
            <v>45894</v>
          </cell>
          <cell r="K12732">
            <v>1.5</v>
          </cell>
        </row>
        <row r="12733">
          <cell r="C12733" t="str">
            <v>陳威瑜</v>
          </cell>
          <cell r="J12733">
            <v>45895</v>
          </cell>
          <cell r="K12733">
            <v>1</v>
          </cell>
        </row>
        <row r="12734">
          <cell r="C12734" t="str">
            <v>陳威瑜</v>
          </cell>
          <cell r="J12734">
            <v>45895</v>
          </cell>
          <cell r="K12734">
            <v>1</v>
          </cell>
        </row>
        <row r="12735">
          <cell r="C12735" t="str">
            <v>陳威瑜</v>
          </cell>
          <cell r="J12735">
            <v>45895</v>
          </cell>
          <cell r="K12735">
            <v>6.5</v>
          </cell>
        </row>
        <row r="12736">
          <cell r="C12736" t="str">
            <v>陳威瑜</v>
          </cell>
          <cell r="J12736">
            <v>45896</v>
          </cell>
          <cell r="K12736">
            <v>1</v>
          </cell>
        </row>
        <row r="12737">
          <cell r="C12737" t="str">
            <v>陳威瑜</v>
          </cell>
          <cell r="J12737">
            <v>45896</v>
          </cell>
          <cell r="K12737">
            <v>7</v>
          </cell>
        </row>
        <row r="12738">
          <cell r="C12738" t="str">
            <v>陳威瑜</v>
          </cell>
          <cell r="J12738">
            <v>45897</v>
          </cell>
          <cell r="K12738">
            <v>4</v>
          </cell>
        </row>
        <row r="12739">
          <cell r="C12739" t="str">
            <v>陳威瑜</v>
          </cell>
          <cell r="J12739">
            <v>45897</v>
          </cell>
          <cell r="K12739">
            <v>4</v>
          </cell>
        </row>
        <row r="12740">
          <cell r="C12740" t="str">
            <v>陳威瑜</v>
          </cell>
          <cell r="J12740">
            <v>45898</v>
          </cell>
          <cell r="K12740">
            <v>3</v>
          </cell>
        </row>
        <row r="12741">
          <cell r="C12741" t="str">
            <v>陳威瑜</v>
          </cell>
          <cell r="J12741">
            <v>45898</v>
          </cell>
          <cell r="K12741">
            <v>1</v>
          </cell>
        </row>
        <row r="12742">
          <cell r="C12742" t="str">
            <v>陳威瑜</v>
          </cell>
          <cell r="J12742">
            <v>45898</v>
          </cell>
          <cell r="K12742">
            <v>2</v>
          </cell>
        </row>
        <row r="12743">
          <cell r="C12743" t="str">
            <v>陳威瑜</v>
          </cell>
          <cell r="J12743">
            <v>45898</v>
          </cell>
          <cell r="K12743">
            <v>2</v>
          </cell>
        </row>
        <row r="12744">
          <cell r="C12744" t="str">
            <v>陳威瑜</v>
          </cell>
          <cell r="J12744">
            <v>45901</v>
          </cell>
          <cell r="K12744">
            <v>1.5</v>
          </cell>
        </row>
        <row r="12745">
          <cell r="C12745" t="str">
            <v>陳威瑜</v>
          </cell>
          <cell r="J12745">
            <v>45901</v>
          </cell>
          <cell r="K12745">
            <v>2</v>
          </cell>
        </row>
        <row r="12746">
          <cell r="C12746" t="str">
            <v>陳威瑜</v>
          </cell>
          <cell r="J12746">
            <v>45901</v>
          </cell>
          <cell r="K12746">
            <v>2.5</v>
          </cell>
        </row>
        <row r="12747">
          <cell r="C12747" t="str">
            <v>陳威瑜</v>
          </cell>
          <cell r="J12747">
            <v>45901</v>
          </cell>
          <cell r="K12747">
            <v>2</v>
          </cell>
        </row>
        <row r="12748">
          <cell r="C12748" t="str">
            <v>陳威瑜</v>
          </cell>
          <cell r="J12748">
            <v>45902</v>
          </cell>
          <cell r="K12748">
            <v>2.5</v>
          </cell>
        </row>
        <row r="12749">
          <cell r="C12749" t="str">
            <v>陳威瑜</v>
          </cell>
          <cell r="J12749">
            <v>45902</v>
          </cell>
          <cell r="K12749">
            <v>4</v>
          </cell>
        </row>
        <row r="12750">
          <cell r="C12750" t="str">
            <v>陳威瑜</v>
          </cell>
          <cell r="J12750">
            <v>45902</v>
          </cell>
          <cell r="K12750">
            <v>1.5</v>
          </cell>
        </row>
        <row r="12751">
          <cell r="C12751" t="str">
            <v>陳威瑜</v>
          </cell>
          <cell r="J12751">
            <v>45904</v>
          </cell>
          <cell r="K12751">
            <v>6</v>
          </cell>
        </row>
        <row r="12752">
          <cell r="C12752" t="str">
            <v>陳威瑜</v>
          </cell>
          <cell r="J12752">
            <v>45904</v>
          </cell>
          <cell r="K12752">
            <v>2</v>
          </cell>
        </row>
        <row r="12753">
          <cell r="C12753" t="str">
            <v>陳威瑜</v>
          </cell>
          <cell r="J12753">
            <v>45905</v>
          </cell>
          <cell r="K12753">
            <v>6</v>
          </cell>
        </row>
        <row r="12754">
          <cell r="C12754" t="str">
            <v>陳威瑜</v>
          </cell>
          <cell r="F12754" t="str">
            <v>G250701I1</v>
          </cell>
          <cell r="J12754">
            <v>45905</v>
          </cell>
          <cell r="K12754">
            <v>2</v>
          </cell>
        </row>
        <row r="12755">
          <cell r="C12755" t="str">
            <v>陳威瑜</v>
          </cell>
          <cell r="J12755">
            <v>45908</v>
          </cell>
          <cell r="K12755">
            <v>2</v>
          </cell>
        </row>
        <row r="12756">
          <cell r="C12756" t="str">
            <v>陳威瑜</v>
          </cell>
          <cell r="J12756">
            <v>45908</v>
          </cell>
          <cell r="K12756">
            <v>1</v>
          </cell>
        </row>
        <row r="12757">
          <cell r="C12757" t="str">
            <v>陳威瑜</v>
          </cell>
          <cell r="J12757">
            <v>45908</v>
          </cell>
          <cell r="K12757">
            <v>5</v>
          </cell>
        </row>
        <row r="12758">
          <cell r="C12758" t="str">
            <v>陳威瑜</v>
          </cell>
          <cell r="J12758">
            <v>45909</v>
          </cell>
          <cell r="K12758">
            <v>1.5</v>
          </cell>
        </row>
        <row r="12759">
          <cell r="C12759" t="str">
            <v>陳威瑜</v>
          </cell>
          <cell r="F12759" t="str">
            <v>G250701I1</v>
          </cell>
          <cell r="J12759">
            <v>45909</v>
          </cell>
          <cell r="K12759">
            <v>7</v>
          </cell>
        </row>
        <row r="12760">
          <cell r="C12760" t="str">
            <v>陳威瑜</v>
          </cell>
          <cell r="J12760">
            <v>45910</v>
          </cell>
          <cell r="K12760">
            <v>1</v>
          </cell>
        </row>
        <row r="12761">
          <cell r="C12761" t="str">
            <v>陳威瑜</v>
          </cell>
          <cell r="F12761" t="str">
            <v>G250701I1</v>
          </cell>
          <cell r="J12761">
            <v>45910</v>
          </cell>
          <cell r="K12761">
            <v>7</v>
          </cell>
        </row>
        <row r="12762">
          <cell r="C12762" t="str">
            <v>陳威瑜</v>
          </cell>
          <cell r="J12762">
            <v>45911</v>
          </cell>
          <cell r="K12762">
            <v>0.5</v>
          </cell>
        </row>
        <row r="12763">
          <cell r="C12763" t="str">
            <v>陳威瑜</v>
          </cell>
          <cell r="J12763">
            <v>45911</v>
          </cell>
          <cell r="K12763">
            <v>1.5</v>
          </cell>
        </row>
        <row r="12764">
          <cell r="C12764" t="str">
            <v>陳威瑜</v>
          </cell>
          <cell r="J12764">
            <v>45911</v>
          </cell>
          <cell r="K12764">
            <v>1</v>
          </cell>
        </row>
        <row r="12765">
          <cell r="C12765" t="str">
            <v>陳威瑜</v>
          </cell>
          <cell r="F12765" t="str">
            <v>G250701I1</v>
          </cell>
          <cell r="J12765">
            <v>45911</v>
          </cell>
          <cell r="K12765">
            <v>5</v>
          </cell>
        </row>
        <row r="12766">
          <cell r="C12766" t="str">
            <v>陳威瑜</v>
          </cell>
          <cell r="J12766">
            <v>45912</v>
          </cell>
          <cell r="K12766">
            <v>2</v>
          </cell>
        </row>
        <row r="12767">
          <cell r="C12767" t="str">
            <v>陳威瑜</v>
          </cell>
          <cell r="F12767" t="str">
            <v>G250701I1</v>
          </cell>
          <cell r="J12767">
            <v>45912</v>
          </cell>
          <cell r="K12767">
            <v>6</v>
          </cell>
        </row>
        <row r="12768">
          <cell r="C12768" t="str">
            <v>陳威瑜</v>
          </cell>
          <cell r="J12768">
            <v>45915</v>
          </cell>
          <cell r="K12768">
            <v>8</v>
          </cell>
        </row>
        <row r="12769">
          <cell r="C12769" t="str">
            <v>陳威瑜</v>
          </cell>
          <cell r="J12769">
            <v>45916</v>
          </cell>
          <cell r="K12769">
            <v>2</v>
          </cell>
        </row>
        <row r="12770">
          <cell r="C12770" t="str">
            <v>陳威瑜</v>
          </cell>
          <cell r="F12770" t="str">
            <v>G250701I1</v>
          </cell>
          <cell r="J12770">
            <v>45916</v>
          </cell>
          <cell r="K12770">
            <v>6</v>
          </cell>
        </row>
        <row r="12771">
          <cell r="C12771" t="str">
            <v>陳威瑜</v>
          </cell>
          <cell r="J12771">
            <v>45917</v>
          </cell>
          <cell r="K12771">
            <v>3</v>
          </cell>
        </row>
        <row r="12772">
          <cell r="C12772" t="str">
            <v>陳威瑜</v>
          </cell>
          <cell r="J12772">
            <v>45917</v>
          </cell>
          <cell r="K12772">
            <v>1</v>
          </cell>
        </row>
        <row r="12773">
          <cell r="C12773" t="str">
            <v>陳威瑜</v>
          </cell>
          <cell r="J12773">
            <v>45917</v>
          </cell>
          <cell r="K12773">
            <v>4</v>
          </cell>
        </row>
        <row r="12774">
          <cell r="C12774" t="str">
            <v>陳威瑜</v>
          </cell>
          <cell r="J12774">
            <v>45918</v>
          </cell>
          <cell r="K12774">
            <v>1</v>
          </cell>
        </row>
        <row r="12775">
          <cell r="C12775" t="str">
            <v>陳威瑜</v>
          </cell>
          <cell r="J12775">
            <v>45918</v>
          </cell>
          <cell r="K12775">
            <v>3</v>
          </cell>
        </row>
        <row r="12776">
          <cell r="C12776" t="str">
            <v>陳威瑜</v>
          </cell>
          <cell r="F12776" t="str">
            <v>G250701I1</v>
          </cell>
          <cell r="J12776">
            <v>45918</v>
          </cell>
          <cell r="K12776">
            <v>4</v>
          </cell>
        </row>
        <row r="12777">
          <cell r="C12777" t="str">
            <v>陳威瑜</v>
          </cell>
          <cell r="J12777">
            <v>45919</v>
          </cell>
          <cell r="K12777">
            <v>1</v>
          </cell>
        </row>
        <row r="12778">
          <cell r="C12778" t="str">
            <v>陳威瑜</v>
          </cell>
          <cell r="J12778">
            <v>45919</v>
          </cell>
          <cell r="K12778">
            <v>7</v>
          </cell>
        </row>
        <row r="12779">
          <cell r="C12779" t="str">
            <v>陳威瑜</v>
          </cell>
          <cell r="J12779">
            <v>45922</v>
          </cell>
          <cell r="K12779">
            <v>8</v>
          </cell>
        </row>
        <row r="12780">
          <cell r="C12780" t="str">
            <v>陳威瑜</v>
          </cell>
          <cell r="J12780">
            <v>45923</v>
          </cell>
          <cell r="K12780">
            <v>8</v>
          </cell>
        </row>
        <row r="12781">
          <cell r="C12781" t="str">
            <v>陳威瑜</v>
          </cell>
          <cell r="J12781">
            <v>45924</v>
          </cell>
          <cell r="K12781">
            <v>8</v>
          </cell>
        </row>
        <row r="12782">
          <cell r="C12782" t="str">
            <v>陳威瑜</v>
          </cell>
          <cell r="J12782">
            <v>45925</v>
          </cell>
          <cell r="K12782">
            <v>8</v>
          </cell>
        </row>
        <row r="12783">
          <cell r="C12783" t="str">
            <v>陳威瑜</v>
          </cell>
          <cell r="J12783">
            <v>45926</v>
          </cell>
          <cell r="K12783">
            <v>1</v>
          </cell>
        </row>
        <row r="12784">
          <cell r="C12784" t="str">
            <v>陳威瑜</v>
          </cell>
          <cell r="J12784">
            <v>45926</v>
          </cell>
          <cell r="K12784">
            <v>4</v>
          </cell>
        </row>
        <row r="12785">
          <cell r="C12785" t="str">
            <v>陳威瑜</v>
          </cell>
          <cell r="J12785">
            <v>45926</v>
          </cell>
          <cell r="K12785">
            <v>2</v>
          </cell>
        </row>
        <row r="12786">
          <cell r="C12786" t="str">
            <v>陳威瑜</v>
          </cell>
          <cell r="J12786">
            <v>45926</v>
          </cell>
          <cell r="K12786">
            <v>1</v>
          </cell>
        </row>
        <row r="12787">
          <cell r="C12787" t="str">
            <v>陳威瑜</v>
          </cell>
          <cell r="F12787" t="str">
            <v>G250701I1</v>
          </cell>
          <cell r="J12787">
            <v>45930</v>
          </cell>
          <cell r="K12787">
            <v>3</v>
          </cell>
        </row>
        <row r="12788">
          <cell r="C12788" t="str">
            <v>陳威瑜</v>
          </cell>
          <cell r="F12788" t="str">
            <v>G250701I1</v>
          </cell>
          <cell r="J12788">
            <v>45930</v>
          </cell>
          <cell r="K12788">
            <v>5</v>
          </cell>
        </row>
        <row r="12789">
          <cell r="C12789" t="str">
            <v>陳威瑜</v>
          </cell>
          <cell r="J12789">
            <v>45931</v>
          </cell>
          <cell r="K12789">
            <v>2.5</v>
          </cell>
        </row>
        <row r="12790">
          <cell r="C12790" t="str">
            <v>陳威瑜</v>
          </cell>
          <cell r="F12790" t="str">
            <v>G250701I1</v>
          </cell>
          <cell r="J12790">
            <v>45931</v>
          </cell>
          <cell r="K12790">
            <v>5.5</v>
          </cell>
        </row>
        <row r="12791">
          <cell r="C12791" t="str">
            <v>陳威瑜</v>
          </cell>
          <cell r="J12791">
            <v>45932</v>
          </cell>
          <cell r="K12791">
            <v>1</v>
          </cell>
        </row>
        <row r="12792">
          <cell r="C12792" t="str">
            <v>陳威瑜</v>
          </cell>
          <cell r="J12792">
            <v>45932</v>
          </cell>
          <cell r="K12792">
            <v>3.5</v>
          </cell>
        </row>
        <row r="12793">
          <cell r="C12793" t="str">
            <v>陳威瑜</v>
          </cell>
          <cell r="J12793">
            <v>45932</v>
          </cell>
          <cell r="K12793">
            <v>0.5</v>
          </cell>
        </row>
        <row r="12794">
          <cell r="C12794" t="str">
            <v>陳威瑜</v>
          </cell>
          <cell r="F12794" t="str">
            <v>G250701I1</v>
          </cell>
          <cell r="J12794">
            <v>45932</v>
          </cell>
          <cell r="K12794">
            <v>3</v>
          </cell>
        </row>
        <row r="12795">
          <cell r="C12795" t="str">
            <v>陳威瑜</v>
          </cell>
          <cell r="J12795">
            <v>45937</v>
          </cell>
          <cell r="K12795">
            <v>1.5</v>
          </cell>
        </row>
        <row r="12796">
          <cell r="C12796" t="str">
            <v>陳威瑜</v>
          </cell>
          <cell r="F12796" t="str">
            <v>G250701I1</v>
          </cell>
          <cell r="J12796">
            <v>45937</v>
          </cell>
          <cell r="K12796">
            <v>6.5</v>
          </cell>
        </row>
        <row r="12797">
          <cell r="C12797" t="str">
            <v>陳威瑜</v>
          </cell>
          <cell r="J12797">
            <v>45938</v>
          </cell>
          <cell r="K12797">
            <v>4</v>
          </cell>
        </row>
        <row r="12798">
          <cell r="C12798" t="str">
            <v>陳威瑜</v>
          </cell>
          <cell r="F12798" t="str">
            <v>G250701I1</v>
          </cell>
          <cell r="J12798">
            <v>45938</v>
          </cell>
          <cell r="K12798">
            <v>4</v>
          </cell>
        </row>
        <row r="12799">
          <cell r="C12799" t="str">
            <v>陳威瑜</v>
          </cell>
          <cell r="J12799">
            <v>45939</v>
          </cell>
          <cell r="K12799">
            <v>4</v>
          </cell>
        </row>
        <row r="12800">
          <cell r="C12800" t="str">
            <v>陳威瑜</v>
          </cell>
          <cell r="J12800">
            <v>45939</v>
          </cell>
          <cell r="K12800">
            <v>2</v>
          </cell>
        </row>
        <row r="12801">
          <cell r="C12801" t="str">
            <v>陳威瑜</v>
          </cell>
          <cell r="F12801" t="str">
            <v>G250701I1</v>
          </cell>
          <cell r="J12801">
            <v>45939</v>
          </cell>
          <cell r="K12801">
            <v>2</v>
          </cell>
        </row>
        <row r="12802">
          <cell r="C12802" t="str">
            <v>陳威瑜</v>
          </cell>
          <cell r="J12802">
            <v>45943</v>
          </cell>
          <cell r="K12802">
            <v>3</v>
          </cell>
        </row>
        <row r="12803">
          <cell r="C12803" t="str">
            <v>陳威瑜</v>
          </cell>
          <cell r="J12803">
            <v>45943</v>
          </cell>
          <cell r="K12803">
            <v>4</v>
          </cell>
        </row>
        <row r="12804">
          <cell r="C12804" t="str">
            <v>陳威瑜</v>
          </cell>
          <cell r="J12804">
            <v>45943</v>
          </cell>
          <cell r="K12804">
            <v>1</v>
          </cell>
        </row>
        <row r="12805">
          <cell r="C12805" t="str">
            <v>陳威瑜</v>
          </cell>
          <cell r="J12805">
            <v>45944</v>
          </cell>
          <cell r="K12805">
            <v>4</v>
          </cell>
        </row>
        <row r="12806">
          <cell r="C12806" t="str">
            <v>陳威瑜</v>
          </cell>
          <cell r="J12806">
            <v>45944</v>
          </cell>
          <cell r="K12806">
            <v>1</v>
          </cell>
        </row>
        <row r="12807">
          <cell r="C12807" t="str">
            <v>陳威瑜</v>
          </cell>
          <cell r="J12807">
            <v>45944</v>
          </cell>
          <cell r="K12807">
            <v>3</v>
          </cell>
        </row>
        <row r="12808">
          <cell r="C12808" t="str">
            <v>陳威瑜</v>
          </cell>
          <cell r="J12808">
            <v>45945</v>
          </cell>
          <cell r="K12808">
            <v>4</v>
          </cell>
        </row>
        <row r="12809">
          <cell r="C12809" t="str">
            <v>陳威瑜</v>
          </cell>
          <cell r="J12809">
            <v>45945</v>
          </cell>
          <cell r="K12809">
            <v>4</v>
          </cell>
        </row>
        <row r="12810">
          <cell r="C12810" t="str">
            <v>陳威瑜</v>
          </cell>
          <cell r="J12810">
            <v>45946</v>
          </cell>
          <cell r="K12810">
            <v>2.5</v>
          </cell>
        </row>
        <row r="12811">
          <cell r="C12811" t="str">
            <v>陳威瑜</v>
          </cell>
          <cell r="J12811">
            <v>45946</v>
          </cell>
          <cell r="K12811">
            <v>5</v>
          </cell>
        </row>
        <row r="12812">
          <cell r="C12812" t="str">
            <v>陳威瑜</v>
          </cell>
          <cell r="J12812">
            <v>45946</v>
          </cell>
          <cell r="K12812">
            <v>0.5</v>
          </cell>
        </row>
        <row r="12813">
          <cell r="C12813" t="str">
            <v>陳威瑜</v>
          </cell>
          <cell r="J12813">
            <v>45947</v>
          </cell>
          <cell r="K12813">
            <v>1</v>
          </cell>
        </row>
        <row r="12814">
          <cell r="C12814" t="str">
            <v>陳威瑜</v>
          </cell>
          <cell r="J12814">
            <v>45947</v>
          </cell>
          <cell r="K12814">
            <v>2.5</v>
          </cell>
        </row>
        <row r="12815">
          <cell r="C12815" t="str">
            <v>陳威瑜</v>
          </cell>
          <cell r="J12815">
            <v>45947</v>
          </cell>
          <cell r="K12815">
            <v>4.5</v>
          </cell>
        </row>
        <row r="12816">
          <cell r="C12816" t="str">
            <v>陳威瑜</v>
          </cell>
          <cell r="J12816">
            <v>45950</v>
          </cell>
          <cell r="K12816">
            <v>8</v>
          </cell>
        </row>
        <row r="12817">
          <cell r="C12817" t="str">
            <v>陳威瑜</v>
          </cell>
          <cell r="J12817">
            <v>45951</v>
          </cell>
          <cell r="K12817">
            <v>3</v>
          </cell>
        </row>
        <row r="12818">
          <cell r="C12818" t="str">
            <v>陳威瑜</v>
          </cell>
          <cell r="J12818">
            <v>45951</v>
          </cell>
          <cell r="K12818">
            <v>5</v>
          </cell>
        </row>
        <row r="12819">
          <cell r="C12819" t="str">
            <v>陳威瑜</v>
          </cell>
          <cell r="J12819">
            <v>45952</v>
          </cell>
          <cell r="K12819">
            <v>6</v>
          </cell>
        </row>
        <row r="12820">
          <cell r="C12820" t="str">
            <v>陳威瑜</v>
          </cell>
          <cell r="J12820">
            <v>45952</v>
          </cell>
          <cell r="K12820">
            <v>2</v>
          </cell>
        </row>
        <row r="12821">
          <cell r="C12821" t="str">
            <v>陳威瑜</v>
          </cell>
          <cell r="J12821">
            <v>45953</v>
          </cell>
          <cell r="K12821">
            <v>4</v>
          </cell>
        </row>
        <row r="12822">
          <cell r="C12822" t="str">
            <v>陳威瑜</v>
          </cell>
          <cell r="J12822">
            <v>45953</v>
          </cell>
          <cell r="K12822">
            <v>1</v>
          </cell>
        </row>
        <row r="12823">
          <cell r="C12823" t="str">
            <v>陳威瑜</v>
          </cell>
          <cell r="J12823">
            <v>45953</v>
          </cell>
          <cell r="K12823">
            <v>3</v>
          </cell>
        </row>
        <row r="12824">
          <cell r="C12824" t="str">
            <v>陳威瑜</v>
          </cell>
          <cell r="J12824">
            <v>45957</v>
          </cell>
          <cell r="K12824">
            <v>2.5</v>
          </cell>
        </row>
        <row r="12825">
          <cell r="C12825" t="str">
            <v>陳威瑜</v>
          </cell>
          <cell r="J12825">
            <v>45957</v>
          </cell>
          <cell r="K12825">
            <v>0.5</v>
          </cell>
        </row>
        <row r="12826">
          <cell r="C12826" t="str">
            <v>陳威瑜</v>
          </cell>
          <cell r="J12826">
            <v>45957</v>
          </cell>
          <cell r="K12826">
            <v>5</v>
          </cell>
        </row>
        <row r="12827">
          <cell r="C12827" t="str">
            <v>陳威瑜</v>
          </cell>
          <cell r="J12827">
            <v>45958</v>
          </cell>
          <cell r="K12827">
            <v>2</v>
          </cell>
        </row>
        <row r="12828">
          <cell r="C12828" t="str">
            <v>陳威瑜</v>
          </cell>
          <cell r="J12828">
            <v>45958</v>
          </cell>
          <cell r="K12828">
            <v>3</v>
          </cell>
        </row>
        <row r="12829">
          <cell r="C12829" t="str">
            <v>陳威瑜</v>
          </cell>
          <cell r="J12829">
            <v>45958</v>
          </cell>
          <cell r="K12829">
            <v>3</v>
          </cell>
        </row>
        <row r="12830">
          <cell r="C12830" t="str">
            <v>陳威瑜</v>
          </cell>
          <cell r="J12830">
            <v>45959</v>
          </cell>
          <cell r="K12830">
            <v>2</v>
          </cell>
        </row>
        <row r="12831">
          <cell r="C12831" t="str">
            <v>陳威瑜</v>
          </cell>
          <cell r="J12831">
            <v>45959</v>
          </cell>
          <cell r="K12831">
            <v>4</v>
          </cell>
        </row>
        <row r="12832">
          <cell r="C12832" t="str">
            <v>陳威瑜</v>
          </cell>
          <cell r="J12832">
            <v>45959</v>
          </cell>
          <cell r="K12832">
            <v>2</v>
          </cell>
        </row>
        <row r="12833">
          <cell r="C12833" t="str">
            <v>陳威瑜</v>
          </cell>
          <cell r="J12833">
            <v>45960</v>
          </cell>
          <cell r="K12833">
            <v>0.5</v>
          </cell>
        </row>
        <row r="12834">
          <cell r="C12834" t="str">
            <v>陳威瑜</v>
          </cell>
          <cell r="J12834">
            <v>45960</v>
          </cell>
          <cell r="K12834">
            <v>5</v>
          </cell>
        </row>
        <row r="12835">
          <cell r="C12835" t="str">
            <v>陳威瑜</v>
          </cell>
          <cell r="J12835">
            <v>45960</v>
          </cell>
          <cell r="K12835">
            <v>1.5</v>
          </cell>
        </row>
        <row r="12836">
          <cell r="C12836" t="str">
            <v>陳威瑜</v>
          </cell>
          <cell r="J12836">
            <v>45960</v>
          </cell>
          <cell r="K12836">
            <v>1</v>
          </cell>
        </row>
        <row r="12837">
          <cell r="C12837" t="str">
            <v>陳威瑜</v>
          </cell>
          <cell r="J12837">
            <v>45961</v>
          </cell>
          <cell r="K12837">
            <v>3</v>
          </cell>
        </row>
        <row r="12838">
          <cell r="C12838" t="str">
            <v>陳威瑜</v>
          </cell>
          <cell r="J12838">
            <v>45961</v>
          </cell>
          <cell r="K12838">
            <v>5</v>
          </cell>
        </row>
        <row r="12839">
          <cell r="C12839" t="str">
            <v>陳威瑜</v>
          </cell>
          <cell r="J12839">
            <v>45964</v>
          </cell>
          <cell r="K12839">
            <v>8</v>
          </cell>
        </row>
        <row r="12840">
          <cell r="C12840" t="str">
            <v>陳威瑜</v>
          </cell>
          <cell r="J12840">
            <v>45965</v>
          </cell>
          <cell r="K12840">
            <v>2</v>
          </cell>
        </row>
        <row r="12841">
          <cell r="C12841" t="str">
            <v>陳威瑜</v>
          </cell>
          <cell r="J12841">
            <v>45965</v>
          </cell>
          <cell r="K12841">
            <v>4</v>
          </cell>
        </row>
        <row r="12842">
          <cell r="C12842" t="str">
            <v>陳威瑜</v>
          </cell>
          <cell r="J12842">
            <v>45965</v>
          </cell>
          <cell r="K12842">
            <v>2</v>
          </cell>
        </row>
        <row r="12843">
          <cell r="C12843" t="str">
            <v>陳威瑜</v>
          </cell>
          <cell r="J12843">
            <v>45966</v>
          </cell>
          <cell r="K12843">
            <v>1</v>
          </cell>
        </row>
        <row r="12844">
          <cell r="C12844" t="str">
            <v>陳威瑜</v>
          </cell>
          <cell r="J12844">
            <v>45966</v>
          </cell>
          <cell r="K12844">
            <v>7</v>
          </cell>
        </row>
        <row r="12845">
          <cell r="C12845" t="str">
            <v>陳威瑜</v>
          </cell>
          <cell r="J12845">
            <v>45967</v>
          </cell>
          <cell r="K12845">
            <v>4</v>
          </cell>
        </row>
        <row r="12846">
          <cell r="C12846" t="str">
            <v>陳威瑜</v>
          </cell>
          <cell r="J12846">
            <v>45967</v>
          </cell>
          <cell r="K12846">
            <v>4</v>
          </cell>
        </row>
        <row r="12847">
          <cell r="C12847" t="str">
            <v>陳威瑜</v>
          </cell>
          <cell r="J12847">
            <v>45968</v>
          </cell>
          <cell r="K12847">
            <v>5</v>
          </cell>
        </row>
        <row r="12848">
          <cell r="C12848" t="str">
            <v>陳威瑜</v>
          </cell>
          <cell r="J12848">
            <v>45968</v>
          </cell>
          <cell r="K12848">
            <v>3</v>
          </cell>
        </row>
        <row r="12849">
          <cell r="C12849" t="str">
            <v>陳威瑜</v>
          </cell>
          <cell r="J12849">
            <v>45971</v>
          </cell>
          <cell r="K12849">
            <v>1</v>
          </cell>
        </row>
        <row r="12850">
          <cell r="C12850" t="str">
            <v>陳威瑜</v>
          </cell>
          <cell r="J12850">
            <v>45971</v>
          </cell>
          <cell r="K12850">
            <v>1</v>
          </cell>
        </row>
        <row r="12851">
          <cell r="C12851" t="str">
            <v>陳威瑜</v>
          </cell>
          <cell r="J12851">
            <v>45971</v>
          </cell>
          <cell r="K12851">
            <v>2</v>
          </cell>
        </row>
        <row r="12852">
          <cell r="C12852" t="str">
            <v>陳威瑜</v>
          </cell>
          <cell r="J12852">
            <v>45971</v>
          </cell>
          <cell r="K12852">
            <v>2</v>
          </cell>
        </row>
        <row r="12853">
          <cell r="C12853" t="str">
            <v>陳威瑜</v>
          </cell>
          <cell r="J12853">
            <v>45971</v>
          </cell>
          <cell r="K12853">
            <v>2</v>
          </cell>
        </row>
        <row r="12854">
          <cell r="C12854" t="str">
            <v>陳威瑜</v>
          </cell>
          <cell r="J12854">
            <v>45972</v>
          </cell>
          <cell r="K12854">
            <v>1</v>
          </cell>
        </row>
        <row r="12855">
          <cell r="C12855" t="str">
            <v>陳威瑜</v>
          </cell>
          <cell r="J12855">
            <v>45972</v>
          </cell>
          <cell r="K12855">
            <v>1</v>
          </cell>
        </row>
        <row r="12856">
          <cell r="C12856" t="str">
            <v>陳威瑜</v>
          </cell>
          <cell r="J12856">
            <v>45972</v>
          </cell>
          <cell r="K12856">
            <v>3</v>
          </cell>
        </row>
        <row r="12857">
          <cell r="C12857" t="str">
            <v>陳威瑜</v>
          </cell>
          <cell r="J12857">
            <v>45972</v>
          </cell>
          <cell r="K12857">
            <v>2</v>
          </cell>
        </row>
        <row r="12858">
          <cell r="C12858" t="str">
            <v>陳威瑜</v>
          </cell>
          <cell r="J12858">
            <v>45972</v>
          </cell>
          <cell r="K12858">
            <v>1</v>
          </cell>
        </row>
        <row r="12859">
          <cell r="C12859" t="str">
            <v>陳威瑜</v>
          </cell>
          <cell r="J12859">
            <v>45973</v>
          </cell>
          <cell r="K12859">
            <v>1</v>
          </cell>
        </row>
        <row r="12860">
          <cell r="C12860" t="str">
            <v>陳威瑜</v>
          </cell>
          <cell r="J12860">
            <v>45973</v>
          </cell>
          <cell r="K12860">
            <v>1</v>
          </cell>
        </row>
        <row r="12861">
          <cell r="C12861" t="str">
            <v>陳威瑜</v>
          </cell>
          <cell r="J12861">
            <v>45973</v>
          </cell>
          <cell r="K12861">
            <v>3</v>
          </cell>
        </row>
        <row r="12862">
          <cell r="C12862" t="str">
            <v>陳威瑜</v>
          </cell>
          <cell r="J12862">
            <v>45973</v>
          </cell>
          <cell r="K12862">
            <v>3</v>
          </cell>
        </row>
        <row r="12863">
          <cell r="C12863" t="str">
            <v>陳威瑜</v>
          </cell>
          <cell r="J12863">
            <v>45974</v>
          </cell>
          <cell r="K12863">
            <v>1</v>
          </cell>
        </row>
        <row r="12864">
          <cell r="C12864" t="str">
            <v>陳威瑜</v>
          </cell>
          <cell r="J12864">
            <v>45974</v>
          </cell>
          <cell r="K12864">
            <v>3</v>
          </cell>
        </row>
        <row r="12865">
          <cell r="C12865" t="str">
            <v>陳威瑜</v>
          </cell>
          <cell r="J12865">
            <v>45974</v>
          </cell>
          <cell r="K12865">
            <v>4</v>
          </cell>
        </row>
        <row r="12866">
          <cell r="C12866" t="str">
            <v>陳威瑜</v>
          </cell>
          <cell r="J12866">
            <v>45975</v>
          </cell>
          <cell r="K12866">
            <v>2</v>
          </cell>
        </row>
        <row r="12867">
          <cell r="C12867" t="str">
            <v>陳威瑜</v>
          </cell>
          <cell r="J12867">
            <v>45975</v>
          </cell>
          <cell r="K12867">
            <v>6</v>
          </cell>
        </row>
        <row r="12868">
          <cell r="C12868" t="str">
            <v>陳威瑜</v>
          </cell>
          <cell r="J12868">
            <v>45978</v>
          </cell>
          <cell r="K12868">
            <v>8</v>
          </cell>
        </row>
        <row r="12869">
          <cell r="C12869" t="str">
            <v>陳威瑜</v>
          </cell>
          <cell r="J12869">
            <v>45979</v>
          </cell>
          <cell r="K12869">
            <v>4</v>
          </cell>
        </row>
        <row r="12870">
          <cell r="C12870" t="str">
            <v>陳威瑜</v>
          </cell>
          <cell r="J12870">
            <v>45979</v>
          </cell>
          <cell r="K12870">
            <v>2</v>
          </cell>
        </row>
        <row r="12871">
          <cell r="C12871" t="str">
            <v>陳威瑜</v>
          </cell>
          <cell r="J12871">
            <v>45979</v>
          </cell>
          <cell r="K12871">
            <v>2</v>
          </cell>
        </row>
        <row r="12872">
          <cell r="C12872" t="str">
            <v>陳威瑜</v>
          </cell>
          <cell r="J12872">
            <v>45980</v>
          </cell>
          <cell r="K12872">
            <v>1</v>
          </cell>
        </row>
        <row r="12873">
          <cell r="C12873" t="str">
            <v>陳威瑜</v>
          </cell>
          <cell r="J12873">
            <v>45980</v>
          </cell>
          <cell r="K12873">
            <v>2</v>
          </cell>
        </row>
        <row r="12874">
          <cell r="C12874" t="str">
            <v>陳威瑜</v>
          </cell>
          <cell r="J12874">
            <v>45980</v>
          </cell>
          <cell r="K12874">
            <v>1</v>
          </cell>
        </row>
        <row r="12875">
          <cell r="C12875" t="str">
            <v>陳威瑜</v>
          </cell>
          <cell r="J12875">
            <v>45980</v>
          </cell>
          <cell r="K12875">
            <v>2</v>
          </cell>
        </row>
        <row r="12876">
          <cell r="C12876" t="str">
            <v>陳威瑜</v>
          </cell>
          <cell r="J12876">
            <v>45980</v>
          </cell>
          <cell r="K12876">
            <v>2</v>
          </cell>
        </row>
        <row r="12877">
          <cell r="C12877" t="str">
            <v>陳威瑜</v>
          </cell>
          <cell r="J12877">
            <v>45981</v>
          </cell>
          <cell r="K12877">
            <v>1.5</v>
          </cell>
        </row>
        <row r="12878">
          <cell r="C12878" t="str">
            <v>陳威瑜</v>
          </cell>
          <cell r="J12878">
            <v>45981</v>
          </cell>
          <cell r="K12878">
            <v>4</v>
          </cell>
        </row>
        <row r="12879">
          <cell r="C12879" t="str">
            <v>陳威瑜</v>
          </cell>
          <cell r="J12879">
            <v>45981</v>
          </cell>
          <cell r="K12879">
            <v>1</v>
          </cell>
        </row>
        <row r="12880">
          <cell r="C12880" t="str">
            <v>陳威瑜</v>
          </cell>
          <cell r="J12880">
            <v>45981</v>
          </cell>
          <cell r="K12880">
            <v>0.5</v>
          </cell>
        </row>
        <row r="12881">
          <cell r="C12881" t="str">
            <v>陳威瑜</v>
          </cell>
          <cell r="J12881">
            <v>45982</v>
          </cell>
          <cell r="K12881">
            <v>12</v>
          </cell>
        </row>
        <row r="12882">
          <cell r="C12882" t="str">
            <v>陳威瑜</v>
          </cell>
          <cell r="J12882">
            <v>45985</v>
          </cell>
          <cell r="K12882">
            <v>7</v>
          </cell>
        </row>
        <row r="12883">
          <cell r="C12883" t="str">
            <v>陳威瑜</v>
          </cell>
          <cell r="J12883">
            <v>45985</v>
          </cell>
          <cell r="K12883">
            <v>1</v>
          </cell>
        </row>
        <row r="12884">
          <cell r="C12884" t="str">
            <v>陳威瑜</v>
          </cell>
          <cell r="J12884">
            <v>45986</v>
          </cell>
          <cell r="K12884">
            <v>8</v>
          </cell>
        </row>
        <row r="12885">
          <cell r="C12885" t="str">
            <v>陳威瑜</v>
          </cell>
          <cell r="J12885">
            <v>45987</v>
          </cell>
          <cell r="K12885">
            <v>2</v>
          </cell>
        </row>
        <row r="12886">
          <cell r="C12886" t="str">
            <v>陳威瑜</v>
          </cell>
          <cell r="J12886">
            <v>45987</v>
          </cell>
          <cell r="K12886">
            <v>6</v>
          </cell>
        </row>
        <row r="12887">
          <cell r="C12887" t="str">
            <v>陳威瑜</v>
          </cell>
          <cell r="J12887">
            <v>45988</v>
          </cell>
          <cell r="K12887">
            <v>1.5</v>
          </cell>
        </row>
        <row r="12888">
          <cell r="C12888" t="str">
            <v>陳威瑜</v>
          </cell>
          <cell r="J12888">
            <v>45988</v>
          </cell>
          <cell r="K12888">
            <v>5.5</v>
          </cell>
        </row>
        <row r="12889">
          <cell r="C12889" t="str">
            <v>陳威瑜</v>
          </cell>
          <cell r="J12889">
            <v>45988</v>
          </cell>
          <cell r="K12889">
            <v>1</v>
          </cell>
        </row>
        <row r="12890">
          <cell r="C12890" t="str">
            <v>陳威瑜</v>
          </cell>
          <cell r="J12890">
            <v>45992</v>
          </cell>
          <cell r="K12890">
            <v>3</v>
          </cell>
        </row>
        <row r="12891">
          <cell r="C12891" t="str">
            <v>陳威瑜</v>
          </cell>
          <cell r="J12891">
            <v>45992</v>
          </cell>
          <cell r="K12891">
            <v>1</v>
          </cell>
        </row>
        <row r="12892">
          <cell r="C12892" t="str">
            <v>陳威瑜</v>
          </cell>
          <cell r="J12892">
            <v>45992</v>
          </cell>
          <cell r="K12892">
            <v>4</v>
          </cell>
        </row>
        <row r="12893">
          <cell r="C12893" t="str">
            <v>陳威瑜</v>
          </cell>
          <cell r="J12893">
            <v>45993</v>
          </cell>
          <cell r="K12893">
            <v>1.5</v>
          </cell>
        </row>
        <row r="12894">
          <cell r="C12894" t="str">
            <v>陳威瑜</v>
          </cell>
          <cell r="J12894">
            <v>45993</v>
          </cell>
          <cell r="K12894">
            <v>3.5</v>
          </cell>
        </row>
        <row r="12895">
          <cell r="C12895" t="str">
            <v>陳威瑜</v>
          </cell>
          <cell r="J12895">
            <v>45993</v>
          </cell>
          <cell r="K12895">
            <v>3</v>
          </cell>
        </row>
        <row r="12896">
          <cell r="C12896" t="str">
            <v>陳威瑜</v>
          </cell>
          <cell r="J12896">
            <v>45994</v>
          </cell>
          <cell r="K12896">
            <v>2.5</v>
          </cell>
        </row>
        <row r="12897">
          <cell r="C12897" t="str">
            <v>陳威瑜</v>
          </cell>
          <cell r="J12897">
            <v>45994</v>
          </cell>
          <cell r="K12897">
            <v>3</v>
          </cell>
        </row>
        <row r="12898">
          <cell r="C12898" t="str">
            <v>陳威瑜</v>
          </cell>
          <cell r="J12898">
            <v>45994</v>
          </cell>
          <cell r="K12898">
            <v>1.5</v>
          </cell>
        </row>
        <row r="12899">
          <cell r="C12899" t="str">
            <v>陳威瑜</v>
          </cell>
          <cell r="J12899">
            <v>45994</v>
          </cell>
          <cell r="K12899">
            <v>1</v>
          </cell>
        </row>
        <row r="12900">
          <cell r="C12900" t="str">
            <v>陳威瑜</v>
          </cell>
          <cell r="J12900">
            <v>45995</v>
          </cell>
          <cell r="K12900">
            <v>1</v>
          </cell>
        </row>
        <row r="12901">
          <cell r="C12901" t="str">
            <v>陳威瑜</v>
          </cell>
          <cell r="J12901">
            <v>45995</v>
          </cell>
          <cell r="K12901">
            <v>4</v>
          </cell>
        </row>
        <row r="12902">
          <cell r="C12902" t="str">
            <v>陳威瑜</v>
          </cell>
          <cell r="J12902">
            <v>45995</v>
          </cell>
          <cell r="K12902">
            <v>3</v>
          </cell>
        </row>
        <row r="12903">
          <cell r="C12903" t="str">
            <v>陳威瑜</v>
          </cell>
          <cell r="J12903">
            <v>45996</v>
          </cell>
          <cell r="K12903">
            <v>4</v>
          </cell>
        </row>
        <row r="12904">
          <cell r="C12904" t="str">
            <v>陳威瑜</v>
          </cell>
          <cell r="J12904">
            <v>45996</v>
          </cell>
          <cell r="K12904">
            <v>4</v>
          </cell>
        </row>
        <row r="12905">
          <cell r="C12905" t="str">
            <v>陳威瑜</v>
          </cell>
          <cell r="J12905">
            <v>45999</v>
          </cell>
          <cell r="K12905">
            <v>1</v>
          </cell>
        </row>
        <row r="12906">
          <cell r="C12906" t="str">
            <v>陳威瑜</v>
          </cell>
          <cell r="J12906">
            <v>45999</v>
          </cell>
          <cell r="K12906">
            <v>6</v>
          </cell>
        </row>
        <row r="12907">
          <cell r="C12907" t="str">
            <v>陳威瑜</v>
          </cell>
          <cell r="J12907">
            <v>46000</v>
          </cell>
          <cell r="K12907">
            <v>6</v>
          </cell>
        </row>
        <row r="12908">
          <cell r="C12908" t="str">
            <v>陳威瑜</v>
          </cell>
          <cell r="J12908">
            <v>46000</v>
          </cell>
          <cell r="K12908">
            <v>2</v>
          </cell>
        </row>
        <row r="12909">
          <cell r="C12909" t="str">
            <v>陳威瑜</v>
          </cell>
          <cell r="J12909">
            <v>46001</v>
          </cell>
          <cell r="K12909">
            <v>9</v>
          </cell>
        </row>
        <row r="12910">
          <cell r="C12910" t="str">
            <v>陳威瑜</v>
          </cell>
          <cell r="J12910">
            <v>46002</v>
          </cell>
          <cell r="K12910">
            <v>0.8</v>
          </cell>
        </row>
        <row r="12911">
          <cell r="C12911" t="str">
            <v>陳威瑜</v>
          </cell>
          <cell r="J12911">
            <v>46002</v>
          </cell>
          <cell r="K12911">
            <v>0.8</v>
          </cell>
        </row>
        <row r="12912">
          <cell r="C12912" t="str">
            <v>陳威瑜</v>
          </cell>
          <cell r="J12912">
            <v>46002</v>
          </cell>
          <cell r="K12912">
            <v>3</v>
          </cell>
        </row>
        <row r="12913">
          <cell r="C12913" t="str">
            <v>陳威瑜</v>
          </cell>
          <cell r="J12913">
            <v>46002</v>
          </cell>
          <cell r="K12913">
            <v>3.5</v>
          </cell>
        </row>
        <row r="12914">
          <cell r="C12914" t="str">
            <v>陳威瑜</v>
          </cell>
          <cell r="J12914">
            <v>46003</v>
          </cell>
          <cell r="K12914">
            <v>1</v>
          </cell>
        </row>
        <row r="12915">
          <cell r="C12915" t="str">
            <v>陳威瑜</v>
          </cell>
          <cell r="J12915">
            <v>46003</v>
          </cell>
          <cell r="K12915">
            <v>3</v>
          </cell>
        </row>
        <row r="12916">
          <cell r="C12916" t="str">
            <v>陳威瑜</v>
          </cell>
          <cell r="J12916">
            <v>46003</v>
          </cell>
          <cell r="K12916">
            <v>4</v>
          </cell>
        </row>
        <row r="12917">
          <cell r="C12917" t="str">
            <v>陳威瑜</v>
          </cell>
          <cell r="J12917">
            <v>46006</v>
          </cell>
          <cell r="K12917">
            <v>5.5</v>
          </cell>
        </row>
        <row r="12918">
          <cell r="C12918" t="str">
            <v>陳威瑜</v>
          </cell>
          <cell r="J12918">
            <v>46006</v>
          </cell>
          <cell r="K12918">
            <v>1.5</v>
          </cell>
        </row>
        <row r="12919">
          <cell r="C12919" t="str">
            <v>陳威瑜</v>
          </cell>
          <cell r="J12919">
            <v>46006</v>
          </cell>
          <cell r="K12919">
            <v>1</v>
          </cell>
        </row>
        <row r="12920">
          <cell r="C12920" t="str">
            <v>陳威瑜</v>
          </cell>
          <cell r="J12920">
            <v>46007</v>
          </cell>
          <cell r="K12920">
            <v>8</v>
          </cell>
        </row>
        <row r="12921">
          <cell r="C12921" t="str">
            <v>陳威瑜</v>
          </cell>
          <cell r="J12921">
            <v>46008</v>
          </cell>
          <cell r="K12921">
            <v>2</v>
          </cell>
        </row>
        <row r="12922">
          <cell r="C12922" t="str">
            <v>陳威瑜</v>
          </cell>
          <cell r="J12922">
            <v>46008</v>
          </cell>
          <cell r="K12922">
            <v>3</v>
          </cell>
        </row>
        <row r="12923">
          <cell r="C12923" t="str">
            <v>陳威瑜</v>
          </cell>
          <cell r="J12923">
            <v>46008</v>
          </cell>
          <cell r="K12923">
            <v>3</v>
          </cell>
        </row>
        <row r="12924">
          <cell r="C12924" t="str">
            <v>陳威瑜</v>
          </cell>
          <cell r="J12924">
            <v>46009</v>
          </cell>
          <cell r="K12924">
            <v>8</v>
          </cell>
        </row>
        <row r="12925">
          <cell r="C12925" t="str">
            <v>陳威瑜</v>
          </cell>
          <cell r="J12925">
            <v>46010</v>
          </cell>
          <cell r="K12925">
            <v>8</v>
          </cell>
        </row>
        <row r="12926">
          <cell r="C12926" t="str">
            <v>陳威瑜</v>
          </cell>
          <cell r="J12926">
            <v>46013</v>
          </cell>
          <cell r="K12926">
            <v>8</v>
          </cell>
        </row>
        <row r="12927">
          <cell r="C12927" t="str">
            <v>陳威瑜</v>
          </cell>
          <cell r="J12927">
            <v>46014</v>
          </cell>
          <cell r="K12927">
            <v>4.5</v>
          </cell>
        </row>
        <row r="12928">
          <cell r="C12928" t="str">
            <v>陳威瑜</v>
          </cell>
          <cell r="J12928">
            <v>46014</v>
          </cell>
          <cell r="K12928">
            <v>1</v>
          </cell>
        </row>
        <row r="12929">
          <cell r="C12929" t="str">
            <v>陳威瑜</v>
          </cell>
          <cell r="J12929">
            <v>46014</v>
          </cell>
          <cell r="K12929">
            <v>2.5</v>
          </cell>
        </row>
        <row r="12930">
          <cell r="C12930" t="str">
            <v>陳威瑜</v>
          </cell>
          <cell r="J12930">
            <v>46015</v>
          </cell>
          <cell r="K12930">
            <v>1</v>
          </cell>
        </row>
        <row r="12931">
          <cell r="C12931" t="str">
            <v>陳威瑜</v>
          </cell>
          <cell r="J12931">
            <v>46015</v>
          </cell>
          <cell r="K12931">
            <v>1</v>
          </cell>
        </row>
        <row r="12932">
          <cell r="C12932" t="str">
            <v>陳威瑜</v>
          </cell>
          <cell r="J12932">
            <v>46015</v>
          </cell>
          <cell r="K12932">
            <v>4</v>
          </cell>
        </row>
        <row r="12933">
          <cell r="C12933" t="str">
            <v>陳威瑜</v>
          </cell>
          <cell r="J12933">
            <v>46015</v>
          </cell>
          <cell r="K12933">
            <v>1.5</v>
          </cell>
        </row>
        <row r="12934">
          <cell r="C12934" t="str">
            <v>陳威瑜</v>
          </cell>
          <cell r="J12934">
            <v>46015</v>
          </cell>
          <cell r="K12934">
            <v>0.5</v>
          </cell>
        </row>
        <row r="12935">
          <cell r="C12935" t="str">
            <v>陳威瑜</v>
          </cell>
          <cell r="J12935">
            <v>46017</v>
          </cell>
          <cell r="K12935">
            <v>8</v>
          </cell>
        </row>
        <row r="12936">
          <cell r="C12936" t="str">
            <v>陳威瑜</v>
          </cell>
          <cell r="J12936">
            <v>46020</v>
          </cell>
          <cell r="K12936">
            <v>4</v>
          </cell>
        </row>
        <row r="12937">
          <cell r="C12937" t="str">
            <v>陳威瑜</v>
          </cell>
          <cell r="J12937">
            <v>46020</v>
          </cell>
          <cell r="K12937">
            <v>0.5</v>
          </cell>
        </row>
        <row r="12938">
          <cell r="C12938" t="str">
            <v>陳威瑜</v>
          </cell>
          <cell r="J12938">
            <v>46020</v>
          </cell>
          <cell r="K12938">
            <v>1.5</v>
          </cell>
        </row>
        <row r="12939">
          <cell r="C12939" t="str">
            <v>陳威瑜</v>
          </cell>
          <cell r="J12939">
            <v>46020</v>
          </cell>
          <cell r="K12939">
            <v>2</v>
          </cell>
        </row>
        <row r="12940">
          <cell r="C12940" t="str">
            <v>陳威瑜</v>
          </cell>
          <cell r="J12940">
            <v>46021</v>
          </cell>
          <cell r="K12940">
            <v>8</v>
          </cell>
        </row>
        <row r="12941">
          <cell r="C12941" t="str">
            <v>陳威瑜</v>
          </cell>
          <cell r="J12941">
            <v>46022</v>
          </cell>
          <cell r="K12941">
            <v>4</v>
          </cell>
        </row>
        <row r="12942">
          <cell r="C12942" t="str">
            <v>陳威瑜</v>
          </cell>
          <cell r="J12942">
            <v>46022</v>
          </cell>
          <cell r="K12942">
            <v>2.5</v>
          </cell>
        </row>
        <row r="12943">
          <cell r="C12943" t="str">
            <v>陳威瑜</v>
          </cell>
          <cell r="J12943">
            <v>46022</v>
          </cell>
          <cell r="K12943">
            <v>1.5</v>
          </cell>
        </row>
        <row r="12944">
          <cell r="C12944" t="str">
            <v>陳威瑜</v>
          </cell>
          <cell r="F12944" t="str">
            <v>C260101E1</v>
          </cell>
          <cell r="J12944">
            <v>46024</v>
          </cell>
          <cell r="K12944">
            <v>3</v>
          </cell>
        </row>
        <row r="12945">
          <cell r="C12945" t="str">
            <v>陳威瑜</v>
          </cell>
          <cell r="J12945">
            <v>46024</v>
          </cell>
          <cell r="K12945">
            <v>5</v>
          </cell>
        </row>
        <row r="12946">
          <cell r="C12946" t="str">
            <v>陳威瑜</v>
          </cell>
          <cell r="J12946">
            <v>46027</v>
          </cell>
          <cell r="K12946">
            <v>2.5</v>
          </cell>
        </row>
        <row r="12947">
          <cell r="C12947" t="str">
            <v>陳威瑜</v>
          </cell>
          <cell r="J12947">
            <v>46027</v>
          </cell>
          <cell r="K12947">
            <v>2.5</v>
          </cell>
        </row>
        <row r="12948">
          <cell r="C12948" t="str">
            <v>陳威瑜</v>
          </cell>
          <cell r="J12948">
            <v>46027</v>
          </cell>
          <cell r="K12948">
            <v>1.5</v>
          </cell>
        </row>
        <row r="12949">
          <cell r="C12949" t="str">
            <v>陳威瑜</v>
          </cell>
          <cell r="J12949">
            <v>46027</v>
          </cell>
          <cell r="K12949">
            <v>1.5</v>
          </cell>
        </row>
        <row r="12950">
          <cell r="C12950" t="str">
            <v>陳威瑜</v>
          </cell>
          <cell r="J12950">
            <v>46028</v>
          </cell>
          <cell r="K12950">
            <v>6</v>
          </cell>
        </row>
        <row r="12951">
          <cell r="C12951" t="str">
            <v>陳威瑜</v>
          </cell>
          <cell r="J12951">
            <v>46028</v>
          </cell>
          <cell r="K12951">
            <v>2</v>
          </cell>
        </row>
        <row r="12952">
          <cell r="C12952" t="str">
            <v>陳威瑜</v>
          </cell>
          <cell r="J12952">
            <v>46029</v>
          </cell>
          <cell r="K12952">
            <v>3</v>
          </cell>
        </row>
        <row r="12953">
          <cell r="C12953" t="str">
            <v>陳威瑜</v>
          </cell>
          <cell r="J12953">
            <v>46029</v>
          </cell>
          <cell r="K12953">
            <v>2</v>
          </cell>
        </row>
        <row r="12954">
          <cell r="C12954" t="str">
            <v>陳威瑜</v>
          </cell>
          <cell r="J12954">
            <v>46029</v>
          </cell>
          <cell r="K12954">
            <v>3</v>
          </cell>
        </row>
        <row r="12955">
          <cell r="C12955" t="str">
            <v>陳威瑜</v>
          </cell>
          <cell r="J12955">
            <v>46030</v>
          </cell>
          <cell r="K12955">
            <v>2</v>
          </cell>
        </row>
        <row r="12956">
          <cell r="C12956" t="str">
            <v>陳威瑜</v>
          </cell>
          <cell r="J12956">
            <v>46030</v>
          </cell>
          <cell r="K12956">
            <v>1.5</v>
          </cell>
        </row>
        <row r="12957">
          <cell r="C12957" t="str">
            <v>陳威瑜</v>
          </cell>
          <cell r="J12957">
            <v>46030</v>
          </cell>
          <cell r="K12957">
            <v>1</v>
          </cell>
        </row>
        <row r="12958">
          <cell r="C12958" t="str">
            <v>陳威瑜</v>
          </cell>
          <cell r="J12958">
            <v>46030</v>
          </cell>
          <cell r="K12958">
            <v>2.5</v>
          </cell>
        </row>
        <row r="12959">
          <cell r="C12959" t="str">
            <v>陳威瑜</v>
          </cell>
          <cell r="J12959">
            <v>46030</v>
          </cell>
          <cell r="K12959">
            <v>1</v>
          </cell>
        </row>
        <row r="12960">
          <cell r="C12960" t="str">
            <v>陳威瑜</v>
          </cell>
          <cell r="J12960">
            <v>46031</v>
          </cell>
          <cell r="K12960">
            <v>1.5</v>
          </cell>
        </row>
        <row r="12961">
          <cell r="C12961" t="str">
            <v>陳威瑜</v>
          </cell>
          <cell r="J12961">
            <v>46031</v>
          </cell>
          <cell r="K12961">
            <v>2</v>
          </cell>
        </row>
        <row r="12962">
          <cell r="C12962" t="str">
            <v>陳威瑜</v>
          </cell>
          <cell r="J12962">
            <v>46031</v>
          </cell>
          <cell r="K12962">
            <v>2</v>
          </cell>
        </row>
        <row r="12963">
          <cell r="C12963" t="str">
            <v>陳威瑜</v>
          </cell>
          <cell r="J12963">
            <v>46034</v>
          </cell>
          <cell r="K12963">
            <v>1</v>
          </cell>
        </row>
        <row r="12964">
          <cell r="C12964" t="str">
            <v>陳威瑜</v>
          </cell>
          <cell r="J12964">
            <v>46034</v>
          </cell>
          <cell r="K12964">
            <v>1.5</v>
          </cell>
        </row>
        <row r="12965">
          <cell r="C12965" t="str">
            <v>陳威瑜</v>
          </cell>
          <cell r="J12965">
            <v>46034</v>
          </cell>
          <cell r="K12965">
            <v>4.5</v>
          </cell>
        </row>
        <row r="12966">
          <cell r="C12966" t="str">
            <v>陳威瑜</v>
          </cell>
          <cell r="J12966">
            <v>46034</v>
          </cell>
          <cell r="K12966">
            <v>1</v>
          </cell>
        </row>
        <row r="12967">
          <cell r="C12967" t="str">
            <v>陳威瑜</v>
          </cell>
          <cell r="J12967">
            <v>46035</v>
          </cell>
          <cell r="K12967">
            <v>1</v>
          </cell>
        </row>
        <row r="12968">
          <cell r="C12968" t="str">
            <v>陳威瑜</v>
          </cell>
          <cell r="J12968">
            <v>46035</v>
          </cell>
          <cell r="K12968">
            <v>7</v>
          </cell>
        </row>
        <row r="12969">
          <cell r="C12969" t="str">
            <v>陳威瑜</v>
          </cell>
          <cell r="J12969">
            <v>46036</v>
          </cell>
          <cell r="K12969">
            <v>8</v>
          </cell>
        </row>
        <row r="12970">
          <cell r="C12970" t="str">
            <v>陳威瑜</v>
          </cell>
          <cell r="J12970">
            <v>46037</v>
          </cell>
          <cell r="K12970">
            <v>5</v>
          </cell>
        </row>
        <row r="12971">
          <cell r="C12971" t="str">
            <v>陳威瑜</v>
          </cell>
          <cell r="J12971">
            <v>46037</v>
          </cell>
          <cell r="K12971">
            <v>0.5</v>
          </cell>
        </row>
        <row r="12972">
          <cell r="C12972" t="str">
            <v>陳威瑜</v>
          </cell>
          <cell r="J12972">
            <v>46037</v>
          </cell>
          <cell r="K12972">
            <v>2</v>
          </cell>
        </row>
        <row r="12973">
          <cell r="C12973" t="str">
            <v>陳威瑜</v>
          </cell>
          <cell r="J12973">
            <v>46037</v>
          </cell>
          <cell r="K12973">
            <v>0.5</v>
          </cell>
        </row>
        <row r="12974">
          <cell r="C12974" t="str">
            <v>陳威瑜</v>
          </cell>
          <cell r="J12974">
            <v>46038</v>
          </cell>
          <cell r="K12974">
            <v>1.5</v>
          </cell>
        </row>
        <row r="12975">
          <cell r="C12975" t="str">
            <v>陳威瑜</v>
          </cell>
          <cell r="J12975">
            <v>46038</v>
          </cell>
          <cell r="K12975">
            <v>4</v>
          </cell>
        </row>
        <row r="12976">
          <cell r="C12976" t="str">
            <v>陳威瑜</v>
          </cell>
          <cell r="J12976">
            <v>46038</v>
          </cell>
          <cell r="K12976">
            <v>2.5</v>
          </cell>
        </row>
        <row r="12977">
          <cell r="C12977" t="str">
            <v>陳威瑜</v>
          </cell>
          <cell r="J12977">
            <v>46042</v>
          </cell>
          <cell r="K12977">
            <v>8</v>
          </cell>
        </row>
        <row r="12978">
          <cell r="C12978" t="str">
            <v>陳威瑜</v>
          </cell>
          <cell r="J12978">
            <v>46043</v>
          </cell>
          <cell r="K12978">
            <v>8</v>
          </cell>
        </row>
        <row r="12979">
          <cell r="C12979" t="str">
            <v>陳威瑜</v>
          </cell>
          <cell r="J12979">
            <v>46044</v>
          </cell>
          <cell r="K12979">
            <v>1</v>
          </cell>
        </row>
        <row r="12980">
          <cell r="C12980" t="str">
            <v>陳威瑜</v>
          </cell>
          <cell r="J12980">
            <v>46044</v>
          </cell>
          <cell r="K12980">
            <v>1</v>
          </cell>
        </row>
        <row r="12981">
          <cell r="C12981" t="str">
            <v>陳威瑜</v>
          </cell>
          <cell r="J12981">
            <v>46044</v>
          </cell>
          <cell r="K12981">
            <v>2</v>
          </cell>
        </row>
        <row r="12982">
          <cell r="C12982" t="str">
            <v>陳威瑜</v>
          </cell>
          <cell r="J12982">
            <v>46044</v>
          </cell>
          <cell r="K12982">
            <v>4</v>
          </cell>
        </row>
        <row r="12983">
          <cell r="C12983" t="str">
            <v>陳威瑜</v>
          </cell>
          <cell r="J12983">
            <v>46045</v>
          </cell>
          <cell r="K12983">
            <v>1.5</v>
          </cell>
        </row>
        <row r="12984">
          <cell r="C12984" t="str">
            <v>陳威瑜</v>
          </cell>
          <cell r="J12984">
            <v>46045</v>
          </cell>
          <cell r="K12984">
            <v>6.5</v>
          </cell>
        </row>
        <row r="12985">
          <cell r="C12985" t="str">
            <v>陳威瑜</v>
          </cell>
          <cell r="J12985">
            <v>46048</v>
          </cell>
          <cell r="K12985">
            <v>2</v>
          </cell>
        </row>
        <row r="12986">
          <cell r="C12986" t="str">
            <v>陳威瑜</v>
          </cell>
          <cell r="J12986">
            <v>46048</v>
          </cell>
          <cell r="K12986">
            <v>2</v>
          </cell>
        </row>
        <row r="12987">
          <cell r="C12987" t="str">
            <v>陳威瑜</v>
          </cell>
          <cell r="J12987">
            <v>46048</v>
          </cell>
          <cell r="K12987">
            <v>1</v>
          </cell>
        </row>
        <row r="12988">
          <cell r="C12988" t="str">
            <v>陳威瑜</v>
          </cell>
          <cell r="J12988">
            <v>46048</v>
          </cell>
          <cell r="K12988">
            <v>1</v>
          </cell>
        </row>
        <row r="12989">
          <cell r="C12989" t="str">
            <v>陳威瑜</v>
          </cell>
          <cell r="J12989">
            <v>46048</v>
          </cell>
          <cell r="K12989">
            <v>1</v>
          </cell>
        </row>
        <row r="12990">
          <cell r="C12990" t="str">
            <v>陳威瑜</v>
          </cell>
          <cell r="J12990">
            <v>46048</v>
          </cell>
          <cell r="K12990">
            <v>1</v>
          </cell>
        </row>
        <row r="12991">
          <cell r="C12991" t="str">
            <v>陳威瑜</v>
          </cell>
          <cell r="J12991">
            <v>46049</v>
          </cell>
          <cell r="K12991">
            <v>8</v>
          </cell>
        </row>
        <row r="12992">
          <cell r="C12992" t="str">
            <v>陳威瑜</v>
          </cell>
          <cell r="J12992">
            <v>46050</v>
          </cell>
          <cell r="K12992">
            <v>1</v>
          </cell>
        </row>
        <row r="12993">
          <cell r="C12993" t="str">
            <v>陳威瑜</v>
          </cell>
          <cell r="J12993">
            <v>46050</v>
          </cell>
          <cell r="K12993">
            <v>2</v>
          </cell>
        </row>
        <row r="12994">
          <cell r="C12994" t="str">
            <v>陳威瑜</v>
          </cell>
          <cell r="J12994">
            <v>46050</v>
          </cell>
          <cell r="K12994">
            <v>5</v>
          </cell>
        </row>
        <row r="12995">
          <cell r="C12995" t="str">
            <v>陳威瑜</v>
          </cell>
          <cell r="J12995">
            <v>46052</v>
          </cell>
          <cell r="K12995">
            <v>4.5</v>
          </cell>
        </row>
        <row r="12996">
          <cell r="C12996" t="str">
            <v>陳威瑜</v>
          </cell>
          <cell r="J12996">
            <v>46052</v>
          </cell>
          <cell r="K12996">
            <v>3.5</v>
          </cell>
        </row>
        <row r="12997">
          <cell r="C12997" t="str">
            <v>陳威瑜</v>
          </cell>
          <cell r="J12997">
            <v>46055</v>
          </cell>
          <cell r="K12997">
            <v>1.5</v>
          </cell>
        </row>
        <row r="12998">
          <cell r="C12998" t="str">
            <v>陳威瑜</v>
          </cell>
          <cell r="J12998">
            <v>46055</v>
          </cell>
          <cell r="K12998">
            <v>2.5</v>
          </cell>
        </row>
        <row r="12999">
          <cell r="C12999" t="str">
            <v>陳威瑜</v>
          </cell>
          <cell r="J12999">
            <v>46055</v>
          </cell>
          <cell r="K12999">
            <v>3</v>
          </cell>
        </row>
        <row r="13000">
          <cell r="C13000" t="str">
            <v>陳威瑜</v>
          </cell>
          <cell r="J13000">
            <v>46055</v>
          </cell>
          <cell r="K13000">
            <v>1.5</v>
          </cell>
        </row>
        <row r="13001">
          <cell r="C13001" t="str">
            <v>陳威瑜</v>
          </cell>
          <cell r="J13001">
            <v>46056</v>
          </cell>
          <cell r="K13001">
            <v>4</v>
          </cell>
        </row>
        <row r="13002">
          <cell r="C13002" t="str">
            <v>陳威瑜</v>
          </cell>
          <cell r="J13002">
            <v>46056</v>
          </cell>
          <cell r="K13002">
            <v>4</v>
          </cell>
        </row>
        <row r="13003">
          <cell r="C13003" t="str">
            <v>陳威瑜</v>
          </cell>
          <cell r="J13003">
            <v>46057</v>
          </cell>
          <cell r="K13003">
            <v>8</v>
          </cell>
        </row>
        <row r="13004">
          <cell r="C13004" t="str">
            <v>陳威瑜</v>
          </cell>
          <cell r="J13004">
            <v>46058</v>
          </cell>
          <cell r="K13004">
            <v>4</v>
          </cell>
        </row>
        <row r="13005">
          <cell r="C13005" t="str">
            <v>陳威瑜</v>
          </cell>
          <cell r="J13005">
            <v>46058</v>
          </cell>
          <cell r="K13005">
            <v>0.5</v>
          </cell>
        </row>
        <row r="13006">
          <cell r="C13006" t="str">
            <v>陳威瑜</v>
          </cell>
          <cell r="J13006">
            <v>46058</v>
          </cell>
          <cell r="K13006">
            <v>1.5</v>
          </cell>
        </row>
        <row r="13007">
          <cell r="C13007" t="str">
            <v>陳威瑜</v>
          </cell>
          <cell r="J13007">
            <v>46059</v>
          </cell>
          <cell r="K13007">
            <v>1</v>
          </cell>
        </row>
        <row r="13008">
          <cell r="C13008" t="str">
            <v>陳威瑜</v>
          </cell>
          <cell r="J13008">
            <v>46059</v>
          </cell>
          <cell r="K13008">
            <v>6</v>
          </cell>
        </row>
        <row r="13009">
          <cell r="C13009" t="str">
            <v>陳威瑜</v>
          </cell>
          <cell r="J13009">
            <v>46062</v>
          </cell>
          <cell r="K13009">
            <v>5</v>
          </cell>
        </row>
        <row r="13010">
          <cell r="C13010" t="str">
            <v>陳威瑜</v>
          </cell>
          <cell r="J13010">
            <v>46062</v>
          </cell>
          <cell r="K13010">
            <v>2</v>
          </cell>
        </row>
        <row r="13011">
          <cell r="C13011" t="str">
            <v>陳威瑜</v>
          </cell>
          <cell r="J13011">
            <v>46062</v>
          </cell>
          <cell r="K13011">
            <v>1</v>
          </cell>
        </row>
        <row r="13012">
          <cell r="C13012" t="str">
            <v>陳威瑜</v>
          </cell>
          <cell r="J13012">
            <v>46063</v>
          </cell>
          <cell r="K13012">
            <v>1.5</v>
          </cell>
        </row>
        <row r="13013">
          <cell r="C13013" t="str">
            <v>陳威瑜</v>
          </cell>
          <cell r="J13013">
            <v>46063</v>
          </cell>
          <cell r="K13013">
            <v>4</v>
          </cell>
        </row>
        <row r="13014">
          <cell r="C13014" t="str">
            <v>陳威瑜</v>
          </cell>
          <cell r="J13014">
            <v>46063</v>
          </cell>
          <cell r="K13014">
            <v>2.5</v>
          </cell>
        </row>
        <row r="13015">
          <cell r="C13015" t="str">
            <v>陳威瑜</v>
          </cell>
          <cell r="J13015">
            <v>46064</v>
          </cell>
          <cell r="K13015">
            <v>5</v>
          </cell>
        </row>
        <row r="13016">
          <cell r="C13016" t="str">
            <v>陳威瑜</v>
          </cell>
          <cell r="J13016">
            <v>46064</v>
          </cell>
          <cell r="K13016">
            <v>3</v>
          </cell>
        </row>
        <row r="13017">
          <cell r="C13017" t="str">
            <v>陳威瑜</v>
          </cell>
          <cell r="J13017">
            <v>46065</v>
          </cell>
          <cell r="K13017">
            <v>4</v>
          </cell>
        </row>
        <row r="13018">
          <cell r="C13018" t="str">
            <v>陳威瑜</v>
          </cell>
          <cell r="J13018">
            <v>46065</v>
          </cell>
          <cell r="K13018">
            <v>3</v>
          </cell>
        </row>
        <row r="13019">
          <cell r="C13019" t="str">
            <v>陳威瑜</v>
          </cell>
          <cell r="J13019">
            <v>46065</v>
          </cell>
          <cell r="K13019">
            <v>1</v>
          </cell>
        </row>
        <row r="13020">
          <cell r="C13020" t="str">
            <v>陳威瑜</v>
          </cell>
          <cell r="J13020">
            <v>46066</v>
          </cell>
          <cell r="K13020">
            <v>2.5</v>
          </cell>
        </row>
        <row r="13021">
          <cell r="C13021" t="str">
            <v>陳威瑜</v>
          </cell>
          <cell r="J13021">
            <v>46066</v>
          </cell>
          <cell r="K13021">
            <v>4.5</v>
          </cell>
        </row>
        <row r="13022">
          <cell r="C13022" t="str">
            <v>陳威瑜</v>
          </cell>
          <cell r="J13022">
            <v>46076</v>
          </cell>
          <cell r="K13022">
            <v>2</v>
          </cell>
        </row>
        <row r="13023">
          <cell r="C13023" t="str">
            <v>陳威瑜</v>
          </cell>
          <cell r="J13023">
            <v>46076</v>
          </cell>
          <cell r="K13023">
            <v>1</v>
          </cell>
        </row>
        <row r="13024">
          <cell r="C13024" t="str">
            <v>陳威瑜</v>
          </cell>
          <cell r="J13024">
            <v>46076</v>
          </cell>
          <cell r="K13024">
            <v>1</v>
          </cell>
        </row>
        <row r="13025">
          <cell r="C13025" t="str">
            <v>陳威瑜</v>
          </cell>
          <cell r="J13025">
            <v>46076</v>
          </cell>
          <cell r="K13025">
            <v>2</v>
          </cell>
        </row>
        <row r="13026">
          <cell r="C13026" t="str">
            <v>陳威瑜</v>
          </cell>
          <cell r="J13026">
            <v>46076</v>
          </cell>
          <cell r="K13026">
            <v>2</v>
          </cell>
        </row>
        <row r="13027">
          <cell r="C13027" t="str">
            <v>陳威瑜</v>
          </cell>
          <cell r="J13027">
            <v>46077</v>
          </cell>
          <cell r="K13027">
            <v>2</v>
          </cell>
        </row>
        <row r="13028">
          <cell r="C13028" t="str">
            <v>陳威瑜</v>
          </cell>
          <cell r="J13028">
            <v>46077</v>
          </cell>
          <cell r="K13028">
            <v>4.5</v>
          </cell>
        </row>
        <row r="13029">
          <cell r="C13029" t="str">
            <v>陳威瑜</v>
          </cell>
          <cell r="J13029">
            <v>46077</v>
          </cell>
          <cell r="K13029">
            <v>1.5</v>
          </cell>
        </row>
        <row r="13030">
          <cell r="C13030" t="str">
            <v>陳威瑜</v>
          </cell>
          <cell r="J13030">
            <v>46078</v>
          </cell>
          <cell r="K13030">
            <v>6.5</v>
          </cell>
        </row>
        <row r="13031">
          <cell r="C13031" t="str">
            <v>陳威瑜</v>
          </cell>
          <cell r="J13031">
            <v>46078</v>
          </cell>
          <cell r="K13031">
            <v>1.5</v>
          </cell>
        </row>
        <row r="13032">
          <cell r="C13032" t="str">
            <v>陳威瑜</v>
          </cell>
          <cell r="J13032">
            <v>46083</v>
          </cell>
          <cell r="K13032">
            <v>2</v>
          </cell>
        </row>
        <row r="13033">
          <cell r="C13033" t="str">
            <v>陳威瑜</v>
          </cell>
          <cell r="J13033">
            <v>46083</v>
          </cell>
          <cell r="K13033">
            <v>5</v>
          </cell>
        </row>
        <row r="13034">
          <cell r="C13034" t="str">
            <v>陳威瑜</v>
          </cell>
          <cell r="J13034">
            <v>46083</v>
          </cell>
          <cell r="K13034">
            <v>1</v>
          </cell>
        </row>
        <row r="13035">
          <cell r="C13035" t="str">
            <v>陳威瑜</v>
          </cell>
          <cell r="J13035">
            <v>46084</v>
          </cell>
          <cell r="K13035">
            <v>8</v>
          </cell>
        </row>
        <row r="13036">
          <cell r="C13036" t="str">
            <v>陳威瑜</v>
          </cell>
          <cell r="J13036">
            <v>46085</v>
          </cell>
          <cell r="K13036">
            <v>2</v>
          </cell>
        </row>
        <row r="13037">
          <cell r="C13037" t="str">
            <v>陳威瑜</v>
          </cell>
          <cell r="J13037">
            <v>46085</v>
          </cell>
          <cell r="K13037">
            <v>4</v>
          </cell>
        </row>
        <row r="13038">
          <cell r="C13038" t="str">
            <v>陳威瑜</v>
          </cell>
          <cell r="J13038">
            <v>46085</v>
          </cell>
          <cell r="K13038">
            <v>2</v>
          </cell>
        </row>
        <row r="13039">
          <cell r="C13039" t="str">
            <v>陳威瑜</v>
          </cell>
          <cell r="J13039">
            <v>46086</v>
          </cell>
          <cell r="K13039">
            <v>0.5</v>
          </cell>
        </row>
        <row r="13040">
          <cell r="C13040" t="str">
            <v>陳威瑜</v>
          </cell>
          <cell r="J13040">
            <v>46086</v>
          </cell>
          <cell r="K13040">
            <v>3.5</v>
          </cell>
        </row>
        <row r="13041">
          <cell r="C13041" t="str">
            <v>陳威瑜</v>
          </cell>
          <cell r="J13041">
            <v>46086</v>
          </cell>
          <cell r="K13041">
            <v>0.5</v>
          </cell>
        </row>
        <row r="13042">
          <cell r="C13042" t="str">
            <v>陳威瑜</v>
          </cell>
          <cell r="J13042">
            <v>46086</v>
          </cell>
          <cell r="K13042">
            <v>3.5</v>
          </cell>
        </row>
        <row r="13043">
          <cell r="C13043" t="str">
            <v>陳威瑜</v>
          </cell>
          <cell r="J13043">
            <v>46087</v>
          </cell>
          <cell r="K13043">
            <v>8</v>
          </cell>
        </row>
        <row r="13044">
          <cell r="C13044" t="str">
            <v>陳威瑜</v>
          </cell>
          <cell r="J13044">
            <v>46090</v>
          </cell>
          <cell r="K13044">
            <v>8</v>
          </cell>
        </row>
        <row r="13045">
          <cell r="C13045" t="str">
            <v>陳威瑜</v>
          </cell>
          <cell r="J13045">
            <v>46091</v>
          </cell>
          <cell r="K13045">
            <v>4</v>
          </cell>
        </row>
        <row r="13046">
          <cell r="C13046" t="str">
            <v>陳威瑜</v>
          </cell>
          <cell r="J13046">
            <v>46091</v>
          </cell>
          <cell r="K13046">
            <v>4</v>
          </cell>
        </row>
        <row r="13047">
          <cell r="C13047" t="str">
            <v>陳威瑜</v>
          </cell>
          <cell r="J13047">
            <v>46092</v>
          </cell>
          <cell r="K13047">
            <v>3</v>
          </cell>
        </row>
        <row r="13048">
          <cell r="C13048" t="str">
            <v>陳威瑜</v>
          </cell>
          <cell r="J13048">
            <v>46092</v>
          </cell>
          <cell r="K13048">
            <v>5</v>
          </cell>
        </row>
        <row r="13049">
          <cell r="C13049" t="str">
            <v>陳威瑜</v>
          </cell>
          <cell r="J13049">
            <v>46093</v>
          </cell>
          <cell r="K13049">
            <v>2</v>
          </cell>
        </row>
        <row r="13050">
          <cell r="C13050" t="str">
            <v>陳威瑜</v>
          </cell>
          <cell r="J13050">
            <v>46093</v>
          </cell>
          <cell r="K13050">
            <v>5.5</v>
          </cell>
        </row>
        <row r="13051">
          <cell r="C13051" t="str">
            <v>陳威瑜</v>
          </cell>
          <cell r="J13051">
            <v>46093</v>
          </cell>
          <cell r="K13051">
            <v>0.5</v>
          </cell>
        </row>
        <row r="13052">
          <cell r="C13052" t="str">
            <v>陳威瑜</v>
          </cell>
          <cell r="J13052">
            <v>46094</v>
          </cell>
          <cell r="K13052">
            <v>1</v>
          </cell>
        </row>
        <row r="13053">
          <cell r="C13053" t="str">
            <v>陳威瑜</v>
          </cell>
          <cell r="J13053">
            <v>46094</v>
          </cell>
          <cell r="K13053">
            <v>2</v>
          </cell>
        </row>
        <row r="13054">
          <cell r="C13054" t="str">
            <v>陳威瑜</v>
          </cell>
          <cell r="J13054">
            <v>46094</v>
          </cell>
          <cell r="K13054">
            <v>2</v>
          </cell>
        </row>
        <row r="13055">
          <cell r="C13055" t="str">
            <v>陳威瑜</v>
          </cell>
          <cell r="J13055">
            <v>46094</v>
          </cell>
          <cell r="K13055">
            <v>3</v>
          </cell>
        </row>
        <row r="13056">
          <cell r="C13056" t="str">
            <v>陳威瑜</v>
          </cell>
          <cell r="J13056">
            <v>46097</v>
          </cell>
          <cell r="K13056">
            <v>4.5</v>
          </cell>
        </row>
        <row r="13057">
          <cell r="C13057" t="str">
            <v>陳威瑜</v>
          </cell>
          <cell r="J13057">
            <v>46097</v>
          </cell>
          <cell r="K13057">
            <v>0.5</v>
          </cell>
        </row>
        <row r="13058">
          <cell r="C13058" t="str">
            <v>陳威瑜</v>
          </cell>
          <cell r="J13058">
            <v>46097</v>
          </cell>
          <cell r="K13058">
            <v>1</v>
          </cell>
        </row>
        <row r="13059">
          <cell r="C13059" t="str">
            <v>陳威瑜</v>
          </cell>
          <cell r="J13059">
            <v>46097</v>
          </cell>
          <cell r="K13059">
            <v>2</v>
          </cell>
        </row>
        <row r="13060">
          <cell r="C13060" t="str">
            <v>陳威瑜</v>
          </cell>
          <cell r="J13060">
            <v>46098</v>
          </cell>
          <cell r="K13060">
            <v>2</v>
          </cell>
        </row>
        <row r="13061">
          <cell r="C13061" t="str">
            <v>陳威瑜</v>
          </cell>
          <cell r="J13061">
            <v>46098</v>
          </cell>
          <cell r="K13061">
            <v>6</v>
          </cell>
        </row>
        <row r="13062">
          <cell r="C13062" t="str">
            <v>陳威瑜</v>
          </cell>
          <cell r="J13062">
            <v>46099</v>
          </cell>
          <cell r="K13062">
            <v>7</v>
          </cell>
        </row>
        <row r="13063">
          <cell r="C13063" t="str">
            <v>陳威瑜</v>
          </cell>
          <cell r="J13063">
            <v>46099</v>
          </cell>
          <cell r="K13063">
            <v>1</v>
          </cell>
        </row>
        <row r="13064">
          <cell r="C13064" t="str">
            <v>陳威瑜</v>
          </cell>
          <cell r="J13064">
            <v>46100</v>
          </cell>
          <cell r="K13064">
            <v>3</v>
          </cell>
        </row>
        <row r="13065">
          <cell r="C13065" t="str">
            <v>陳威瑜</v>
          </cell>
          <cell r="J13065">
            <v>46100</v>
          </cell>
          <cell r="K13065">
            <v>1</v>
          </cell>
        </row>
        <row r="13066">
          <cell r="C13066" t="str">
            <v>陳威瑜</v>
          </cell>
          <cell r="J13066">
            <v>46100</v>
          </cell>
          <cell r="K13066">
            <v>1</v>
          </cell>
        </row>
        <row r="13067">
          <cell r="C13067" t="str">
            <v>陳威瑜</v>
          </cell>
          <cell r="J13067">
            <v>46100</v>
          </cell>
          <cell r="K13067">
            <v>3</v>
          </cell>
        </row>
        <row r="13068">
          <cell r="C13068" t="str">
            <v>陳威瑜</v>
          </cell>
          <cell r="J13068">
            <v>46101</v>
          </cell>
          <cell r="K13068">
            <v>8</v>
          </cell>
        </row>
        <row r="13069">
          <cell r="C13069" t="str">
            <v>陳威瑜</v>
          </cell>
          <cell r="J13069">
            <v>46104</v>
          </cell>
          <cell r="K13069">
            <v>2</v>
          </cell>
        </row>
        <row r="13070">
          <cell r="C13070" t="str">
            <v>陳威瑜</v>
          </cell>
          <cell r="J13070">
            <v>46104</v>
          </cell>
          <cell r="K13070">
            <v>3.5</v>
          </cell>
        </row>
        <row r="13071">
          <cell r="C13071" t="str">
            <v>陳威瑜</v>
          </cell>
          <cell r="J13071">
            <v>46104</v>
          </cell>
          <cell r="K13071">
            <v>1</v>
          </cell>
        </row>
        <row r="13072">
          <cell r="C13072" t="str">
            <v>陳威瑜</v>
          </cell>
          <cell r="J13072">
            <v>46104</v>
          </cell>
          <cell r="K13072">
            <v>1.5</v>
          </cell>
        </row>
        <row r="13073">
          <cell r="C13073" t="str">
            <v>陳威瑜</v>
          </cell>
          <cell r="J13073">
            <v>46105</v>
          </cell>
          <cell r="K13073">
            <v>2</v>
          </cell>
        </row>
        <row r="13074">
          <cell r="C13074" t="str">
            <v>陳威瑜</v>
          </cell>
          <cell r="J13074">
            <v>46105</v>
          </cell>
          <cell r="K13074">
            <v>6</v>
          </cell>
        </row>
        <row r="13075">
          <cell r="C13075" t="str">
            <v>陳威瑜</v>
          </cell>
          <cell r="J13075">
            <v>46106</v>
          </cell>
          <cell r="K13075">
            <v>6</v>
          </cell>
        </row>
        <row r="13076">
          <cell r="C13076" t="str">
            <v>陳威瑜</v>
          </cell>
          <cell r="J13076">
            <v>46106</v>
          </cell>
          <cell r="K13076">
            <v>2</v>
          </cell>
        </row>
        <row r="13077">
          <cell r="C13077" t="str">
            <v>陳威瑜</v>
          </cell>
          <cell r="J13077">
            <v>46107</v>
          </cell>
          <cell r="K13077">
            <v>3.5</v>
          </cell>
        </row>
        <row r="13078">
          <cell r="C13078" t="str">
            <v>陳威瑜</v>
          </cell>
          <cell r="J13078">
            <v>46107</v>
          </cell>
          <cell r="K13078">
            <v>3.5</v>
          </cell>
        </row>
        <row r="13079">
          <cell r="C13079" t="str">
            <v>陳威瑜</v>
          </cell>
          <cell r="J13079">
            <v>46107</v>
          </cell>
          <cell r="K13079">
            <v>1</v>
          </cell>
        </row>
        <row r="13080">
          <cell r="C13080" t="str">
            <v>陳威瑜</v>
          </cell>
          <cell r="J13080">
            <v>46108</v>
          </cell>
          <cell r="K13080">
            <v>6</v>
          </cell>
        </row>
        <row r="13081">
          <cell r="C13081" t="str">
            <v>陳威瑜</v>
          </cell>
          <cell r="J13081">
            <v>46111</v>
          </cell>
          <cell r="K13081">
            <v>1.5</v>
          </cell>
        </row>
        <row r="13082">
          <cell r="C13082" t="str">
            <v>陳威瑜</v>
          </cell>
          <cell r="J13082">
            <v>46111</v>
          </cell>
          <cell r="K13082">
            <v>1.5</v>
          </cell>
        </row>
        <row r="13083">
          <cell r="C13083" t="str">
            <v>陳威瑜</v>
          </cell>
          <cell r="J13083">
            <v>46111</v>
          </cell>
          <cell r="K13083">
            <v>2.5</v>
          </cell>
        </row>
        <row r="13084">
          <cell r="C13084" t="str">
            <v>陳威瑜</v>
          </cell>
          <cell r="J13084">
            <v>46111</v>
          </cell>
          <cell r="K13084">
            <v>2.5</v>
          </cell>
        </row>
        <row r="13085">
          <cell r="C13085" t="str">
            <v>陳威瑜</v>
          </cell>
          <cell r="J13085">
            <v>46112</v>
          </cell>
          <cell r="K13085">
            <v>3</v>
          </cell>
        </row>
        <row r="13086">
          <cell r="C13086" t="str">
            <v>陳威瑜</v>
          </cell>
          <cell r="J13086">
            <v>46112</v>
          </cell>
          <cell r="K13086">
            <v>2</v>
          </cell>
        </row>
        <row r="13087">
          <cell r="C13087" t="str">
            <v>陳威瑜</v>
          </cell>
          <cell r="J13087">
            <v>46113</v>
          </cell>
          <cell r="K13087">
            <v>3</v>
          </cell>
        </row>
        <row r="13088">
          <cell r="C13088" t="str">
            <v>陳威瑜</v>
          </cell>
          <cell r="J13088">
            <v>46113</v>
          </cell>
          <cell r="K13088">
            <v>5</v>
          </cell>
        </row>
        <row r="13089">
          <cell r="C13089" t="str">
            <v>陳威瑜</v>
          </cell>
          <cell r="J13089">
            <v>46114</v>
          </cell>
          <cell r="K13089">
            <v>1</v>
          </cell>
        </row>
        <row r="13090">
          <cell r="C13090" t="str">
            <v>陳威瑜</v>
          </cell>
          <cell r="J13090">
            <v>46114</v>
          </cell>
          <cell r="K13090">
            <v>1</v>
          </cell>
        </row>
        <row r="13091">
          <cell r="C13091" t="str">
            <v>陳威瑜</v>
          </cell>
          <cell r="J13091">
            <v>46114</v>
          </cell>
          <cell r="K13091">
            <v>5</v>
          </cell>
        </row>
        <row r="13092">
          <cell r="C13092" t="str">
            <v>陳威瑜</v>
          </cell>
          <cell r="J13092">
            <v>46119</v>
          </cell>
          <cell r="K13092">
            <v>1</v>
          </cell>
        </row>
        <row r="13093">
          <cell r="C13093" t="str">
            <v>陳威瑜</v>
          </cell>
          <cell r="J13093">
            <v>46119</v>
          </cell>
          <cell r="K13093">
            <v>7</v>
          </cell>
        </row>
        <row r="13094">
          <cell r="C13094" t="str">
            <v>陳威瑜</v>
          </cell>
          <cell r="J13094">
            <v>46120</v>
          </cell>
          <cell r="K13094">
            <v>1.5</v>
          </cell>
        </row>
        <row r="13095">
          <cell r="C13095" t="str">
            <v>陳威瑜</v>
          </cell>
          <cell r="J13095">
            <v>46120</v>
          </cell>
          <cell r="K13095">
            <v>6.5</v>
          </cell>
        </row>
        <row r="13096">
          <cell r="C13096" t="str">
            <v>陳威瑜</v>
          </cell>
          <cell r="J13096">
            <v>46121</v>
          </cell>
          <cell r="K13096">
            <v>1</v>
          </cell>
        </row>
        <row r="13097">
          <cell r="C13097" t="str">
            <v>陳威瑜</v>
          </cell>
          <cell r="J13097">
            <v>46121</v>
          </cell>
          <cell r="K13097">
            <v>7</v>
          </cell>
        </row>
        <row r="13098">
          <cell r="C13098" t="str">
            <v>陳威瑜</v>
          </cell>
          <cell r="J13098">
            <v>46122</v>
          </cell>
          <cell r="K13098">
            <v>8</v>
          </cell>
        </row>
        <row r="13099">
          <cell r="C13099" t="str">
            <v>陳威瑜</v>
          </cell>
          <cell r="J13099">
            <v>46125</v>
          </cell>
          <cell r="K13099">
            <v>2</v>
          </cell>
        </row>
        <row r="13100">
          <cell r="C13100" t="str">
            <v>陳威瑜</v>
          </cell>
          <cell r="J13100">
            <v>46125</v>
          </cell>
          <cell r="K13100">
            <v>5</v>
          </cell>
        </row>
        <row r="13101">
          <cell r="C13101" t="str">
            <v>陳威瑜</v>
          </cell>
          <cell r="J13101">
            <v>46125</v>
          </cell>
          <cell r="K13101">
            <v>1</v>
          </cell>
        </row>
        <row r="13102">
          <cell r="C13102" t="str">
            <v>陳威瑜</v>
          </cell>
          <cell r="J13102">
            <v>46126</v>
          </cell>
          <cell r="K13102">
            <v>6</v>
          </cell>
        </row>
        <row r="13103">
          <cell r="C13103" t="str">
            <v>陳威瑜</v>
          </cell>
          <cell r="J13103">
            <v>46126</v>
          </cell>
          <cell r="K13103">
            <v>1</v>
          </cell>
        </row>
        <row r="13104">
          <cell r="C13104" t="str">
            <v>陳威瑜</v>
          </cell>
          <cell r="J13104">
            <v>46126</v>
          </cell>
          <cell r="K13104">
            <v>1</v>
          </cell>
        </row>
        <row r="13105">
          <cell r="C13105" t="str">
            <v>陳威瑜</v>
          </cell>
          <cell r="J13105">
            <v>46127</v>
          </cell>
          <cell r="K13105">
            <v>2</v>
          </cell>
        </row>
        <row r="13106">
          <cell r="C13106" t="str">
            <v>陳威瑜</v>
          </cell>
          <cell r="J13106">
            <v>46127</v>
          </cell>
          <cell r="K13106">
            <v>6</v>
          </cell>
        </row>
        <row r="13107">
          <cell r="C13107" t="str">
            <v>陳威瑜</v>
          </cell>
          <cell r="J13107">
            <v>46128</v>
          </cell>
          <cell r="K13107">
            <v>8</v>
          </cell>
        </row>
        <row r="13108">
          <cell r="C13108" t="str">
            <v>陳威瑜</v>
          </cell>
          <cell r="J13108">
            <v>46129</v>
          </cell>
          <cell r="K13108">
            <v>6</v>
          </cell>
        </row>
        <row r="13109">
          <cell r="C13109" t="str">
            <v>陳威瑜</v>
          </cell>
          <cell r="J13109">
            <v>46129</v>
          </cell>
          <cell r="K13109">
            <v>1</v>
          </cell>
        </row>
        <row r="13110">
          <cell r="C13110" t="str">
            <v>陳威瑜</v>
          </cell>
          <cell r="J13110">
            <v>46129</v>
          </cell>
          <cell r="K13110">
            <v>1</v>
          </cell>
        </row>
        <row r="13111">
          <cell r="C13111" t="str">
            <v>陳威瑜</v>
          </cell>
          <cell r="J13111">
            <v>46132</v>
          </cell>
          <cell r="K13111">
            <v>8</v>
          </cell>
        </row>
        <row r="13112">
          <cell r="C13112" t="str">
            <v>陳威瑜</v>
          </cell>
          <cell r="J13112">
            <v>46133</v>
          </cell>
          <cell r="K13112">
            <v>6</v>
          </cell>
        </row>
        <row r="13113">
          <cell r="C13113" t="str">
            <v>陳威瑜</v>
          </cell>
          <cell r="J13113">
            <v>46133</v>
          </cell>
          <cell r="K13113">
            <v>2</v>
          </cell>
        </row>
        <row r="13114">
          <cell r="C13114" t="str">
            <v>陳威瑜</v>
          </cell>
          <cell r="J13114">
            <v>46134</v>
          </cell>
          <cell r="K13114">
            <v>5</v>
          </cell>
        </row>
        <row r="13115">
          <cell r="C13115" t="str">
            <v>陳威瑜</v>
          </cell>
          <cell r="J13115">
            <v>46134</v>
          </cell>
          <cell r="K13115">
            <v>1</v>
          </cell>
        </row>
        <row r="13116">
          <cell r="C13116" t="str">
            <v>陳威瑜</v>
          </cell>
          <cell r="J13116">
            <v>46134</v>
          </cell>
          <cell r="K13116">
            <v>2</v>
          </cell>
        </row>
        <row r="13117">
          <cell r="C13117" t="str">
            <v>陳威瑜</v>
          </cell>
          <cell r="J13117">
            <v>46135</v>
          </cell>
          <cell r="K13117">
            <v>1</v>
          </cell>
        </row>
        <row r="13118">
          <cell r="C13118" t="str">
            <v>陳威瑜</v>
          </cell>
          <cell r="J13118">
            <v>46135</v>
          </cell>
          <cell r="K13118">
            <v>2</v>
          </cell>
        </row>
        <row r="13119">
          <cell r="C13119" t="str">
            <v>陳威瑜</v>
          </cell>
          <cell r="J13119">
            <v>46135</v>
          </cell>
          <cell r="K13119">
            <v>5</v>
          </cell>
        </row>
        <row r="13120">
          <cell r="C13120" t="str">
            <v>陳威瑜</v>
          </cell>
          <cell r="J13120">
            <v>46136</v>
          </cell>
          <cell r="K13120">
            <v>2</v>
          </cell>
        </row>
        <row r="13121">
          <cell r="C13121" t="str">
            <v>陳威瑜</v>
          </cell>
          <cell r="J13121">
            <v>46136</v>
          </cell>
          <cell r="K13121">
            <v>3</v>
          </cell>
        </row>
        <row r="13122">
          <cell r="C13122" t="str">
            <v>陳威瑜</v>
          </cell>
          <cell r="J13122">
            <v>46136</v>
          </cell>
          <cell r="K13122">
            <v>3</v>
          </cell>
        </row>
        <row r="13123">
          <cell r="C13123" t="str">
            <v>陳威瑜</v>
          </cell>
          <cell r="J13123">
            <v>46139</v>
          </cell>
          <cell r="K13123">
            <v>6</v>
          </cell>
        </row>
        <row r="13124">
          <cell r="C13124" t="str">
            <v>陳威瑜</v>
          </cell>
          <cell r="J13124">
            <v>46139</v>
          </cell>
          <cell r="K13124">
            <v>1</v>
          </cell>
        </row>
        <row r="13125">
          <cell r="C13125" t="str">
            <v>陳威瑜</v>
          </cell>
          <cell r="J13125">
            <v>46139</v>
          </cell>
          <cell r="K13125">
            <v>1</v>
          </cell>
        </row>
        <row r="13126">
          <cell r="C13126" t="str">
            <v>陳威瑜</v>
          </cell>
          <cell r="J13126">
            <v>46140</v>
          </cell>
          <cell r="K13126">
            <v>5</v>
          </cell>
        </row>
        <row r="13127">
          <cell r="C13127" t="str">
            <v>陳威瑜</v>
          </cell>
          <cell r="J13127">
            <v>46140</v>
          </cell>
          <cell r="K13127">
            <v>3</v>
          </cell>
        </row>
        <row r="13128">
          <cell r="C13128" t="str">
            <v>陳威瑜</v>
          </cell>
          <cell r="J13128">
            <v>46141</v>
          </cell>
          <cell r="K13128">
            <v>4.5</v>
          </cell>
        </row>
        <row r="13129">
          <cell r="C13129" t="str">
            <v>陳威瑜</v>
          </cell>
          <cell r="J13129">
            <v>46141</v>
          </cell>
          <cell r="K13129">
            <v>3.5</v>
          </cell>
        </row>
        <row r="13130">
          <cell r="C13130" t="str">
            <v>陳威瑜</v>
          </cell>
          <cell r="J13130">
            <v>46142</v>
          </cell>
          <cell r="K13130">
            <v>8</v>
          </cell>
        </row>
        <row r="13131">
          <cell r="C13131" t="str">
            <v>陳威瑜</v>
          </cell>
          <cell r="J13131">
            <v>46146</v>
          </cell>
          <cell r="K13131">
            <v>4.5</v>
          </cell>
        </row>
        <row r="13132">
          <cell r="C13132" t="str">
            <v>陳威瑜</v>
          </cell>
          <cell r="J13132">
            <v>46146</v>
          </cell>
          <cell r="K13132">
            <v>2</v>
          </cell>
        </row>
        <row r="13133">
          <cell r="C13133" t="str">
            <v>陳威瑜</v>
          </cell>
          <cell r="J13133">
            <v>46146</v>
          </cell>
          <cell r="K13133">
            <v>1.5</v>
          </cell>
        </row>
        <row r="13134">
          <cell r="C13134" t="str">
            <v>陳威瑜</v>
          </cell>
          <cell r="J13134">
            <v>46147</v>
          </cell>
          <cell r="K13134">
            <v>1.5</v>
          </cell>
        </row>
        <row r="13135">
          <cell r="C13135" t="str">
            <v>陳威瑜</v>
          </cell>
          <cell r="J13135">
            <v>46147</v>
          </cell>
          <cell r="K13135">
            <v>6.5</v>
          </cell>
        </row>
        <row r="13136">
          <cell r="C13136" t="str">
            <v>陳威瑜</v>
          </cell>
          <cell r="J13136">
            <v>46148</v>
          </cell>
          <cell r="K13136">
            <v>1.5</v>
          </cell>
        </row>
        <row r="13137">
          <cell r="C13137" t="str">
            <v>陳威瑜</v>
          </cell>
          <cell r="J13137">
            <v>46148</v>
          </cell>
          <cell r="K13137">
            <v>3</v>
          </cell>
        </row>
        <row r="13138">
          <cell r="C13138" t="str">
            <v>陳威瑜</v>
          </cell>
          <cell r="J13138">
            <v>46148</v>
          </cell>
          <cell r="K13138">
            <v>3.5</v>
          </cell>
        </row>
        <row r="13139">
          <cell r="C13139" t="str">
            <v>陳威瑜</v>
          </cell>
          <cell r="J13139">
            <v>46149</v>
          </cell>
          <cell r="K13139">
            <v>1</v>
          </cell>
        </row>
        <row r="13140">
          <cell r="C13140" t="str">
            <v>陳威瑜</v>
          </cell>
          <cell r="J13140">
            <v>46149</v>
          </cell>
          <cell r="K13140">
            <v>6.5</v>
          </cell>
        </row>
        <row r="13141">
          <cell r="C13141" t="str">
            <v>陳威瑜</v>
          </cell>
          <cell r="J13141">
            <v>46149</v>
          </cell>
          <cell r="K13141">
            <v>0.5</v>
          </cell>
        </row>
        <row r="13142">
          <cell r="C13142" t="str">
            <v>陳威瑜</v>
          </cell>
          <cell r="J13142">
            <v>46150</v>
          </cell>
          <cell r="K13142">
            <v>2</v>
          </cell>
        </row>
        <row r="13143">
          <cell r="C13143" t="str">
            <v>陳威瑜</v>
          </cell>
          <cell r="J13143">
            <v>46150</v>
          </cell>
          <cell r="K13143">
            <v>6</v>
          </cell>
        </row>
        <row r="13144">
          <cell r="C13144" t="str">
            <v>陳威瑜</v>
          </cell>
          <cell r="J13144">
            <v>46153</v>
          </cell>
          <cell r="K13144">
            <v>2</v>
          </cell>
        </row>
        <row r="13145">
          <cell r="C13145" t="str">
            <v>陳威瑜</v>
          </cell>
          <cell r="J13145">
            <v>46153</v>
          </cell>
          <cell r="K13145">
            <v>1</v>
          </cell>
        </row>
        <row r="13146">
          <cell r="C13146" t="str">
            <v>陳威瑜</v>
          </cell>
          <cell r="J13146">
            <v>46153</v>
          </cell>
          <cell r="K13146">
            <v>1</v>
          </cell>
        </row>
        <row r="13147">
          <cell r="C13147" t="str">
            <v>陳威瑜</v>
          </cell>
          <cell r="J13147">
            <v>46153</v>
          </cell>
          <cell r="K13147">
            <v>3</v>
          </cell>
        </row>
        <row r="13148">
          <cell r="C13148" t="str">
            <v>陳威瑜</v>
          </cell>
          <cell r="J13148">
            <v>46154</v>
          </cell>
          <cell r="K13148">
            <v>3</v>
          </cell>
        </row>
        <row r="13149">
          <cell r="C13149" t="str">
            <v>陳威瑜</v>
          </cell>
          <cell r="J13149">
            <v>46154</v>
          </cell>
          <cell r="K13149">
            <v>5</v>
          </cell>
        </row>
        <row r="13150">
          <cell r="C13150" t="str">
            <v>陳威瑜</v>
          </cell>
          <cell r="J13150">
            <v>46155</v>
          </cell>
          <cell r="K13150">
            <v>1.5</v>
          </cell>
        </row>
        <row r="13151">
          <cell r="C13151" t="str">
            <v>陳威瑜</v>
          </cell>
          <cell r="J13151">
            <v>46155</v>
          </cell>
          <cell r="K13151">
            <v>1.5</v>
          </cell>
        </row>
        <row r="13152">
          <cell r="C13152" t="str">
            <v>陳威瑜</v>
          </cell>
          <cell r="J13152">
            <v>46155</v>
          </cell>
          <cell r="K13152">
            <v>3.5</v>
          </cell>
        </row>
        <row r="13153">
          <cell r="C13153" t="str">
            <v>陳威瑜</v>
          </cell>
          <cell r="J13153">
            <v>46155</v>
          </cell>
          <cell r="K13153">
            <v>1.5</v>
          </cell>
        </row>
        <row r="13154">
          <cell r="C13154" t="str">
            <v>陳威瑜</v>
          </cell>
          <cell r="J13154">
            <v>46156</v>
          </cell>
          <cell r="K13154">
            <v>8</v>
          </cell>
        </row>
        <row r="13155">
          <cell r="C13155" t="str">
            <v>陳威瑜</v>
          </cell>
          <cell r="J13155">
            <v>46157</v>
          </cell>
          <cell r="K13155">
            <v>7</v>
          </cell>
        </row>
        <row r="13156">
          <cell r="C13156" t="str">
            <v>陳威瑜</v>
          </cell>
          <cell r="J13156">
            <v>46157</v>
          </cell>
          <cell r="K13156">
            <v>1</v>
          </cell>
        </row>
        <row r="13157">
          <cell r="C13157" t="str">
            <v>陳威瑜</v>
          </cell>
          <cell r="J13157">
            <v>46160</v>
          </cell>
          <cell r="K13157">
            <v>3</v>
          </cell>
        </row>
        <row r="13158">
          <cell r="C13158" t="str">
            <v>陳威瑜</v>
          </cell>
          <cell r="J13158">
            <v>46160</v>
          </cell>
          <cell r="K13158">
            <v>1</v>
          </cell>
        </row>
        <row r="13159">
          <cell r="C13159" t="str">
            <v>陳威瑜</v>
          </cell>
          <cell r="J13159">
            <v>46160</v>
          </cell>
          <cell r="K13159">
            <v>4</v>
          </cell>
        </row>
        <row r="13160">
          <cell r="C13160" t="str">
            <v>陳威瑜</v>
          </cell>
          <cell r="J13160">
            <v>46161</v>
          </cell>
          <cell r="K13160">
            <v>6.5</v>
          </cell>
        </row>
        <row r="13161">
          <cell r="C13161" t="str">
            <v>陳威瑜</v>
          </cell>
          <cell r="J13161">
            <v>46161</v>
          </cell>
          <cell r="K13161">
            <v>1.5</v>
          </cell>
        </row>
        <row r="13162">
          <cell r="C13162" t="str">
            <v>陳威瑜</v>
          </cell>
          <cell r="J13162">
            <v>46162</v>
          </cell>
          <cell r="K13162">
            <v>7</v>
          </cell>
        </row>
        <row r="13163">
          <cell r="C13163" t="str">
            <v>陳威瑜</v>
          </cell>
          <cell r="J13163">
            <v>46162</v>
          </cell>
          <cell r="K13163">
            <v>1</v>
          </cell>
        </row>
        <row r="13164">
          <cell r="C13164" t="str">
            <v>羅友彥</v>
          </cell>
          <cell r="J13164">
            <v>45754</v>
          </cell>
          <cell r="K13164">
            <v>1</v>
          </cell>
        </row>
        <row r="13165">
          <cell r="C13165" t="str">
            <v>羅友彥</v>
          </cell>
          <cell r="J13165">
            <v>45754</v>
          </cell>
          <cell r="K13165">
            <v>5</v>
          </cell>
        </row>
        <row r="13166">
          <cell r="C13166" t="str">
            <v>羅友彥</v>
          </cell>
          <cell r="J13166">
            <v>45754</v>
          </cell>
          <cell r="K13166">
            <v>2</v>
          </cell>
        </row>
        <row r="13167">
          <cell r="C13167" t="str">
            <v>羅友彥</v>
          </cell>
          <cell r="J13167">
            <v>45755</v>
          </cell>
          <cell r="K13167">
            <v>3</v>
          </cell>
        </row>
        <row r="13168">
          <cell r="C13168" t="str">
            <v>羅友彥</v>
          </cell>
          <cell r="J13168">
            <v>45755</v>
          </cell>
          <cell r="K13168">
            <v>2</v>
          </cell>
        </row>
        <row r="13169">
          <cell r="C13169" t="str">
            <v>羅友彥</v>
          </cell>
          <cell r="J13169">
            <v>45755</v>
          </cell>
          <cell r="K13169">
            <v>2</v>
          </cell>
        </row>
        <row r="13170">
          <cell r="C13170" t="str">
            <v>羅友彥</v>
          </cell>
          <cell r="J13170">
            <v>45755</v>
          </cell>
          <cell r="K13170">
            <v>1</v>
          </cell>
        </row>
        <row r="13171">
          <cell r="C13171" t="str">
            <v>羅友彥</v>
          </cell>
          <cell r="J13171">
            <v>45756</v>
          </cell>
          <cell r="K13171">
            <v>3</v>
          </cell>
        </row>
        <row r="13172">
          <cell r="C13172" t="str">
            <v>羅友彥</v>
          </cell>
          <cell r="J13172">
            <v>45756</v>
          </cell>
          <cell r="K13172">
            <v>3</v>
          </cell>
        </row>
        <row r="13173">
          <cell r="C13173" t="str">
            <v>羅友彥</v>
          </cell>
          <cell r="J13173">
            <v>45756</v>
          </cell>
          <cell r="K13173">
            <v>2</v>
          </cell>
        </row>
        <row r="13174">
          <cell r="C13174" t="str">
            <v>羅友彥</v>
          </cell>
          <cell r="J13174">
            <v>45757</v>
          </cell>
          <cell r="K13174">
            <v>0.5</v>
          </cell>
        </row>
        <row r="13175">
          <cell r="C13175" t="str">
            <v>羅友彥</v>
          </cell>
          <cell r="J13175">
            <v>45757</v>
          </cell>
          <cell r="K13175">
            <v>6</v>
          </cell>
        </row>
        <row r="13176">
          <cell r="C13176" t="str">
            <v>羅友彥</v>
          </cell>
          <cell r="J13176">
            <v>45757</v>
          </cell>
          <cell r="K13176">
            <v>0.5</v>
          </cell>
        </row>
        <row r="13177">
          <cell r="C13177" t="str">
            <v>羅友彥</v>
          </cell>
          <cell r="J13177">
            <v>45758</v>
          </cell>
          <cell r="K13177">
            <v>0.5</v>
          </cell>
        </row>
        <row r="13178">
          <cell r="C13178" t="str">
            <v>羅友彥</v>
          </cell>
          <cell r="J13178">
            <v>45758</v>
          </cell>
          <cell r="K13178">
            <v>1.5</v>
          </cell>
        </row>
        <row r="13179">
          <cell r="C13179" t="str">
            <v>羅友彥</v>
          </cell>
          <cell r="J13179">
            <v>45758</v>
          </cell>
          <cell r="K13179">
            <v>0.5</v>
          </cell>
        </row>
        <row r="13180">
          <cell r="C13180" t="str">
            <v>羅友彥</v>
          </cell>
          <cell r="J13180">
            <v>45758</v>
          </cell>
          <cell r="K13180">
            <v>5.5</v>
          </cell>
        </row>
        <row r="13181">
          <cell r="C13181" t="str">
            <v>羅友彥</v>
          </cell>
          <cell r="J13181">
            <v>45761</v>
          </cell>
          <cell r="K13181">
            <v>0.5</v>
          </cell>
        </row>
        <row r="13182">
          <cell r="C13182" t="str">
            <v>羅友彥</v>
          </cell>
          <cell r="J13182">
            <v>45761</v>
          </cell>
          <cell r="K13182">
            <v>1</v>
          </cell>
        </row>
        <row r="13183">
          <cell r="C13183" t="str">
            <v>羅友彥</v>
          </cell>
          <cell r="J13183">
            <v>45761</v>
          </cell>
          <cell r="K13183">
            <v>2.5</v>
          </cell>
        </row>
        <row r="13184">
          <cell r="C13184" t="str">
            <v>羅友彥</v>
          </cell>
          <cell r="J13184">
            <v>45761</v>
          </cell>
          <cell r="K13184">
            <v>0.5</v>
          </cell>
        </row>
        <row r="13185">
          <cell r="C13185" t="str">
            <v>羅友彥</v>
          </cell>
          <cell r="J13185">
            <v>45761</v>
          </cell>
          <cell r="K13185">
            <v>4</v>
          </cell>
        </row>
        <row r="13186">
          <cell r="C13186" t="str">
            <v>羅友彥</v>
          </cell>
          <cell r="J13186">
            <v>45761</v>
          </cell>
          <cell r="K13186">
            <v>1</v>
          </cell>
        </row>
        <row r="13187">
          <cell r="C13187" t="str">
            <v>羅友彥</v>
          </cell>
          <cell r="J13187">
            <v>45762</v>
          </cell>
          <cell r="K13187">
            <v>2.5</v>
          </cell>
        </row>
        <row r="13188">
          <cell r="C13188" t="str">
            <v>羅友彥</v>
          </cell>
          <cell r="J13188">
            <v>45762</v>
          </cell>
          <cell r="K13188">
            <v>1</v>
          </cell>
        </row>
        <row r="13189">
          <cell r="C13189" t="str">
            <v>羅友彥</v>
          </cell>
          <cell r="J13189">
            <v>45762</v>
          </cell>
          <cell r="K13189">
            <v>1.5</v>
          </cell>
        </row>
        <row r="13190">
          <cell r="C13190" t="str">
            <v>羅友彥</v>
          </cell>
          <cell r="J13190">
            <v>45762</v>
          </cell>
          <cell r="K13190">
            <v>3</v>
          </cell>
        </row>
        <row r="13191">
          <cell r="C13191" t="str">
            <v>羅友彥</v>
          </cell>
          <cell r="J13191">
            <v>45763</v>
          </cell>
          <cell r="K13191">
            <v>3</v>
          </cell>
        </row>
        <row r="13192">
          <cell r="C13192" t="str">
            <v>羅友彥</v>
          </cell>
          <cell r="J13192">
            <v>45763</v>
          </cell>
          <cell r="K13192">
            <v>1</v>
          </cell>
        </row>
        <row r="13193">
          <cell r="C13193" t="str">
            <v>羅友彥</v>
          </cell>
          <cell r="J13193">
            <v>45763</v>
          </cell>
          <cell r="K13193">
            <v>1</v>
          </cell>
        </row>
        <row r="13194">
          <cell r="C13194" t="str">
            <v>羅友彥</v>
          </cell>
          <cell r="J13194">
            <v>45763</v>
          </cell>
          <cell r="K13194">
            <v>3</v>
          </cell>
        </row>
        <row r="13195">
          <cell r="C13195" t="str">
            <v>羅友彥</v>
          </cell>
          <cell r="J13195">
            <v>45764</v>
          </cell>
          <cell r="K13195">
            <v>1</v>
          </cell>
        </row>
        <row r="13196">
          <cell r="C13196" t="str">
            <v>羅友彥</v>
          </cell>
          <cell r="J13196">
            <v>45764</v>
          </cell>
          <cell r="K13196">
            <v>2</v>
          </cell>
        </row>
        <row r="13197">
          <cell r="C13197" t="str">
            <v>羅友彥</v>
          </cell>
          <cell r="J13197">
            <v>45764</v>
          </cell>
          <cell r="K13197">
            <v>5</v>
          </cell>
        </row>
        <row r="13198">
          <cell r="C13198" t="str">
            <v>羅友彥</v>
          </cell>
          <cell r="J13198">
            <v>45765</v>
          </cell>
          <cell r="K13198">
            <v>8</v>
          </cell>
        </row>
        <row r="13199">
          <cell r="C13199" t="str">
            <v>羅友彥</v>
          </cell>
          <cell r="J13199">
            <v>45768</v>
          </cell>
          <cell r="K13199">
            <v>8</v>
          </cell>
        </row>
        <row r="13200">
          <cell r="C13200" t="str">
            <v>羅友彥</v>
          </cell>
          <cell r="J13200">
            <v>45769</v>
          </cell>
          <cell r="K13200">
            <v>8</v>
          </cell>
        </row>
        <row r="13201">
          <cell r="C13201" t="str">
            <v>羅友彥</v>
          </cell>
          <cell r="J13201">
            <v>45770</v>
          </cell>
          <cell r="K13201">
            <v>7.5</v>
          </cell>
        </row>
        <row r="13202">
          <cell r="C13202" t="str">
            <v>羅友彥</v>
          </cell>
          <cell r="J13202">
            <v>45770</v>
          </cell>
          <cell r="K13202">
            <v>0.5</v>
          </cell>
        </row>
        <row r="13203">
          <cell r="C13203" t="str">
            <v>羅友彥</v>
          </cell>
          <cell r="J13203">
            <v>45771</v>
          </cell>
          <cell r="K13203">
            <v>7</v>
          </cell>
        </row>
        <row r="13204">
          <cell r="C13204" t="str">
            <v>羅友彥</v>
          </cell>
          <cell r="J13204">
            <v>45771</v>
          </cell>
          <cell r="K13204">
            <v>1</v>
          </cell>
        </row>
        <row r="13205">
          <cell r="C13205" t="str">
            <v>羅友彥</v>
          </cell>
          <cell r="J13205">
            <v>45772</v>
          </cell>
          <cell r="K13205">
            <v>6</v>
          </cell>
        </row>
        <row r="13206">
          <cell r="C13206" t="str">
            <v>羅友彥</v>
          </cell>
          <cell r="J13206">
            <v>45772</v>
          </cell>
          <cell r="K13206">
            <v>2</v>
          </cell>
        </row>
        <row r="13207">
          <cell r="C13207" t="str">
            <v>羅友彥</v>
          </cell>
          <cell r="J13207">
            <v>45775</v>
          </cell>
          <cell r="K13207">
            <v>8</v>
          </cell>
        </row>
        <row r="13208">
          <cell r="C13208" t="str">
            <v>羅友彥</v>
          </cell>
          <cell r="J13208">
            <v>45776</v>
          </cell>
          <cell r="K13208">
            <v>8</v>
          </cell>
        </row>
        <row r="13209">
          <cell r="C13209" t="str">
            <v>羅友彥</v>
          </cell>
          <cell r="J13209">
            <v>45777</v>
          </cell>
          <cell r="K13209">
            <v>8</v>
          </cell>
        </row>
        <row r="13210">
          <cell r="C13210" t="str">
            <v>羅友彥</v>
          </cell>
          <cell r="J13210">
            <v>45779</v>
          </cell>
          <cell r="K13210">
            <v>8</v>
          </cell>
        </row>
        <row r="13211">
          <cell r="C13211" t="str">
            <v>羅友彥</v>
          </cell>
          <cell r="J13211">
            <v>45782</v>
          </cell>
          <cell r="K13211">
            <v>2.5</v>
          </cell>
        </row>
        <row r="13212">
          <cell r="C13212" t="str">
            <v>羅友彥</v>
          </cell>
          <cell r="J13212">
            <v>45782</v>
          </cell>
          <cell r="K13212">
            <v>2.5</v>
          </cell>
        </row>
        <row r="13213">
          <cell r="C13213" t="str">
            <v>羅友彥</v>
          </cell>
          <cell r="J13213">
            <v>45782</v>
          </cell>
          <cell r="K13213">
            <v>1</v>
          </cell>
        </row>
        <row r="13214">
          <cell r="C13214" t="str">
            <v>羅友彥</v>
          </cell>
          <cell r="J13214">
            <v>45782</v>
          </cell>
          <cell r="K13214">
            <v>1</v>
          </cell>
        </row>
        <row r="13215">
          <cell r="C13215" t="str">
            <v>羅友彥</v>
          </cell>
          <cell r="J13215">
            <v>45783</v>
          </cell>
          <cell r="K13215">
            <v>4</v>
          </cell>
        </row>
        <row r="13216">
          <cell r="C13216" t="str">
            <v>羅友彥</v>
          </cell>
          <cell r="J13216">
            <v>45783</v>
          </cell>
          <cell r="K13216">
            <v>4</v>
          </cell>
        </row>
        <row r="13217">
          <cell r="C13217" t="str">
            <v>羅友彥</v>
          </cell>
          <cell r="J13217">
            <v>45784</v>
          </cell>
          <cell r="K13217">
            <v>5</v>
          </cell>
        </row>
        <row r="13218">
          <cell r="C13218" t="str">
            <v>羅友彥</v>
          </cell>
          <cell r="J13218">
            <v>45784</v>
          </cell>
          <cell r="K13218">
            <v>0.5</v>
          </cell>
        </row>
        <row r="13219">
          <cell r="C13219" t="str">
            <v>羅友彥</v>
          </cell>
          <cell r="J13219">
            <v>45784</v>
          </cell>
          <cell r="K13219">
            <v>2.5</v>
          </cell>
        </row>
        <row r="13220">
          <cell r="C13220" t="str">
            <v>羅友彥</v>
          </cell>
          <cell r="J13220">
            <v>45785</v>
          </cell>
          <cell r="K13220">
            <v>4</v>
          </cell>
        </row>
        <row r="13221">
          <cell r="C13221" t="str">
            <v>羅友彥</v>
          </cell>
          <cell r="J13221">
            <v>45785</v>
          </cell>
          <cell r="K13221">
            <v>2</v>
          </cell>
        </row>
        <row r="13222">
          <cell r="C13222" t="str">
            <v>羅友彥</v>
          </cell>
          <cell r="J13222">
            <v>45785</v>
          </cell>
          <cell r="K13222">
            <v>1</v>
          </cell>
        </row>
        <row r="13223">
          <cell r="C13223" t="str">
            <v>羅友彥</v>
          </cell>
          <cell r="J13223">
            <v>45785</v>
          </cell>
          <cell r="K13223">
            <v>1</v>
          </cell>
        </row>
        <row r="13224">
          <cell r="C13224" t="str">
            <v>羅友彥</v>
          </cell>
          <cell r="J13224">
            <v>45786</v>
          </cell>
          <cell r="K13224">
            <v>1</v>
          </cell>
        </row>
        <row r="13225">
          <cell r="C13225" t="str">
            <v>羅友彥</v>
          </cell>
          <cell r="J13225">
            <v>45786</v>
          </cell>
          <cell r="K13225">
            <v>4</v>
          </cell>
        </row>
        <row r="13226">
          <cell r="C13226" t="str">
            <v>羅友彥</v>
          </cell>
          <cell r="J13226">
            <v>45786</v>
          </cell>
          <cell r="K13226">
            <v>1</v>
          </cell>
        </row>
        <row r="13227">
          <cell r="C13227" t="str">
            <v>羅友彥</v>
          </cell>
          <cell r="J13227">
            <v>45786</v>
          </cell>
          <cell r="K13227">
            <v>1.5</v>
          </cell>
        </row>
        <row r="13228">
          <cell r="C13228" t="str">
            <v>羅友彥</v>
          </cell>
          <cell r="J13228">
            <v>45786</v>
          </cell>
          <cell r="K13228">
            <v>0.5</v>
          </cell>
        </row>
        <row r="13229">
          <cell r="C13229" t="str">
            <v>羅友彥</v>
          </cell>
          <cell r="J13229">
            <v>45789</v>
          </cell>
          <cell r="K13229">
            <v>1</v>
          </cell>
        </row>
        <row r="13230">
          <cell r="C13230" t="str">
            <v>羅友彥</v>
          </cell>
          <cell r="J13230">
            <v>45789</v>
          </cell>
          <cell r="K13230">
            <v>0.5</v>
          </cell>
        </row>
        <row r="13231">
          <cell r="C13231" t="str">
            <v>羅友彥</v>
          </cell>
          <cell r="J13231">
            <v>45789</v>
          </cell>
          <cell r="K13231">
            <v>3</v>
          </cell>
        </row>
        <row r="13232">
          <cell r="C13232" t="str">
            <v>羅友彥</v>
          </cell>
          <cell r="F13232" t="str">
            <v>E250101I1</v>
          </cell>
          <cell r="J13232">
            <v>45789</v>
          </cell>
          <cell r="K13232">
            <v>1.5</v>
          </cell>
        </row>
        <row r="13233">
          <cell r="C13233" t="str">
            <v>羅友彥</v>
          </cell>
          <cell r="F13233" t="str">
            <v>E250101I1</v>
          </cell>
          <cell r="J13233">
            <v>45789</v>
          </cell>
          <cell r="K13233">
            <v>2</v>
          </cell>
        </row>
        <row r="13234">
          <cell r="C13234" t="str">
            <v>羅友彥</v>
          </cell>
          <cell r="J13234">
            <v>45790</v>
          </cell>
          <cell r="K13234">
            <v>0.5</v>
          </cell>
        </row>
        <row r="13235">
          <cell r="C13235" t="str">
            <v>羅友彥</v>
          </cell>
          <cell r="J13235">
            <v>45790</v>
          </cell>
          <cell r="K13235">
            <v>0.5</v>
          </cell>
        </row>
        <row r="13236">
          <cell r="C13236" t="str">
            <v>羅友彥</v>
          </cell>
          <cell r="J13236">
            <v>45790</v>
          </cell>
          <cell r="K13236">
            <v>1</v>
          </cell>
        </row>
        <row r="13237">
          <cell r="C13237" t="str">
            <v>羅友彥</v>
          </cell>
          <cell r="J13237">
            <v>45790</v>
          </cell>
          <cell r="K13237">
            <v>1.5</v>
          </cell>
        </row>
        <row r="13238">
          <cell r="C13238" t="str">
            <v>羅友彥</v>
          </cell>
          <cell r="J13238">
            <v>45790</v>
          </cell>
          <cell r="K13238">
            <v>0.5</v>
          </cell>
        </row>
        <row r="13239">
          <cell r="C13239" t="str">
            <v>羅友彥</v>
          </cell>
          <cell r="F13239" t="str">
            <v>E250101I1</v>
          </cell>
          <cell r="J13239">
            <v>45790</v>
          </cell>
          <cell r="K13239">
            <v>4</v>
          </cell>
        </row>
        <row r="13240">
          <cell r="C13240" t="str">
            <v>羅友彥</v>
          </cell>
          <cell r="J13240">
            <v>45791</v>
          </cell>
          <cell r="K13240">
            <v>0.3</v>
          </cell>
        </row>
        <row r="13241">
          <cell r="C13241" t="str">
            <v>羅友彥</v>
          </cell>
          <cell r="J13241">
            <v>45791</v>
          </cell>
          <cell r="K13241">
            <v>0.3</v>
          </cell>
        </row>
        <row r="13242">
          <cell r="C13242" t="str">
            <v>羅友彥</v>
          </cell>
          <cell r="J13242">
            <v>45791</v>
          </cell>
          <cell r="K13242">
            <v>1.5</v>
          </cell>
        </row>
        <row r="13243">
          <cell r="C13243" t="str">
            <v>羅友彥</v>
          </cell>
          <cell r="J13243">
            <v>45791</v>
          </cell>
          <cell r="K13243">
            <v>1</v>
          </cell>
        </row>
        <row r="13244">
          <cell r="C13244" t="str">
            <v>羅友彥</v>
          </cell>
          <cell r="J13244">
            <v>45791</v>
          </cell>
          <cell r="K13244">
            <v>1</v>
          </cell>
        </row>
        <row r="13245">
          <cell r="C13245" t="str">
            <v>羅友彥</v>
          </cell>
          <cell r="J13245">
            <v>45791</v>
          </cell>
          <cell r="K13245">
            <v>4</v>
          </cell>
        </row>
        <row r="13246">
          <cell r="C13246" t="str">
            <v>羅友彥</v>
          </cell>
          <cell r="J13246">
            <v>45792</v>
          </cell>
          <cell r="K13246">
            <v>4</v>
          </cell>
        </row>
        <row r="13247">
          <cell r="C13247" t="str">
            <v>羅友彥</v>
          </cell>
          <cell r="J13247">
            <v>45792</v>
          </cell>
          <cell r="K13247">
            <v>3</v>
          </cell>
        </row>
        <row r="13248">
          <cell r="C13248" t="str">
            <v>羅友彥</v>
          </cell>
          <cell r="F13248" t="str">
            <v>E250101I1</v>
          </cell>
          <cell r="J13248">
            <v>45792</v>
          </cell>
          <cell r="K13248">
            <v>1</v>
          </cell>
        </row>
        <row r="13249">
          <cell r="C13249" t="str">
            <v>羅友彥</v>
          </cell>
          <cell r="J13249">
            <v>45793</v>
          </cell>
          <cell r="K13249">
            <v>4</v>
          </cell>
        </row>
        <row r="13250">
          <cell r="C13250" t="str">
            <v>羅友彥</v>
          </cell>
          <cell r="J13250">
            <v>45793</v>
          </cell>
          <cell r="K13250">
            <v>1</v>
          </cell>
        </row>
        <row r="13251">
          <cell r="C13251" t="str">
            <v>羅友彥</v>
          </cell>
          <cell r="J13251">
            <v>45793</v>
          </cell>
          <cell r="K13251">
            <v>1</v>
          </cell>
        </row>
        <row r="13252">
          <cell r="C13252" t="str">
            <v>羅友彥</v>
          </cell>
          <cell r="J13252">
            <v>45793</v>
          </cell>
          <cell r="K13252">
            <v>2</v>
          </cell>
        </row>
        <row r="13253">
          <cell r="C13253" t="str">
            <v>羅友彥</v>
          </cell>
          <cell r="J13253">
            <v>45796</v>
          </cell>
          <cell r="K13253">
            <v>2</v>
          </cell>
        </row>
        <row r="13254">
          <cell r="C13254" t="str">
            <v>羅友彥</v>
          </cell>
          <cell r="F13254" t="str">
            <v>E250101I1</v>
          </cell>
          <cell r="J13254">
            <v>45796</v>
          </cell>
          <cell r="K13254">
            <v>6</v>
          </cell>
        </row>
        <row r="13255">
          <cell r="C13255" t="str">
            <v>羅友彥</v>
          </cell>
          <cell r="J13255">
            <v>45797</v>
          </cell>
          <cell r="K13255">
            <v>2</v>
          </cell>
        </row>
        <row r="13256">
          <cell r="C13256" t="str">
            <v>羅友彥</v>
          </cell>
          <cell r="J13256">
            <v>45797</v>
          </cell>
          <cell r="K13256">
            <v>2</v>
          </cell>
        </row>
        <row r="13257">
          <cell r="C13257" t="str">
            <v>羅友彥</v>
          </cell>
          <cell r="J13257">
            <v>45797</v>
          </cell>
          <cell r="K13257">
            <v>3</v>
          </cell>
        </row>
        <row r="13258">
          <cell r="C13258" t="str">
            <v>羅友彥</v>
          </cell>
          <cell r="F13258" t="str">
            <v>E250101I1</v>
          </cell>
          <cell r="J13258">
            <v>45797</v>
          </cell>
          <cell r="K13258">
            <v>1</v>
          </cell>
        </row>
        <row r="13259">
          <cell r="C13259" t="str">
            <v>羅友彥</v>
          </cell>
          <cell r="J13259">
            <v>45798</v>
          </cell>
          <cell r="K13259">
            <v>2</v>
          </cell>
        </row>
        <row r="13260">
          <cell r="C13260" t="str">
            <v>羅友彥</v>
          </cell>
          <cell r="F13260" t="str">
            <v>E250101I1</v>
          </cell>
          <cell r="J13260">
            <v>45798</v>
          </cell>
          <cell r="K13260">
            <v>6</v>
          </cell>
        </row>
        <row r="13261">
          <cell r="C13261" t="str">
            <v>羅友彥</v>
          </cell>
          <cell r="J13261">
            <v>45799</v>
          </cell>
          <cell r="K13261">
            <v>0.5</v>
          </cell>
        </row>
        <row r="13262">
          <cell r="C13262" t="str">
            <v>羅友彥</v>
          </cell>
          <cell r="J13262">
            <v>45799</v>
          </cell>
          <cell r="K13262">
            <v>1</v>
          </cell>
        </row>
        <row r="13263">
          <cell r="C13263" t="str">
            <v>羅友彥</v>
          </cell>
          <cell r="J13263">
            <v>45799</v>
          </cell>
          <cell r="K13263">
            <v>5</v>
          </cell>
        </row>
        <row r="13264">
          <cell r="C13264" t="str">
            <v>羅友彥</v>
          </cell>
          <cell r="F13264" t="str">
            <v>E250101I1</v>
          </cell>
          <cell r="J13264">
            <v>45799</v>
          </cell>
          <cell r="K13264">
            <v>1.5</v>
          </cell>
        </row>
        <row r="13265">
          <cell r="C13265" t="str">
            <v>羅友彥</v>
          </cell>
          <cell r="J13265">
            <v>45800</v>
          </cell>
          <cell r="K13265">
            <v>4</v>
          </cell>
        </row>
        <row r="13266">
          <cell r="C13266" t="str">
            <v>羅友彥</v>
          </cell>
          <cell r="J13266">
            <v>45800</v>
          </cell>
          <cell r="K13266">
            <v>2</v>
          </cell>
        </row>
        <row r="13267">
          <cell r="C13267" t="str">
            <v>羅友彥</v>
          </cell>
          <cell r="F13267" t="str">
            <v>E250101I1</v>
          </cell>
          <cell r="J13267">
            <v>45800</v>
          </cell>
          <cell r="K13267">
            <v>1</v>
          </cell>
        </row>
        <row r="13268">
          <cell r="C13268" t="str">
            <v>羅友彥</v>
          </cell>
          <cell r="F13268" t="str">
            <v>E250101I1</v>
          </cell>
          <cell r="J13268">
            <v>45800</v>
          </cell>
          <cell r="K13268">
            <v>1</v>
          </cell>
        </row>
        <row r="13269">
          <cell r="C13269" t="str">
            <v>羅友彥</v>
          </cell>
          <cell r="J13269">
            <v>45803</v>
          </cell>
          <cell r="K13269">
            <v>1</v>
          </cell>
        </row>
        <row r="13270">
          <cell r="C13270" t="str">
            <v>羅友彥</v>
          </cell>
          <cell r="J13270">
            <v>45803</v>
          </cell>
          <cell r="K13270">
            <v>4</v>
          </cell>
        </row>
        <row r="13271">
          <cell r="C13271" t="str">
            <v>羅友彥</v>
          </cell>
          <cell r="J13271">
            <v>45803</v>
          </cell>
          <cell r="K13271">
            <v>0.5</v>
          </cell>
        </row>
        <row r="13272">
          <cell r="C13272" t="str">
            <v>羅友彥</v>
          </cell>
          <cell r="J13272">
            <v>45803</v>
          </cell>
          <cell r="K13272">
            <v>2</v>
          </cell>
        </row>
        <row r="13273">
          <cell r="C13273" t="str">
            <v>羅友彥</v>
          </cell>
          <cell r="F13273" t="str">
            <v>E250101I1</v>
          </cell>
          <cell r="J13273">
            <v>45803</v>
          </cell>
          <cell r="K13273">
            <v>0.5</v>
          </cell>
        </row>
        <row r="13274">
          <cell r="C13274" t="str">
            <v>羅友彥</v>
          </cell>
          <cell r="J13274">
            <v>45804</v>
          </cell>
          <cell r="K13274">
            <v>2</v>
          </cell>
        </row>
        <row r="13275">
          <cell r="C13275" t="str">
            <v>羅友彥</v>
          </cell>
          <cell r="J13275">
            <v>45804</v>
          </cell>
          <cell r="K13275">
            <v>0.5</v>
          </cell>
        </row>
        <row r="13276">
          <cell r="C13276" t="str">
            <v>羅友彥</v>
          </cell>
          <cell r="J13276">
            <v>45804</v>
          </cell>
          <cell r="K13276">
            <v>1</v>
          </cell>
        </row>
        <row r="13277">
          <cell r="C13277" t="str">
            <v>羅友彥</v>
          </cell>
          <cell r="F13277" t="str">
            <v>E250101I1</v>
          </cell>
          <cell r="J13277">
            <v>45804</v>
          </cell>
          <cell r="K13277">
            <v>1.5</v>
          </cell>
        </row>
        <row r="13278">
          <cell r="C13278" t="str">
            <v>羅友彥</v>
          </cell>
          <cell r="F13278" t="str">
            <v>E250101I1</v>
          </cell>
          <cell r="J13278">
            <v>45804</v>
          </cell>
          <cell r="K13278">
            <v>3</v>
          </cell>
        </row>
        <row r="13279">
          <cell r="C13279" t="str">
            <v>羅友彥</v>
          </cell>
          <cell r="J13279">
            <v>45805</v>
          </cell>
          <cell r="K13279">
            <v>1</v>
          </cell>
        </row>
        <row r="13280">
          <cell r="C13280" t="str">
            <v>羅友彥</v>
          </cell>
          <cell r="J13280">
            <v>45805</v>
          </cell>
          <cell r="K13280">
            <v>6</v>
          </cell>
        </row>
        <row r="13281">
          <cell r="C13281" t="str">
            <v>羅友彥</v>
          </cell>
          <cell r="F13281" t="str">
            <v>E250101I1</v>
          </cell>
          <cell r="J13281">
            <v>45805</v>
          </cell>
          <cell r="K13281">
            <v>1</v>
          </cell>
        </row>
        <row r="13282">
          <cell r="C13282" t="str">
            <v>羅友彥</v>
          </cell>
          <cell r="J13282">
            <v>45806</v>
          </cell>
          <cell r="K13282">
            <v>2</v>
          </cell>
        </row>
        <row r="13283">
          <cell r="C13283" t="str">
            <v>羅友彥</v>
          </cell>
          <cell r="J13283">
            <v>45806</v>
          </cell>
          <cell r="K13283">
            <v>4</v>
          </cell>
        </row>
        <row r="13284">
          <cell r="C13284" t="str">
            <v>羅友彥</v>
          </cell>
          <cell r="F13284" t="str">
            <v>E250101I1</v>
          </cell>
          <cell r="J13284">
            <v>45806</v>
          </cell>
          <cell r="K13284">
            <v>2</v>
          </cell>
        </row>
        <row r="13285">
          <cell r="C13285" t="str">
            <v>羅友彥</v>
          </cell>
          <cell r="J13285">
            <v>45810</v>
          </cell>
          <cell r="K13285">
            <v>8</v>
          </cell>
        </row>
        <row r="13286">
          <cell r="C13286" t="str">
            <v>羅友彥</v>
          </cell>
          <cell r="J13286">
            <v>45811</v>
          </cell>
          <cell r="K13286">
            <v>1</v>
          </cell>
        </row>
        <row r="13287">
          <cell r="C13287" t="str">
            <v>羅友彥</v>
          </cell>
          <cell r="J13287">
            <v>45811</v>
          </cell>
          <cell r="K13287">
            <v>2</v>
          </cell>
        </row>
        <row r="13288">
          <cell r="C13288" t="str">
            <v>羅友彥</v>
          </cell>
          <cell r="F13288" t="str">
            <v>E250101I1</v>
          </cell>
          <cell r="J13288">
            <v>45811</v>
          </cell>
          <cell r="K13288">
            <v>5</v>
          </cell>
        </row>
        <row r="13289">
          <cell r="C13289" t="str">
            <v>羅友彥</v>
          </cell>
          <cell r="J13289">
            <v>45812</v>
          </cell>
          <cell r="K13289">
            <v>4</v>
          </cell>
        </row>
        <row r="13290">
          <cell r="C13290" t="str">
            <v>羅友彥</v>
          </cell>
          <cell r="J13290">
            <v>45812</v>
          </cell>
          <cell r="K13290">
            <v>2</v>
          </cell>
        </row>
        <row r="13291">
          <cell r="C13291" t="str">
            <v>羅友彥</v>
          </cell>
          <cell r="F13291" t="str">
            <v>E250101I1</v>
          </cell>
          <cell r="J13291">
            <v>45812</v>
          </cell>
          <cell r="K13291">
            <v>2</v>
          </cell>
        </row>
        <row r="13292">
          <cell r="C13292" t="str">
            <v>羅友彥</v>
          </cell>
          <cell r="J13292">
            <v>45813</v>
          </cell>
          <cell r="K13292">
            <v>1.5</v>
          </cell>
        </row>
        <row r="13293">
          <cell r="C13293" t="str">
            <v>羅友彥</v>
          </cell>
          <cell r="J13293">
            <v>45813</v>
          </cell>
          <cell r="K13293">
            <v>1</v>
          </cell>
        </row>
        <row r="13294">
          <cell r="C13294" t="str">
            <v>羅友彥</v>
          </cell>
          <cell r="J13294">
            <v>45813</v>
          </cell>
          <cell r="K13294">
            <v>4</v>
          </cell>
        </row>
        <row r="13295">
          <cell r="C13295" t="str">
            <v>羅友彥</v>
          </cell>
          <cell r="J13295">
            <v>45813</v>
          </cell>
          <cell r="K13295">
            <v>1</v>
          </cell>
        </row>
        <row r="13296">
          <cell r="C13296" t="str">
            <v>羅友彥</v>
          </cell>
          <cell r="F13296" t="str">
            <v>E250101I1</v>
          </cell>
          <cell r="J13296">
            <v>45813</v>
          </cell>
          <cell r="K13296">
            <v>0.5</v>
          </cell>
        </row>
        <row r="13297">
          <cell r="C13297" t="str">
            <v>羅友彥</v>
          </cell>
          <cell r="J13297">
            <v>45814</v>
          </cell>
          <cell r="K13297">
            <v>8</v>
          </cell>
        </row>
        <row r="13298">
          <cell r="C13298" t="str">
            <v>羅友彥</v>
          </cell>
          <cell r="J13298">
            <v>45817</v>
          </cell>
          <cell r="K13298">
            <v>2</v>
          </cell>
        </row>
        <row r="13299">
          <cell r="C13299" t="str">
            <v>羅友彥</v>
          </cell>
          <cell r="J13299">
            <v>45817</v>
          </cell>
          <cell r="K13299">
            <v>5</v>
          </cell>
        </row>
        <row r="13300">
          <cell r="C13300" t="str">
            <v>羅友彥</v>
          </cell>
          <cell r="F13300" t="str">
            <v>E250101I1</v>
          </cell>
          <cell r="J13300">
            <v>45817</v>
          </cell>
          <cell r="K13300">
            <v>1</v>
          </cell>
        </row>
        <row r="13301">
          <cell r="C13301" t="str">
            <v>羅友彥</v>
          </cell>
          <cell r="J13301">
            <v>45818</v>
          </cell>
          <cell r="K13301">
            <v>7</v>
          </cell>
        </row>
        <row r="13302">
          <cell r="C13302" t="str">
            <v>羅友彥</v>
          </cell>
          <cell r="J13302">
            <v>45818</v>
          </cell>
          <cell r="K13302">
            <v>1</v>
          </cell>
        </row>
        <row r="13303">
          <cell r="C13303" t="str">
            <v>羅友彥</v>
          </cell>
          <cell r="J13303">
            <v>45819</v>
          </cell>
          <cell r="K13303">
            <v>3</v>
          </cell>
        </row>
        <row r="13304">
          <cell r="C13304" t="str">
            <v>羅友彥</v>
          </cell>
          <cell r="J13304">
            <v>45819</v>
          </cell>
          <cell r="K13304">
            <v>4</v>
          </cell>
        </row>
        <row r="13305">
          <cell r="C13305" t="str">
            <v>羅友彥</v>
          </cell>
          <cell r="J13305">
            <v>45819</v>
          </cell>
          <cell r="K13305">
            <v>1</v>
          </cell>
        </row>
        <row r="13306">
          <cell r="C13306" t="str">
            <v>羅友彥</v>
          </cell>
          <cell r="J13306">
            <v>45820</v>
          </cell>
          <cell r="K13306">
            <v>3.5</v>
          </cell>
        </row>
        <row r="13307">
          <cell r="C13307" t="str">
            <v>羅友彥</v>
          </cell>
          <cell r="J13307">
            <v>45820</v>
          </cell>
          <cell r="K13307">
            <v>4</v>
          </cell>
        </row>
        <row r="13308">
          <cell r="C13308" t="str">
            <v>羅友彥</v>
          </cell>
          <cell r="F13308" t="str">
            <v>E250101I1</v>
          </cell>
          <cell r="J13308">
            <v>45820</v>
          </cell>
          <cell r="K13308">
            <v>0.5</v>
          </cell>
        </row>
        <row r="13309">
          <cell r="C13309" t="str">
            <v>羅友彥</v>
          </cell>
          <cell r="J13309">
            <v>45821</v>
          </cell>
          <cell r="K13309">
            <v>4</v>
          </cell>
        </row>
        <row r="13310">
          <cell r="C13310" t="str">
            <v>羅友彥</v>
          </cell>
          <cell r="J13310">
            <v>45821</v>
          </cell>
          <cell r="K13310">
            <v>2</v>
          </cell>
        </row>
        <row r="13311">
          <cell r="C13311" t="str">
            <v>羅友彥</v>
          </cell>
          <cell r="J13311">
            <v>45821</v>
          </cell>
          <cell r="K13311">
            <v>2</v>
          </cell>
        </row>
        <row r="13312">
          <cell r="C13312" t="str">
            <v>羅友彥</v>
          </cell>
          <cell r="J13312">
            <v>45824</v>
          </cell>
          <cell r="K13312">
            <v>7</v>
          </cell>
        </row>
        <row r="13313">
          <cell r="C13313" t="str">
            <v>羅友彥</v>
          </cell>
          <cell r="F13313" t="str">
            <v>E250101I1</v>
          </cell>
          <cell r="J13313">
            <v>45824</v>
          </cell>
          <cell r="K13313">
            <v>1</v>
          </cell>
        </row>
        <row r="13314">
          <cell r="C13314" t="str">
            <v>羅友彥</v>
          </cell>
          <cell r="J13314">
            <v>45825</v>
          </cell>
          <cell r="K13314">
            <v>6</v>
          </cell>
        </row>
        <row r="13315">
          <cell r="C13315" t="str">
            <v>羅友彥</v>
          </cell>
          <cell r="J13315">
            <v>45825</v>
          </cell>
          <cell r="K13315">
            <v>1</v>
          </cell>
        </row>
        <row r="13316">
          <cell r="C13316" t="str">
            <v>羅友彥</v>
          </cell>
          <cell r="F13316" t="str">
            <v>E250101I1</v>
          </cell>
          <cell r="J13316">
            <v>45825</v>
          </cell>
          <cell r="K13316">
            <v>1</v>
          </cell>
        </row>
        <row r="13317">
          <cell r="C13317" t="str">
            <v>羅友彥</v>
          </cell>
          <cell r="J13317">
            <v>45826</v>
          </cell>
          <cell r="K13317">
            <v>8</v>
          </cell>
        </row>
        <row r="13318">
          <cell r="C13318" t="str">
            <v>羅友彥</v>
          </cell>
          <cell r="J13318">
            <v>45827</v>
          </cell>
          <cell r="K13318">
            <v>7</v>
          </cell>
        </row>
        <row r="13319">
          <cell r="C13319" t="str">
            <v>羅友彥</v>
          </cell>
          <cell r="J13319">
            <v>45827</v>
          </cell>
          <cell r="K13319">
            <v>1</v>
          </cell>
        </row>
        <row r="13320">
          <cell r="C13320" t="str">
            <v>羅友彥</v>
          </cell>
          <cell r="J13320">
            <v>45828</v>
          </cell>
          <cell r="K13320">
            <v>7.5</v>
          </cell>
        </row>
        <row r="13321">
          <cell r="C13321" t="str">
            <v>羅友彥</v>
          </cell>
          <cell r="F13321" t="str">
            <v>E250101I1</v>
          </cell>
          <cell r="J13321">
            <v>45828</v>
          </cell>
          <cell r="K13321">
            <v>0.5</v>
          </cell>
        </row>
        <row r="13322">
          <cell r="C13322" t="str">
            <v>羅友彥</v>
          </cell>
          <cell r="J13322">
            <v>45831</v>
          </cell>
          <cell r="K13322">
            <v>6</v>
          </cell>
        </row>
        <row r="13323">
          <cell r="C13323" t="str">
            <v>羅友彥</v>
          </cell>
          <cell r="F13323" t="str">
            <v>E250101I1</v>
          </cell>
          <cell r="J13323">
            <v>45831</v>
          </cell>
          <cell r="K13323">
            <v>1</v>
          </cell>
        </row>
        <row r="13324">
          <cell r="C13324" t="str">
            <v>羅友彥</v>
          </cell>
          <cell r="J13324">
            <v>45832</v>
          </cell>
          <cell r="K13324">
            <v>8</v>
          </cell>
        </row>
        <row r="13325">
          <cell r="C13325" t="str">
            <v>羅友彥</v>
          </cell>
          <cell r="J13325">
            <v>45833</v>
          </cell>
          <cell r="K13325">
            <v>3.5</v>
          </cell>
        </row>
        <row r="13326">
          <cell r="C13326" t="str">
            <v>羅友彥</v>
          </cell>
          <cell r="J13326">
            <v>45833</v>
          </cell>
          <cell r="K13326">
            <v>4</v>
          </cell>
        </row>
        <row r="13327">
          <cell r="C13327" t="str">
            <v>羅友彥</v>
          </cell>
          <cell r="J13327">
            <v>45833</v>
          </cell>
          <cell r="K13327">
            <v>0.5</v>
          </cell>
        </row>
        <row r="13328">
          <cell r="C13328" t="str">
            <v>羅友彥</v>
          </cell>
          <cell r="J13328">
            <v>45834</v>
          </cell>
          <cell r="K13328">
            <v>1</v>
          </cell>
        </row>
        <row r="13329">
          <cell r="C13329" t="str">
            <v>羅友彥</v>
          </cell>
          <cell r="J13329">
            <v>45834</v>
          </cell>
          <cell r="K13329">
            <v>7</v>
          </cell>
        </row>
        <row r="13330">
          <cell r="C13330" t="str">
            <v>羅友彥</v>
          </cell>
          <cell r="J13330">
            <v>45835</v>
          </cell>
          <cell r="K13330">
            <v>8</v>
          </cell>
        </row>
        <row r="13331">
          <cell r="C13331" t="str">
            <v>羅友彥</v>
          </cell>
          <cell r="J13331">
            <v>45838</v>
          </cell>
          <cell r="K13331">
            <v>6</v>
          </cell>
        </row>
        <row r="13332">
          <cell r="C13332" t="str">
            <v>羅友彥</v>
          </cell>
          <cell r="F13332" t="str">
            <v>E250101I1</v>
          </cell>
          <cell r="J13332">
            <v>45838</v>
          </cell>
          <cell r="K13332">
            <v>2</v>
          </cell>
        </row>
        <row r="13333">
          <cell r="C13333" t="str">
            <v>羅友彥</v>
          </cell>
          <cell r="J13333">
            <v>45839</v>
          </cell>
          <cell r="K13333">
            <v>5</v>
          </cell>
        </row>
        <row r="13334">
          <cell r="C13334" t="str">
            <v>羅友彥</v>
          </cell>
          <cell r="F13334" t="str">
            <v>E250101I1</v>
          </cell>
          <cell r="J13334">
            <v>45839</v>
          </cell>
          <cell r="K13334">
            <v>3</v>
          </cell>
        </row>
        <row r="13335">
          <cell r="C13335" t="str">
            <v>羅友彥</v>
          </cell>
          <cell r="F13335" t="str">
            <v>E250101I1</v>
          </cell>
          <cell r="J13335">
            <v>45840</v>
          </cell>
          <cell r="K13335">
            <v>8</v>
          </cell>
        </row>
        <row r="13336">
          <cell r="C13336" t="str">
            <v>羅友彥</v>
          </cell>
          <cell r="J13336">
            <v>45841</v>
          </cell>
          <cell r="K13336">
            <v>2</v>
          </cell>
        </row>
        <row r="13337">
          <cell r="C13337" t="str">
            <v>羅友彥</v>
          </cell>
          <cell r="J13337">
            <v>45841</v>
          </cell>
          <cell r="K13337">
            <v>1</v>
          </cell>
        </row>
        <row r="13338">
          <cell r="C13338" t="str">
            <v>羅友彥</v>
          </cell>
          <cell r="F13338" t="str">
            <v>E250101I1</v>
          </cell>
          <cell r="J13338">
            <v>45841</v>
          </cell>
          <cell r="K13338">
            <v>5</v>
          </cell>
        </row>
        <row r="13339">
          <cell r="C13339" t="str">
            <v>羅友彥</v>
          </cell>
          <cell r="J13339">
            <v>45842</v>
          </cell>
          <cell r="K13339">
            <v>4</v>
          </cell>
        </row>
        <row r="13340">
          <cell r="C13340" t="str">
            <v>羅友彥</v>
          </cell>
          <cell r="F13340" t="str">
            <v>E250101I1</v>
          </cell>
          <cell r="J13340">
            <v>45842</v>
          </cell>
          <cell r="K13340">
            <v>4</v>
          </cell>
        </row>
        <row r="13341">
          <cell r="C13341" t="str">
            <v>羅友彥</v>
          </cell>
          <cell r="J13341">
            <v>45845</v>
          </cell>
          <cell r="K13341">
            <v>2.5</v>
          </cell>
        </row>
        <row r="13342">
          <cell r="C13342" t="str">
            <v>羅友彥</v>
          </cell>
          <cell r="J13342">
            <v>45845</v>
          </cell>
          <cell r="K13342">
            <v>1.5</v>
          </cell>
        </row>
        <row r="13343">
          <cell r="C13343" t="str">
            <v>羅友彥</v>
          </cell>
          <cell r="F13343" t="str">
            <v>E250101I1</v>
          </cell>
          <cell r="J13343">
            <v>45845</v>
          </cell>
          <cell r="K13343">
            <v>4</v>
          </cell>
        </row>
        <row r="13344">
          <cell r="C13344" t="str">
            <v>羅友彥</v>
          </cell>
          <cell r="J13344">
            <v>45846</v>
          </cell>
          <cell r="K13344">
            <v>2</v>
          </cell>
        </row>
        <row r="13345">
          <cell r="C13345" t="str">
            <v>羅友彥</v>
          </cell>
          <cell r="J13345">
            <v>45846</v>
          </cell>
          <cell r="K13345">
            <v>4</v>
          </cell>
        </row>
        <row r="13346">
          <cell r="C13346" t="str">
            <v>羅友彥</v>
          </cell>
          <cell r="F13346" t="str">
            <v>E250101I1</v>
          </cell>
          <cell r="J13346">
            <v>45846</v>
          </cell>
          <cell r="K13346">
            <v>2</v>
          </cell>
        </row>
        <row r="13347">
          <cell r="C13347" t="str">
            <v>羅友彥</v>
          </cell>
          <cell r="J13347">
            <v>45847</v>
          </cell>
          <cell r="K13347">
            <v>8</v>
          </cell>
        </row>
        <row r="13348">
          <cell r="C13348" t="str">
            <v>羅友彥</v>
          </cell>
          <cell r="J13348">
            <v>45848</v>
          </cell>
          <cell r="K13348">
            <v>3</v>
          </cell>
        </row>
        <row r="13349">
          <cell r="C13349" t="str">
            <v>羅友彥</v>
          </cell>
          <cell r="J13349">
            <v>45848</v>
          </cell>
          <cell r="K13349">
            <v>1</v>
          </cell>
        </row>
        <row r="13350">
          <cell r="C13350" t="str">
            <v>羅友彥</v>
          </cell>
          <cell r="J13350">
            <v>45848</v>
          </cell>
          <cell r="K13350">
            <v>2</v>
          </cell>
        </row>
        <row r="13351">
          <cell r="C13351" t="str">
            <v>羅友彥</v>
          </cell>
          <cell r="F13351" t="str">
            <v>E250101I1</v>
          </cell>
          <cell r="J13351">
            <v>45848</v>
          </cell>
          <cell r="K13351">
            <v>2</v>
          </cell>
        </row>
        <row r="13352">
          <cell r="C13352" t="str">
            <v>羅友彥</v>
          </cell>
          <cell r="J13352">
            <v>45849</v>
          </cell>
          <cell r="K13352">
            <v>4</v>
          </cell>
        </row>
        <row r="13353">
          <cell r="C13353" t="str">
            <v>羅友彥</v>
          </cell>
          <cell r="J13353">
            <v>45849</v>
          </cell>
          <cell r="K13353">
            <v>4</v>
          </cell>
        </row>
        <row r="13354">
          <cell r="C13354" t="str">
            <v>羅友彥</v>
          </cell>
          <cell r="J13354">
            <v>45852</v>
          </cell>
          <cell r="K13354">
            <v>4</v>
          </cell>
        </row>
        <row r="13355">
          <cell r="C13355" t="str">
            <v>羅友彥</v>
          </cell>
          <cell r="J13355">
            <v>45852</v>
          </cell>
          <cell r="K13355">
            <v>4</v>
          </cell>
        </row>
        <row r="13356">
          <cell r="C13356" t="str">
            <v>羅友彥</v>
          </cell>
          <cell r="J13356">
            <v>45853</v>
          </cell>
          <cell r="K13356">
            <v>6</v>
          </cell>
        </row>
        <row r="13357">
          <cell r="C13357" t="str">
            <v>羅友彥</v>
          </cell>
          <cell r="J13357">
            <v>45853</v>
          </cell>
          <cell r="K13357">
            <v>2</v>
          </cell>
        </row>
        <row r="13358">
          <cell r="C13358" t="str">
            <v>羅友彥</v>
          </cell>
          <cell r="J13358">
            <v>45854</v>
          </cell>
          <cell r="K13358">
            <v>8</v>
          </cell>
        </row>
        <row r="13359">
          <cell r="C13359" t="str">
            <v>羅友彥</v>
          </cell>
          <cell r="J13359">
            <v>45855</v>
          </cell>
          <cell r="K13359">
            <v>7</v>
          </cell>
        </row>
        <row r="13360">
          <cell r="C13360" t="str">
            <v>羅友彥</v>
          </cell>
          <cell r="J13360">
            <v>45855</v>
          </cell>
          <cell r="K13360">
            <v>1</v>
          </cell>
        </row>
        <row r="13361">
          <cell r="C13361" t="str">
            <v>羅友彥</v>
          </cell>
          <cell r="J13361">
            <v>45856</v>
          </cell>
          <cell r="K13361">
            <v>7</v>
          </cell>
        </row>
        <row r="13362">
          <cell r="C13362" t="str">
            <v>羅友彥</v>
          </cell>
          <cell r="J13362">
            <v>45856</v>
          </cell>
          <cell r="K13362">
            <v>1</v>
          </cell>
        </row>
        <row r="13363">
          <cell r="C13363" t="str">
            <v>羅友彥</v>
          </cell>
          <cell r="J13363">
            <v>45859</v>
          </cell>
          <cell r="K13363">
            <v>6</v>
          </cell>
        </row>
        <row r="13364">
          <cell r="C13364" t="str">
            <v>羅友彥</v>
          </cell>
          <cell r="J13364">
            <v>45859</v>
          </cell>
          <cell r="K13364">
            <v>2</v>
          </cell>
        </row>
        <row r="13365">
          <cell r="C13365" t="str">
            <v>羅友彥</v>
          </cell>
          <cell r="J13365">
            <v>45860</v>
          </cell>
          <cell r="K13365">
            <v>4</v>
          </cell>
        </row>
        <row r="13366">
          <cell r="C13366" t="str">
            <v>羅友彥</v>
          </cell>
          <cell r="J13366">
            <v>45860</v>
          </cell>
          <cell r="K13366">
            <v>4</v>
          </cell>
        </row>
        <row r="13367">
          <cell r="C13367" t="str">
            <v>羅友彥</v>
          </cell>
          <cell r="J13367">
            <v>45861</v>
          </cell>
          <cell r="K13367">
            <v>8</v>
          </cell>
        </row>
        <row r="13368">
          <cell r="C13368" t="str">
            <v>羅友彥</v>
          </cell>
          <cell r="J13368">
            <v>45862</v>
          </cell>
          <cell r="K13368">
            <v>7</v>
          </cell>
        </row>
        <row r="13369">
          <cell r="C13369" t="str">
            <v>羅友彥</v>
          </cell>
          <cell r="J13369">
            <v>45862</v>
          </cell>
          <cell r="K13369">
            <v>1</v>
          </cell>
        </row>
        <row r="13370">
          <cell r="C13370" t="str">
            <v>羅友彥</v>
          </cell>
          <cell r="J13370">
            <v>45863</v>
          </cell>
          <cell r="K13370">
            <v>2</v>
          </cell>
        </row>
        <row r="13371">
          <cell r="C13371" t="str">
            <v>羅友彥</v>
          </cell>
          <cell r="J13371">
            <v>45863</v>
          </cell>
          <cell r="K13371">
            <v>6</v>
          </cell>
        </row>
        <row r="13372">
          <cell r="C13372" t="str">
            <v>羅友彥</v>
          </cell>
          <cell r="J13372">
            <v>45866</v>
          </cell>
          <cell r="K13372">
            <v>8</v>
          </cell>
        </row>
        <row r="13373">
          <cell r="C13373" t="str">
            <v>羅友彥</v>
          </cell>
          <cell r="J13373">
            <v>45867</v>
          </cell>
          <cell r="K13373">
            <v>8</v>
          </cell>
        </row>
        <row r="13374">
          <cell r="C13374" t="str">
            <v>羅友彥</v>
          </cell>
          <cell r="J13374">
            <v>45868</v>
          </cell>
          <cell r="K13374">
            <v>8</v>
          </cell>
        </row>
        <row r="13375">
          <cell r="C13375" t="str">
            <v>羅友彥</v>
          </cell>
          <cell r="J13375">
            <v>45869</v>
          </cell>
          <cell r="K13375">
            <v>7</v>
          </cell>
        </row>
        <row r="13376">
          <cell r="C13376" t="str">
            <v>羅友彥</v>
          </cell>
          <cell r="J13376">
            <v>45869</v>
          </cell>
          <cell r="K13376">
            <v>1</v>
          </cell>
        </row>
        <row r="13377">
          <cell r="C13377" t="str">
            <v>羅友彥</v>
          </cell>
          <cell r="J13377">
            <v>45870</v>
          </cell>
          <cell r="K13377">
            <v>1</v>
          </cell>
        </row>
        <row r="13378">
          <cell r="C13378" t="str">
            <v>羅友彥</v>
          </cell>
          <cell r="J13378">
            <v>45870</v>
          </cell>
          <cell r="K13378">
            <v>7</v>
          </cell>
        </row>
        <row r="13379">
          <cell r="C13379" t="str">
            <v>羅友彥</v>
          </cell>
          <cell r="J13379">
            <v>45873</v>
          </cell>
          <cell r="K13379">
            <v>8</v>
          </cell>
        </row>
        <row r="13380">
          <cell r="C13380" t="str">
            <v>羅友彥</v>
          </cell>
          <cell r="J13380">
            <v>45874</v>
          </cell>
          <cell r="K13380">
            <v>8</v>
          </cell>
        </row>
        <row r="13381">
          <cell r="C13381" t="str">
            <v>羅友彥</v>
          </cell>
          <cell r="J13381">
            <v>45875</v>
          </cell>
          <cell r="K13381">
            <v>8</v>
          </cell>
        </row>
        <row r="13382">
          <cell r="C13382" t="str">
            <v>羅友彥</v>
          </cell>
          <cell r="J13382">
            <v>45876</v>
          </cell>
          <cell r="K13382">
            <v>1</v>
          </cell>
        </row>
        <row r="13383">
          <cell r="C13383" t="str">
            <v>羅友彥</v>
          </cell>
          <cell r="J13383">
            <v>45876</v>
          </cell>
          <cell r="K13383">
            <v>7</v>
          </cell>
        </row>
        <row r="13384">
          <cell r="C13384" t="str">
            <v>羅友彥</v>
          </cell>
          <cell r="J13384">
            <v>45877</v>
          </cell>
          <cell r="K13384">
            <v>8</v>
          </cell>
        </row>
        <row r="13385">
          <cell r="C13385" t="str">
            <v>羅友彥</v>
          </cell>
          <cell r="J13385">
            <v>45880</v>
          </cell>
          <cell r="K13385">
            <v>6</v>
          </cell>
        </row>
        <row r="13386">
          <cell r="C13386" t="str">
            <v>羅友彥</v>
          </cell>
          <cell r="F13386" t="str">
            <v>E250101I1</v>
          </cell>
          <cell r="J13386">
            <v>45880</v>
          </cell>
          <cell r="K13386">
            <v>2</v>
          </cell>
        </row>
        <row r="13387">
          <cell r="C13387" t="str">
            <v>羅友彥</v>
          </cell>
          <cell r="J13387">
            <v>45881</v>
          </cell>
          <cell r="K13387">
            <v>8</v>
          </cell>
        </row>
        <row r="13388">
          <cell r="C13388" t="str">
            <v>羅友彥</v>
          </cell>
          <cell r="J13388">
            <v>45882</v>
          </cell>
          <cell r="K13388">
            <v>2</v>
          </cell>
        </row>
        <row r="13389">
          <cell r="C13389" t="str">
            <v>羅友彥</v>
          </cell>
          <cell r="F13389" t="str">
            <v>E250101I1</v>
          </cell>
          <cell r="J13389">
            <v>45882</v>
          </cell>
          <cell r="K13389">
            <v>6</v>
          </cell>
        </row>
        <row r="13390">
          <cell r="C13390" t="str">
            <v>羅友彥</v>
          </cell>
          <cell r="J13390">
            <v>45883</v>
          </cell>
          <cell r="K13390">
            <v>1</v>
          </cell>
        </row>
        <row r="13391">
          <cell r="C13391" t="str">
            <v>羅友彥</v>
          </cell>
          <cell r="J13391">
            <v>45883</v>
          </cell>
          <cell r="K13391">
            <v>2</v>
          </cell>
        </row>
        <row r="13392">
          <cell r="C13392" t="str">
            <v>羅友彥</v>
          </cell>
          <cell r="F13392" t="str">
            <v>E250101I1</v>
          </cell>
          <cell r="J13392">
            <v>45883</v>
          </cell>
          <cell r="K13392">
            <v>5</v>
          </cell>
        </row>
        <row r="13393">
          <cell r="C13393" t="str">
            <v>羅友彥</v>
          </cell>
          <cell r="J13393">
            <v>45884</v>
          </cell>
          <cell r="K13393">
            <v>2.5</v>
          </cell>
        </row>
        <row r="13394">
          <cell r="C13394" t="str">
            <v>羅友彥</v>
          </cell>
          <cell r="F13394" t="str">
            <v>E250101I1</v>
          </cell>
          <cell r="J13394">
            <v>45884</v>
          </cell>
          <cell r="K13394">
            <v>5.5</v>
          </cell>
        </row>
        <row r="13395">
          <cell r="C13395" t="str">
            <v>羅友彥</v>
          </cell>
          <cell r="J13395">
            <v>45887</v>
          </cell>
          <cell r="K13395">
            <v>8</v>
          </cell>
        </row>
        <row r="13396">
          <cell r="C13396" t="str">
            <v>羅友彥</v>
          </cell>
          <cell r="J13396">
            <v>45888</v>
          </cell>
          <cell r="K13396">
            <v>8</v>
          </cell>
        </row>
        <row r="13397">
          <cell r="C13397" t="str">
            <v>羅友彥</v>
          </cell>
          <cell r="J13397">
            <v>45889</v>
          </cell>
          <cell r="K13397">
            <v>4</v>
          </cell>
        </row>
        <row r="13398">
          <cell r="C13398" t="str">
            <v>羅友彥</v>
          </cell>
          <cell r="J13398">
            <v>45889</v>
          </cell>
          <cell r="K13398">
            <v>4</v>
          </cell>
        </row>
        <row r="13399">
          <cell r="C13399" t="str">
            <v>羅友彥</v>
          </cell>
          <cell r="J13399">
            <v>45890</v>
          </cell>
          <cell r="K13399">
            <v>7</v>
          </cell>
        </row>
        <row r="13400">
          <cell r="C13400" t="str">
            <v>羅友彥</v>
          </cell>
          <cell r="J13400">
            <v>45890</v>
          </cell>
          <cell r="K13400">
            <v>1</v>
          </cell>
        </row>
        <row r="13401">
          <cell r="C13401" t="str">
            <v>羅友彥</v>
          </cell>
          <cell r="J13401">
            <v>45891</v>
          </cell>
          <cell r="K13401">
            <v>8</v>
          </cell>
        </row>
        <row r="13402">
          <cell r="C13402" t="str">
            <v>羅友彥</v>
          </cell>
          <cell r="J13402">
            <v>45894</v>
          </cell>
          <cell r="K13402">
            <v>7</v>
          </cell>
        </row>
        <row r="13403">
          <cell r="C13403" t="str">
            <v>羅友彥</v>
          </cell>
          <cell r="F13403" t="str">
            <v>E250101I1</v>
          </cell>
          <cell r="J13403">
            <v>45894</v>
          </cell>
          <cell r="K13403">
            <v>1</v>
          </cell>
        </row>
        <row r="13404">
          <cell r="C13404" t="str">
            <v>羅友彥</v>
          </cell>
          <cell r="J13404">
            <v>45895</v>
          </cell>
          <cell r="K13404">
            <v>4</v>
          </cell>
        </row>
        <row r="13405">
          <cell r="C13405" t="str">
            <v>羅友彥</v>
          </cell>
          <cell r="F13405" t="str">
            <v>E250101I1</v>
          </cell>
          <cell r="J13405">
            <v>45895</v>
          </cell>
          <cell r="K13405">
            <v>4</v>
          </cell>
        </row>
        <row r="13406">
          <cell r="C13406" t="str">
            <v>羅友彥</v>
          </cell>
          <cell r="J13406">
            <v>45896</v>
          </cell>
          <cell r="K13406">
            <v>7</v>
          </cell>
        </row>
        <row r="13407">
          <cell r="C13407" t="str">
            <v>羅友彥</v>
          </cell>
          <cell r="F13407" t="str">
            <v>E250101I1</v>
          </cell>
          <cell r="J13407">
            <v>45896</v>
          </cell>
          <cell r="K13407">
            <v>1</v>
          </cell>
        </row>
        <row r="13408">
          <cell r="C13408" t="str">
            <v>羅友彥</v>
          </cell>
          <cell r="J13408">
            <v>45897</v>
          </cell>
          <cell r="K13408">
            <v>1</v>
          </cell>
        </row>
        <row r="13409">
          <cell r="C13409" t="str">
            <v>羅友彥</v>
          </cell>
          <cell r="J13409">
            <v>45897</v>
          </cell>
          <cell r="K13409">
            <v>7</v>
          </cell>
        </row>
        <row r="13410">
          <cell r="C13410" t="str">
            <v>羅友彥</v>
          </cell>
          <cell r="J13410">
            <v>45898</v>
          </cell>
          <cell r="K13410">
            <v>8</v>
          </cell>
        </row>
        <row r="13411">
          <cell r="C13411" t="str">
            <v>羅友彥</v>
          </cell>
          <cell r="J13411">
            <v>45901</v>
          </cell>
          <cell r="K13411">
            <v>8</v>
          </cell>
        </row>
        <row r="13412">
          <cell r="C13412" t="str">
            <v>羅友彥</v>
          </cell>
          <cell r="J13412">
            <v>45902</v>
          </cell>
          <cell r="K13412">
            <v>8</v>
          </cell>
        </row>
        <row r="13413">
          <cell r="C13413" t="str">
            <v>羅友彥</v>
          </cell>
          <cell r="J13413">
            <v>45903</v>
          </cell>
          <cell r="K13413">
            <v>6</v>
          </cell>
        </row>
        <row r="13414">
          <cell r="C13414" t="str">
            <v>羅友彥</v>
          </cell>
          <cell r="J13414">
            <v>45903</v>
          </cell>
          <cell r="K13414">
            <v>2</v>
          </cell>
        </row>
        <row r="13415">
          <cell r="C13415" t="str">
            <v>羅友彥</v>
          </cell>
          <cell r="J13415">
            <v>45904</v>
          </cell>
          <cell r="K13415">
            <v>5</v>
          </cell>
        </row>
        <row r="13416">
          <cell r="C13416" t="str">
            <v>羅友彥</v>
          </cell>
          <cell r="J13416">
            <v>45904</v>
          </cell>
          <cell r="K13416">
            <v>1</v>
          </cell>
        </row>
        <row r="13417">
          <cell r="C13417" t="str">
            <v>羅友彥</v>
          </cell>
          <cell r="F13417" t="str">
            <v>E250101I1</v>
          </cell>
          <cell r="J13417">
            <v>45904</v>
          </cell>
          <cell r="K13417">
            <v>2</v>
          </cell>
        </row>
        <row r="13418">
          <cell r="C13418" t="str">
            <v>羅友彥</v>
          </cell>
          <cell r="J13418">
            <v>45905</v>
          </cell>
          <cell r="K13418">
            <v>0.5</v>
          </cell>
        </row>
        <row r="13419">
          <cell r="C13419" t="str">
            <v>羅友彥</v>
          </cell>
          <cell r="J13419">
            <v>45905</v>
          </cell>
          <cell r="K13419">
            <v>7.5</v>
          </cell>
        </row>
        <row r="13420">
          <cell r="C13420" t="str">
            <v>羅友彥</v>
          </cell>
          <cell r="J13420">
            <v>45908</v>
          </cell>
          <cell r="K13420">
            <v>8</v>
          </cell>
        </row>
        <row r="13421">
          <cell r="C13421" t="str">
            <v>羅友彥</v>
          </cell>
          <cell r="J13421">
            <v>45909</v>
          </cell>
          <cell r="K13421">
            <v>4</v>
          </cell>
        </row>
        <row r="13422">
          <cell r="C13422" t="str">
            <v>羅友彥</v>
          </cell>
          <cell r="F13422" t="str">
            <v>E250101I1</v>
          </cell>
          <cell r="J13422">
            <v>45909</v>
          </cell>
          <cell r="K13422">
            <v>4</v>
          </cell>
        </row>
        <row r="13423">
          <cell r="C13423" t="str">
            <v>羅友彥</v>
          </cell>
          <cell r="J13423">
            <v>45910</v>
          </cell>
          <cell r="K13423">
            <v>8</v>
          </cell>
        </row>
        <row r="13424">
          <cell r="C13424" t="str">
            <v>羅友彥</v>
          </cell>
          <cell r="J13424">
            <v>45911</v>
          </cell>
          <cell r="K13424">
            <v>1</v>
          </cell>
        </row>
        <row r="13425">
          <cell r="C13425" t="str">
            <v>羅友彥</v>
          </cell>
          <cell r="J13425">
            <v>45911</v>
          </cell>
          <cell r="K13425">
            <v>7</v>
          </cell>
        </row>
        <row r="13426">
          <cell r="C13426" t="str">
            <v>羅友彥</v>
          </cell>
          <cell r="J13426">
            <v>45912</v>
          </cell>
          <cell r="K13426">
            <v>8</v>
          </cell>
        </row>
        <row r="13427">
          <cell r="C13427" t="str">
            <v>羅友彥</v>
          </cell>
          <cell r="J13427">
            <v>45915</v>
          </cell>
          <cell r="K13427">
            <v>8</v>
          </cell>
        </row>
        <row r="13428">
          <cell r="C13428" t="str">
            <v>羅友彥</v>
          </cell>
          <cell r="J13428">
            <v>45916</v>
          </cell>
          <cell r="K13428">
            <v>6</v>
          </cell>
        </row>
        <row r="13429">
          <cell r="C13429" t="str">
            <v>羅友彥</v>
          </cell>
          <cell r="F13429" t="str">
            <v>E250101I1</v>
          </cell>
          <cell r="J13429">
            <v>45916</v>
          </cell>
          <cell r="K13429">
            <v>2</v>
          </cell>
        </row>
        <row r="13430">
          <cell r="C13430" t="str">
            <v>羅友彥</v>
          </cell>
          <cell r="J13430">
            <v>45917</v>
          </cell>
          <cell r="K13430">
            <v>8</v>
          </cell>
        </row>
        <row r="13431">
          <cell r="C13431" t="str">
            <v>羅友彥</v>
          </cell>
          <cell r="J13431">
            <v>45918</v>
          </cell>
          <cell r="K13431">
            <v>1</v>
          </cell>
        </row>
        <row r="13432">
          <cell r="C13432" t="str">
            <v>羅友彥</v>
          </cell>
          <cell r="J13432">
            <v>45918</v>
          </cell>
          <cell r="K13432">
            <v>7</v>
          </cell>
        </row>
        <row r="13433">
          <cell r="C13433" t="str">
            <v>羅友彥</v>
          </cell>
          <cell r="J13433">
            <v>45919</v>
          </cell>
          <cell r="K13433">
            <v>7</v>
          </cell>
        </row>
        <row r="13434">
          <cell r="C13434" t="str">
            <v>羅友彥</v>
          </cell>
          <cell r="F13434" t="str">
            <v>E250101I1</v>
          </cell>
          <cell r="J13434">
            <v>45919</v>
          </cell>
          <cell r="K13434">
            <v>1</v>
          </cell>
        </row>
        <row r="13435">
          <cell r="C13435" t="str">
            <v>羅友彥</v>
          </cell>
          <cell r="J13435">
            <v>45922</v>
          </cell>
          <cell r="K13435">
            <v>0.5</v>
          </cell>
        </row>
        <row r="13436">
          <cell r="C13436" t="str">
            <v>羅友彥</v>
          </cell>
          <cell r="J13436">
            <v>45922</v>
          </cell>
          <cell r="K13436">
            <v>7.5</v>
          </cell>
        </row>
        <row r="13437">
          <cell r="C13437" t="str">
            <v>羅友彥</v>
          </cell>
          <cell r="J13437">
            <v>45923</v>
          </cell>
          <cell r="K13437">
            <v>8</v>
          </cell>
        </row>
        <row r="13438">
          <cell r="C13438" t="str">
            <v>羅友彥</v>
          </cell>
          <cell r="J13438">
            <v>45924</v>
          </cell>
          <cell r="K13438">
            <v>4</v>
          </cell>
        </row>
        <row r="13439">
          <cell r="C13439" t="str">
            <v>羅友彥</v>
          </cell>
          <cell r="J13439">
            <v>45924</v>
          </cell>
          <cell r="K13439">
            <v>4</v>
          </cell>
        </row>
        <row r="13440">
          <cell r="C13440" t="str">
            <v>羅友彥</v>
          </cell>
          <cell r="J13440">
            <v>45925</v>
          </cell>
          <cell r="K13440">
            <v>0.5</v>
          </cell>
        </row>
        <row r="13441">
          <cell r="C13441" t="str">
            <v>羅友彥</v>
          </cell>
          <cell r="J13441">
            <v>45925</v>
          </cell>
          <cell r="K13441">
            <v>7.5</v>
          </cell>
        </row>
        <row r="13442">
          <cell r="C13442" t="str">
            <v>羅友彥</v>
          </cell>
          <cell r="J13442">
            <v>45926</v>
          </cell>
          <cell r="K13442">
            <v>4</v>
          </cell>
        </row>
        <row r="13443">
          <cell r="C13443" t="str">
            <v>羅友彥</v>
          </cell>
          <cell r="J13443">
            <v>45926</v>
          </cell>
          <cell r="K13443">
            <v>4</v>
          </cell>
        </row>
        <row r="13444">
          <cell r="C13444" t="str">
            <v>羅友彥</v>
          </cell>
          <cell r="J13444">
            <v>45929</v>
          </cell>
          <cell r="K13444">
            <v>8</v>
          </cell>
        </row>
        <row r="13445">
          <cell r="C13445" t="str">
            <v>羅友彥</v>
          </cell>
          <cell r="J13445">
            <v>45930</v>
          </cell>
          <cell r="K13445">
            <v>8</v>
          </cell>
        </row>
        <row r="13446">
          <cell r="C13446" t="str">
            <v>羅友彥</v>
          </cell>
          <cell r="J13446">
            <v>45931</v>
          </cell>
          <cell r="K13446">
            <v>8</v>
          </cell>
        </row>
        <row r="13447">
          <cell r="C13447" t="str">
            <v>羅友彥</v>
          </cell>
          <cell r="J13447">
            <v>45932</v>
          </cell>
          <cell r="K13447">
            <v>7</v>
          </cell>
        </row>
        <row r="13448">
          <cell r="C13448" t="str">
            <v>羅友彥</v>
          </cell>
          <cell r="J13448">
            <v>45932</v>
          </cell>
          <cell r="K13448">
            <v>1</v>
          </cell>
        </row>
        <row r="13449">
          <cell r="C13449" t="str">
            <v>羅友彥</v>
          </cell>
          <cell r="J13449">
            <v>45933</v>
          </cell>
          <cell r="K13449">
            <v>8</v>
          </cell>
        </row>
        <row r="13450">
          <cell r="C13450" t="str">
            <v>羅友彥</v>
          </cell>
          <cell r="J13450">
            <v>45936</v>
          </cell>
          <cell r="K13450">
            <v>8</v>
          </cell>
        </row>
        <row r="13451">
          <cell r="C13451" t="str">
            <v>羅友彥</v>
          </cell>
          <cell r="J13451">
            <v>45937</v>
          </cell>
          <cell r="K13451">
            <v>8</v>
          </cell>
        </row>
        <row r="13452">
          <cell r="C13452" t="str">
            <v>羅友彥</v>
          </cell>
          <cell r="J13452">
            <v>45938</v>
          </cell>
          <cell r="K13452">
            <v>8</v>
          </cell>
        </row>
        <row r="13453">
          <cell r="C13453" t="str">
            <v>羅友彥</v>
          </cell>
          <cell r="J13453">
            <v>45939</v>
          </cell>
          <cell r="K13453">
            <v>8</v>
          </cell>
        </row>
        <row r="13454">
          <cell r="C13454" t="str">
            <v>羅友彥</v>
          </cell>
          <cell r="J13454">
            <v>45940</v>
          </cell>
          <cell r="K13454">
            <v>8</v>
          </cell>
        </row>
        <row r="13455">
          <cell r="C13455" t="str">
            <v>羅友彥</v>
          </cell>
          <cell r="J13455">
            <v>45943</v>
          </cell>
          <cell r="K13455">
            <v>8</v>
          </cell>
        </row>
        <row r="13456">
          <cell r="C13456" t="str">
            <v>羅友彥</v>
          </cell>
          <cell r="J13456">
            <v>45944</v>
          </cell>
          <cell r="K13456">
            <v>2</v>
          </cell>
        </row>
        <row r="13457">
          <cell r="C13457" t="str">
            <v>羅友彥</v>
          </cell>
          <cell r="F13457" t="str">
            <v>E250101I1</v>
          </cell>
          <cell r="J13457">
            <v>45944</v>
          </cell>
          <cell r="K13457">
            <v>6</v>
          </cell>
        </row>
        <row r="13458">
          <cell r="C13458" t="str">
            <v>羅友彥</v>
          </cell>
          <cell r="J13458">
            <v>45945</v>
          </cell>
          <cell r="K13458">
            <v>8</v>
          </cell>
        </row>
        <row r="13459">
          <cell r="C13459" t="str">
            <v>羅友彥</v>
          </cell>
          <cell r="J13459">
            <v>45946</v>
          </cell>
          <cell r="K13459">
            <v>6</v>
          </cell>
        </row>
        <row r="13460">
          <cell r="C13460" t="str">
            <v>羅友彥</v>
          </cell>
          <cell r="F13460" t="str">
            <v>E251001I1</v>
          </cell>
          <cell r="J13460">
            <v>45946</v>
          </cell>
          <cell r="K13460">
            <v>2</v>
          </cell>
        </row>
        <row r="13461">
          <cell r="C13461" t="str">
            <v>羅友彥</v>
          </cell>
          <cell r="F13461" t="str">
            <v>E250101I1</v>
          </cell>
          <cell r="J13461">
            <v>45947</v>
          </cell>
          <cell r="K13461">
            <v>3</v>
          </cell>
        </row>
        <row r="13462">
          <cell r="C13462" t="str">
            <v>羅友彥</v>
          </cell>
          <cell r="F13462" t="str">
            <v>E251001I1</v>
          </cell>
          <cell r="J13462">
            <v>45947</v>
          </cell>
          <cell r="K13462">
            <v>4</v>
          </cell>
        </row>
        <row r="13463">
          <cell r="C13463" t="str">
            <v>羅友彥</v>
          </cell>
          <cell r="F13463" t="str">
            <v>E251001I1</v>
          </cell>
          <cell r="J13463">
            <v>45947</v>
          </cell>
          <cell r="K13463">
            <v>1</v>
          </cell>
        </row>
        <row r="13464">
          <cell r="C13464" t="str">
            <v>羅友彥</v>
          </cell>
          <cell r="J13464">
            <v>45950</v>
          </cell>
          <cell r="K13464">
            <v>7</v>
          </cell>
        </row>
        <row r="13465">
          <cell r="C13465" t="str">
            <v>羅友彥</v>
          </cell>
          <cell r="F13465" t="str">
            <v>E251001I1</v>
          </cell>
          <cell r="J13465">
            <v>45950</v>
          </cell>
          <cell r="K13465">
            <v>1</v>
          </cell>
        </row>
        <row r="13466">
          <cell r="C13466" t="str">
            <v>羅友彥</v>
          </cell>
          <cell r="J13466">
            <v>45951</v>
          </cell>
          <cell r="K13466">
            <v>7</v>
          </cell>
        </row>
        <row r="13467">
          <cell r="C13467" t="str">
            <v>羅友彥</v>
          </cell>
          <cell r="F13467" t="str">
            <v>E251001I1</v>
          </cell>
          <cell r="J13467">
            <v>45951</v>
          </cell>
          <cell r="K13467">
            <v>1</v>
          </cell>
        </row>
        <row r="13468">
          <cell r="C13468" t="str">
            <v>羅友彥</v>
          </cell>
          <cell r="J13468">
            <v>45952</v>
          </cell>
          <cell r="K13468">
            <v>2</v>
          </cell>
        </row>
        <row r="13469">
          <cell r="C13469" t="str">
            <v>羅友彥</v>
          </cell>
          <cell r="F13469" t="str">
            <v>E251001I1</v>
          </cell>
          <cell r="J13469">
            <v>45952</v>
          </cell>
          <cell r="K13469">
            <v>6</v>
          </cell>
        </row>
        <row r="13470">
          <cell r="C13470" t="str">
            <v>羅友彥</v>
          </cell>
          <cell r="J13470">
            <v>45953</v>
          </cell>
          <cell r="K13470">
            <v>1</v>
          </cell>
        </row>
        <row r="13471">
          <cell r="C13471" t="str">
            <v>羅友彥</v>
          </cell>
          <cell r="J13471">
            <v>45953</v>
          </cell>
          <cell r="K13471">
            <v>3</v>
          </cell>
        </row>
        <row r="13472">
          <cell r="C13472" t="str">
            <v>羅友彥</v>
          </cell>
          <cell r="F13472" t="str">
            <v>E251001I1</v>
          </cell>
          <cell r="J13472">
            <v>45953</v>
          </cell>
          <cell r="K13472">
            <v>1</v>
          </cell>
        </row>
        <row r="13473">
          <cell r="C13473" t="str">
            <v>羅友彥</v>
          </cell>
          <cell r="F13473" t="str">
            <v>E250101I1</v>
          </cell>
          <cell r="J13473">
            <v>45953</v>
          </cell>
          <cell r="K13473">
            <v>3</v>
          </cell>
        </row>
        <row r="13474">
          <cell r="C13474" t="str">
            <v>羅友彥</v>
          </cell>
          <cell r="J13474">
            <v>45957</v>
          </cell>
          <cell r="K13474">
            <v>1</v>
          </cell>
        </row>
        <row r="13475">
          <cell r="C13475" t="str">
            <v>羅友彥</v>
          </cell>
          <cell r="J13475">
            <v>45957</v>
          </cell>
          <cell r="K13475">
            <v>1</v>
          </cell>
        </row>
        <row r="13476">
          <cell r="C13476" t="str">
            <v>羅友彥</v>
          </cell>
          <cell r="F13476" t="str">
            <v>E251001I1</v>
          </cell>
          <cell r="J13476">
            <v>45957</v>
          </cell>
          <cell r="K13476">
            <v>6</v>
          </cell>
        </row>
        <row r="13477">
          <cell r="C13477" t="str">
            <v>羅友彥</v>
          </cell>
          <cell r="J13477">
            <v>45958</v>
          </cell>
          <cell r="K13477">
            <v>2</v>
          </cell>
        </row>
        <row r="13478">
          <cell r="C13478" t="str">
            <v>羅友彥</v>
          </cell>
          <cell r="F13478" t="str">
            <v>E251001I1</v>
          </cell>
          <cell r="J13478">
            <v>45958</v>
          </cell>
          <cell r="K13478">
            <v>6</v>
          </cell>
        </row>
        <row r="13479">
          <cell r="C13479" t="str">
            <v>羅友彥</v>
          </cell>
          <cell r="J13479">
            <v>45959</v>
          </cell>
          <cell r="K13479">
            <v>3</v>
          </cell>
        </row>
        <row r="13480">
          <cell r="C13480" t="str">
            <v>羅友彥</v>
          </cell>
          <cell r="J13480">
            <v>45959</v>
          </cell>
          <cell r="K13480">
            <v>3</v>
          </cell>
        </row>
        <row r="13481">
          <cell r="C13481" t="str">
            <v>羅友彥</v>
          </cell>
          <cell r="F13481" t="str">
            <v>E251001I1</v>
          </cell>
          <cell r="J13481">
            <v>45959</v>
          </cell>
          <cell r="K13481">
            <v>2</v>
          </cell>
        </row>
        <row r="13482">
          <cell r="C13482" t="str">
            <v>羅友彥</v>
          </cell>
          <cell r="J13482">
            <v>45960</v>
          </cell>
          <cell r="K13482">
            <v>4</v>
          </cell>
        </row>
        <row r="13483">
          <cell r="C13483" t="str">
            <v>羅友彥</v>
          </cell>
          <cell r="J13483">
            <v>45960</v>
          </cell>
          <cell r="K13483">
            <v>1</v>
          </cell>
        </row>
        <row r="13484">
          <cell r="C13484" t="str">
            <v>羅友彥</v>
          </cell>
          <cell r="F13484" t="str">
            <v>E250101I1</v>
          </cell>
          <cell r="J13484">
            <v>45960</v>
          </cell>
          <cell r="K13484">
            <v>3</v>
          </cell>
        </row>
        <row r="13485">
          <cell r="C13485" t="str">
            <v>羅友彥</v>
          </cell>
          <cell r="J13485">
            <v>45961</v>
          </cell>
          <cell r="K13485">
            <v>4</v>
          </cell>
        </row>
        <row r="13486">
          <cell r="C13486" t="str">
            <v>羅友彥</v>
          </cell>
          <cell r="J13486">
            <v>45961</v>
          </cell>
          <cell r="K13486">
            <v>4</v>
          </cell>
        </row>
        <row r="13487">
          <cell r="C13487" t="str">
            <v>羅友彥</v>
          </cell>
          <cell r="J13487">
            <v>45964</v>
          </cell>
          <cell r="K13487">
            <v>8</v>
          </cell>
        </row>
        <row r="13488">
          <cell r="C13488" t="str">
            <v>羅友彥</v>
          </cell>
          <cell r="J13488">
            <v>45965</v>
          </cell>
          <cell r="K13488">
            <v>8</v>
          </cell>
        </row>
        <row r="13489">
          <cell r="C13489" t="str">
            <v>羅友彥</v>
          </cell>
          <cell r="J13489">
            <v>45966</v>
          </cell>
          <cell r="K13489">
            <v>4</v>
          </cell>
        </row>
        <row r="13490">
          <cell r="C13490" t="str">
            <v>羅友彥</v>
          </cell>
          <cell r="J13490">
            <v>45966</v>
          </cell>
          <cell r="K13490">
            <v>1</v>
          </cell>
        </row>
        <row r="13491">
          <cell r="C13491" t="str">
            <v>羅友彥</v>
          </cell>
          <cell r="F13491" t="str">
            <v>E251001I1</v>
          </cell>
          <cell r="J13491">
            <v>45966</v>
          </cell>
          <cell r="K13491">
            <v>3</v>
          </cell>
        </row>
        <row r="13492">
          <cell r="C13492" t="str">
            <v>羅友彥</v>
          </cell>
          <cell r="J13492">
            <v>45967</v>
          </cell>
          <cell r="K13492">
            <v>1</v>
          </cell>
        </row>
        <row r="13493">
          <cell r="C13493" t="str">
            <v>羅友彥</v>
          </cell>
          <cell r="J13493">
            <v>45967</v>
          </cell>
          <cell r="K13493">
            <v>6</v>
          </cell>
        </row>
        <row r="13494">
          <cell r="C13494" t="str">
            <v>羅友彥</v>
          </cell>
          <cell r="F13494" t="str">
            <v>E250101I1</v>
          </cell>
          <cell r="J13494">
            <v>45967</v>
          </cell>
          <cell r="K13494">
            <v>1</v>
          </cell>
        </row>
        <row r="13495">
          <cell r="C13495" t="str">
            <v>羅友彥</v>
          </cell>
          <cell r="J13495">
            <v>45968</v>
          </cell>
          <cell r="K13495">
            <v>2</v>
          </cell>
        </row>
        <row r="13496">
          <cell r="C13496" t="str">
            <v>羅友彥</v>
          </cell>
          <cell r="F13496" t="str">
            <v>E250101I1</v>
          </cell>
          <cell r="J13496">
            <v>45968</v>
          </cell>
          <cell r="K13496">
            <v>5</v>
          </cell>
        </row>
        <row r="13497">
          <cell r="C13497" t="str">
            <v>羅友彥</v>
          </cell>
          <cell r="F13497" t="str">
            <v>E251001I1</v>
          </cell>
          <cell r="J13497">
            <v>45968</v>
          </cell>
          <cell r="K13497">
            <v>1</v>
          </cell>
        </row>
        <row r="13498">
          <cell r="C13498" t="str">
            <v>羅友彥</v>
          </cell>
          <cell r="J13498">
            <v>45971</v>
          </cell>
          <cell r="K13498">
            <v>8</v>
          </cell>
        </row>
        <row r="13499">
          <cell r="C13499" t="str">
            <v>羅友彥</v>
          </cell>
          <cell r="J13499">
            <v>45972</v>
          </cell>
          <cell r="K13499">
            <v>8</v>
          </cell>
        </row>
        <row r="13500">
          <cell r="C13500" t="str">
            <v>羅友彥</v>
          </cell>
          <cell r="J13500">
            <v>45973</v>
          </cell>
          <cell r="K13500">
            <v>8</v>
          </cell>
        </row>
        <row r="13501">
          <cell r="C13501" t="str">
            <v>羅友彥</v>
          </cell>
          <cell r="J13501">
            <v>45974</v>
          </cell>
          <cell r="K13501">
            <v>8</v>
          </cell>
        </row>
        <row r="13502">
          <cell r="C13502" t="str">
            <v>羅友彥</v>
          </cell>
          <cell r="J13502">
            <v>45975</v>
          </cell>
          <cell r="K13502">
            <v>8</v>
          </cell>
        </row>
        <row r="13503">
          <cell r="C13503" t="str">
            <v>羅友彥</v>
          </cell>
          <cell r="J13503">
            <v>45978</v>
          </cell>
          <cell r="K13503">
            <v>8</v>
          </cell>
        </row>
        <row r="13504">
          <cell r="C13504" t="str">
            <v>羅友彥</v>
          </cell>
          <cell r="J13504">
            <v>45979</v>
          </cell>
          <cell r="K13504">
            <v>8</v>
          </cell>
        </row>
        <row r="13505">
          <cell r="C13505" t="str">
            <v>羅友彥</v>
          </cell>
          <cell r="J13505">
            <v>45980</v>
          </cell>
          <cell r="K13505">
            <v>0.5</v>
          </cell>
        </row>
        <row r="13506">
          <cell r="C13506" t="str">
            <v>羅友彥</v>
          </cell>
          <cell r="J13506">
            <v>45980</v>
          </cell>
          <cell r="K13506">
            <v>7.5</v>
          </cell>
        </row>
        <row r="13507">
          <cell r="C13507" t="str">
            <v>羅友彥</v>
          </cell>
          <cell r="J13507">
            <v>45981</v>
          </cell>
          <cell r="K13507">
            <v>4</v>
          </cell>
        </row>
        <row r="13508">
          <cell r="C13508" t="str">
            <v>羅友彥</v>
          </cell>
          <cell r="J13508">
            <v>45981</v>
          </cell>
          <cell r="K13508">
            <v>4</v>
          </cell>
        </row>
        <row r="13509">
          <cell r="C13509" t="str">
            <v>羅友彥</v>
          </cell>
          <cell r="J13509">
            <v>45982</v>
          </cell>
          <cell r="K13509">
            <v>8</v>
          </cell>
        </row>
        <row r="13510">
          <cell r="C13510" t="str">
            <v>羅友彥</v>
          </cell>
          <cell r="J13510">
            <v>45985</v>
          </cell>
          <cell r="K13510">
            <v>8</v>
          </cell>
        </row>
        <row r="13511">
          <cell r="C13511" t="str">
            <v>羅友彥</v>
          </cell>
          <cell r="J13511">
            <v>45986</v>
          </cell>
          <cell r="K13511">
            <v>8</v>
          </cell>
        </row>
        <row r="13512">
          <cell r="C13512" t="str">
            <v>羅友彥</v>
          </cell>
          <cell r="J13512">
            <v>45987</v>
          </cell>
          <cell r="K13512">
            <v>8</v>
          </cell>
        </row>
        <row r="13513">
          <cell r="C13513" t="str">
            <v>羅友彥</v>
          </cell>
          <cell r="J13513">
            <v>45988</v>
          </cell>
          <cell r="K13513">
            <v>7</v>
          </cell>
        </row>
        <row r="13514">
          <cell r="C13514" t="str">
            <v>羅友彥</v>
          </cell>
          <cell r="J13514">
            <v>45988</v>
          </cell>
          <cell r="K13514">
            <v>1</v>
          </cell>
        </row>
        <row r="13515">
          <cell r="C13515" t="str">
            <v>羅友彥</v>
          </cell>
          <cell r="J13515">
            <v>45989</v>
          </cell>
          <cell r="K13515">
            <v>8</v>
          </cell>
        </row>
        <row r="13516">
          <cell r="C13516" t="str">
            <v>羅友彥</v>
          </cell>
          <cell r="J13516">
            <v>45992</v>
          </cell>
          <cell r="K13516">
            <v>8</v>
          </cell>
        </row>
        <row r="13517">
          <cell r="C13517" t="str">
            <v>羅友彥</v>
          </cell>
          <cell r="J13517">
            <v>45993</v>
          </cell>
          <cell r="K13517">
            <v>8</v>
          </cell>
        </row>
        <row r="13518">
          <cell r="C13518" t="str">
            <v>羅友彥</v>
          </cell>
          <cell r="J13518">
            <v>45994</v>
          </cell>
          <cell r="K13518">
            <v>8</v>
          </cell>
        </row>
        <row r="13519">
          <cell r="C13519" t="str">
            <v>羅友彥</v>
          </cell>
          <cell r="J13519">
            <v>45995</v>
          </cell>
          <cell r="K13519">
            <v>8</v>
          </cell>
        </row>
        <row r="13520">
          <cell r="C13520" t="str">
            <v>羅友彥</v>
          </cell>
          <cell r="J13520">
            <v>45996</v>
          </cell>
          <cell r="K13520">
            <v>8</v>
          </cell>
        </row>
        <row r="13521">
          <cell r="C13521" t="str">
            <v>羅友彥</v>
          </cell>
          <cell r="J13521">
            <v>45999</v>
          </cell>
          <cell r="K13521">
            <v>8</v>
          </cell>
        </row>
        <row r="13522">
          <cell r="C13522" t="str">
            <v>羅友彥</v>
          </cell>
          <cell r="J13522">
            <v>46000</v>
          </cell>
          <cell r="K13522">
            <v>8</v>
          </cell>
        </row>
        <row r="13523">
          <cell r="C13523" t="str">
            <v>羅友彥</v>
          </cell>
          <cell r="J13523">
            <v>46001</v>
          </cell>
          <cell r="K13523">
            <v>8</v>
          </cell>
        </row>
        <row r="13524">
          <cell r="C13524" t="str">
            <v>羅友彥</v>
          </cell>
          <cell r="J13524">
            <v>46002</v>
          </cell>
          <cell r="K13524">
            <v>7</v>
          </cell>
        </row>
        <row r="13525">
          <cell r="C13525" t="str">
            <v>羅友彥</v>
          </cell>
          <cell r="J13525">
            <v>46002</v>
          </cell>
          <cell r="K13525">
            <v>1</v>
          </cell>
        </row>
        <row r="13526">
          <cell r="C13526" t="str">
            <v>羅友彥</v>
          </cell>
          <cell r="J13526">
            <v>46003</v>
          </cell>
          <cell r="K13526">
            <v>8</v>
          </cell>
        </row>
        <row r="13527">
          <cell r="C13527" t="str">
            <v>羅友彥</v>
          </cell>
          <cell r="J13527">
            <v>46006</v>
          </cell>
          <cell r="K13527">
            <v>8</v>
          </cell>
        </row>
        <row r="13528">
          <cell r="C13528" t="str">
            <v>羅友彥</v>
          </cell>
          <cell r="J13528">
            <v>46007</v>
          </cell>
          <cell r="K13528">
            <v>8</v>
          </cell>
        </row>
        <row r="13529">
          <cell r="C13529" t="str">
            <v>羅友彥</v>
          </cell>
          <cell r="J13529">
            <v>46008</v>
          </cell>
          <cell r="K13529">
            <v>8</v>
          </cell>
        </row>
        <row r="13530">
          <cell r="C13530" t="str">
            <v>羅友彥</v>
          </cell>
          <cell r="J13530">
            <v>46009</v>
          </cell>
          <cell r="K13530">
            <v>1</v>
          </cell>
        </row>
        <row r="13531">
          <cell r="C13531" t="str">
            <v>羅友彥</v>
          </cell>
          <cell r="J13531">
            <v>46009</v>
          </cell>
          <cell r="K13531">
            <v>7</v>
          </cell>
        </row>
        <row r="13532">
          <cell r="C13532" t="str">
            <v>羅友彥</v>
          </cell>
          <cell r="J13532">
            <v>46010</v>
          </cell>
          <cell r="K13532">
            <v>8</v>
          </cell>
        </row>
        <row r="13533">
          <cell r="C13533" t="str">
            <v>羅友彥</v>
          </cell>
          <cell r="J13533">
            <v>46013</v>
          </cell>
          <cell r="K13533">
            <v>8</v>
          </cell>
        </row>
        <row r="13534">
          <cell r="C13534" t="str">
            <v>羅友彥</v>
          </cell>
          <cell r="J13534">
            <v>46014</v>
          </cell>
          <cell r="K13534">
            <v>8</v>
          </cell>
        </row>
        <row r="13535">
          <cell r="C13535" t="str">
            <v>羅友彥</v>
          </cell>
          <cell r="J13535">
            <v>46015</v>
          </cell>
          <cell r="K13535">
            <v>7</v>
          </cell>
        </row>
        <row r="13536">
          <cell r="C13536" t="str">
            <v>羅友彥</v>
          </cell>
          <cell r="J13536">
            <v>46015</v>
          </cell>
          <cell r="K13536">
            <v>1</v>
          </cell>
        </row>
        <row r="13537">
          <cell r="C13537" t="str">
            <v>羅友彥</v>
          </cell>
          <cell r="J13537">
            <v>46017</v>
          </cell>
          <cell r="K13537">
            <v>8</v>
          </cell>
        </row>
        <row r="13538">
          <cell r="C13538" t="str">
            <v>羅友彥</v>
          </cell>
          <cell r="J13538">
            <v>46020</v>
          </cell>
          <cell r="K13538">
            <v>8</v>
          </cell>
        </row>
        <row r="13539">
          <cell r="C13539" t="str">
            <v>羅友彥</v>
          </cell>
          <cell r="J13539">
            <v>46021</v>
          </cell>
          <cell r="K13539">
            <v>8</v>
          </cell>
        </row>
        <row r="13540">
          <cell r="C13540" t="str">
            <v>羅友彥</v>
          </cell>
          <cell r="J13540">
            <v>46022</v>
          </cell>
          <cell r="K13540">
            <v>8</v>
          </cell>
        </row>
        <row r="13541">
          <cell r="C13541" t="str">
            <v>羅友彥</v>
          </cell>
          <cell r="J13541">
            <v>46024</v>
          </cell>
          <cell r="K13541">
            <v>4</v>
          </cell>
        </row>
        <row r="13542">
          <cell r="C13542" t="str">
            <v>羅友彥</v>
          </cell>
          <cell r="J13542">
            <v>46027</v>
          </cell>
          <cell r="K13542">
            <v>8</v>
          </cell>
        </row>
        <row r="13543">
          <cell r="C13543" t="str">
            <v>羅友彥</v>
          </cell>
          <cell r="J13543">
            <v>46028</v>
          </cell>
          <cell r="K13543">
            <v>8</v>
          </cell>
        </row>
        <row r="13544">
          <cell r="C13544" t="str">
            <v>羅友彥</v>
          </cell>
          <cell r="J13544">
            <v>46029</v>
          </cell>
          <cell r="K13544">
            <v>8</v>
          </cell>
        </row>
        <row r="13545">
          <cell r="C13545" t="str">
            <v>羅友彥</v>
          </cell>
          <cell r="J13545">
            <v>46030</v>
          </cell>
          <cell r="K13545">
            <v>6</v>
          </cell>
        </row>
        <row r="13546">
          <cell r="C13546" t="str">
            <v>羅友彥</v>
          </cell>
          <cell r="J13546">
            <v>46030</v>
          </cell>
          <cell r="K13546">
            <v>1</v>
          </cell>
        </row>
        <row r="13547">
          <cell r="C13547" t="str">
            <v>羅友彥</v>
          </cell>
          <cell r="F13547" t="str">
            <v>E250101I1</v>
          </cell>
          <cell r="J13547">
            <v>46030</v>
          </cell>
          <cell r="K13547">
            <v>1</v>
          </cell>
        </row>
        <row r="13548">
          <cell r="C13548" t="str">
            <v>羅友彥</v>
          </cell>
          <cell r="J13548">
            <v>46031</v>
          </cell>
          <cell r="K13548">
            <v>8</v>
          </cell>
        </row>
        <row r="13549">
          <cell r="C13549" t="str">
            <v>羅友彥</v>
          </cell>
          <cell r="J13549">
            <v>46034</v>
          </cell>
          <cell r="K13549">
            <v>8</v>
          </cell>
        </row>
        <row r="13550">
          <cell r="C13550" t="str">
            <v>羅友彥</v>
          </cell>
          <cell r="J13550">
            <v>46035</v>
          </cell>
          <cell r="K13550">
            <v>8</v>
          </cell>
        </row>
        <row r="13551">
          <cell r="C13551" t="str">
            <v>羅友彥</v>
          </cell>
          <cell r="J13551">
            <v>46036</v>
          </cell>
          <cell r="K13551">
            <v>8</v>
          </cell>
        </row>
        <row r="13552">
          <cell r="C13552" t="str">
            <v>羅友彥</v>
          </cell>
          <cell r="J13552">
            <v>46037</v>
          </cell>
          <cell r="K13552">
            <v>6.5</v>
          </cell>
        </row>
        <row r="13553">
          <cell r="C13553" t="str">
            <v>羅友彥</v>
          </cell>
          <cell r="J13553">
            <v>46037</v>
          </cell>
          <cell r="K13553">
            <v>0.5</v>
          </cell>
        </row>
        <row r="13554">
          <cell r="C13554" t="str">
            <v>羅友彥</v>
          </cell>
          <cell r="J13554">
            <v>46037</v>
          </cell>
          <cell r="K13554">
            <v>1</v>
          </cell>
        </row>
        <row r="13555">
          <cell r="C13555" t="str">
            <v>羅友彥</v>
          </cell>
          <cell r="J13555">
            <v>46038</v>
          </cell>
          <cell r="K13555">
            <v>8</v>
          </cell>
        </row>
        <row r="13556">
          <cell r="C13556" t="str">
            <v>羅友彥</v>
          </cell>
          <cell r="J13556">
            <v>46041</v>
          </cell>
          <cell r="K13556">
            <v>8</v>
          </cell>
        </row>
        <row r="13557">
          <cell r="C13557" t="str">
            <v>羅友彥</v>
          </cell>
          <cell r="J13557">
            <v>46042</v>
          </cell>
          <cell r="K13557">
            <v>8</v>
          </cell>
        </row>
        <row r="13558">
          <cell r="C13558" t="str">
            <v>羅友彥</v>
          </cell>
          <cell r="J13558">
            <v>46043</v>
          </cell>
          <cell r="K13558">
            <v>8</v>
          </cell>
        </row>
        <row r="13559">
          <cell r="C13559" t="str">
            <v>羅友彥</v>
          </cell>
          <cell r="J13559">
            <v>46044</v>
          </cell>
          <cell r="K13559">
            <v>7.5</v>
          </cell>
        </row>
        <row r="13560">
          <cell r="C13560" t="str">
            <v>羅友彥</v>
          </cell>
          <cell r="J13560">
            <v>46044</v>
          </cell>
          <cell r="K13560">
            <v>0.5</v>
          </cell>
        </row>
        <row r="13561">
          <cell r="C13561" t="str">
            <v>羅友彥</v>
          </cell>
          <cell r="J13561">
            <v>46045</v>
          </cell>
          <cell r="K13561">
            <v>4</v>
          </cell>
        </row>
        <row r="13562">
          <cell r="C13562" t="str">
            <v>羅友彥</v>
          </cell>
          <cell r="J13562">
            <v>46045</v>
          </cell>
          <cell r="K13562">
            <v>4</v>
          </cell>
        </row>
        <row r="13563">
          <cell r="C13563" t="str">
            <v>羅友彥</v>
          </cell>
          <cell r="J13563">
            <v>46048</v>
          </cell>
          <cell r="K13563">
            <v>8</v>
          </cell>
        </row>
        <row r="13564">
          <cell r="C13564" t="str">
            <v>羅友彥</v>
          </cell>
          <cell r="J13564">
            <v>46049</v>
          </cell>
          <cell r="K13564">
            <v>8</v>
          </cell>
        </row>
        <row r="13565">
          <cell r="C13565" t="str">
            <v>羅友彥</v>
          </cell>
          <cell r="J13565">
            <v>46050</v>
          </cell>
          <cell r="K13565">
            <v>8</v>
          </cell>
        </row>
        <row r="13566">
          <cell r="C13566" t="str">
            <v>羅友彥</v>
          </cell>
          <cell r="J13566">
            <v>46051</v>
          </cell>
          <cell r="K13566">
            <v>7</v>
          </cell>
        </row>
        <row r="13567">
          <cell r="C13567" t="str">
            <v>羅友彥</v>
          </cell>
          <cell r="J13567">
            <v>46051</v>
          </cell>
          <cell r="K13567">
            <v>1</v>
          </cell>
        </row>
        <row r="13568">
          <cell r="C13568" t="str">
            <v>羅友彥</v>
          </cell>
          <cell r="J13568">
            <v>46052</v>
          </cell>
          <cell r="K13568">
            <v>8</v>
          </cell>
        </row>
        <row r="13569">
          <cell r="C13569" t="str">
            <v>羅友彥</v>
          </cell>
          <cell r="J13569">
            <v>46055</v>
          </cell>
          <cell r="K13569">
            <v>8</v>
          </cell>
        </row>
        <row r="13570">
          <cell r="C13570" t="str">
            <v>羅友彥</v>
          </cell>
          <cell r="J13570">
            <v>46056</v>
          </cell>
          <cell r="K13570">
            <v>7</v>
          </cell>
        </row>
        <row r="13571">
          <cell r="C13571" t="str">
            <v>羅友彥</v>
          </cell>
          <cell r="F13571" t="str">
            <v>E251001I1</v>
          </cell>
          <cell r="J13571">
            <v>46056</v>
          </cell>
          <cell r="K13571">
            <v>1</v>
          </cell>
        </row>
        <row r="13572">
          <cell r="C13572" t="str">
            <v>羅友彥</v>
          </cell>
          <cell r="J13572">
            <v>46057</v>
          </cell>
          <cell r="K13572">
            <v>8</v>
          </cell>
        </row>
        <row r="13573">
          <cell r="C13573" t="str">
            <v>羅友彥</v>
          </cell>
          <cell r="J13573">
            <v>46058</v>
          </cell>
          <cell r="K13573">
            <v>2</v>
          </cell>
        </row>
        <row r="13574">
          <cell r="C13574" t="str">
            <v>羅友彥</v>
          </cell>
          <cell r="J13574">
            <v>46058</v>
          </cell>
          <cell r="K13574">
            <v>1</v>
          </cell>
        </row>
        <row r="13575">
          <cell r="C13575" t="str">
            <v>羅友彥</v>
          </cell>
          <cell r="F13575" t="str">
            <v>E250101I1</v>
          </cell>
          <cell r="J13575">
            <v>46058</v>
          </cell>
          <cell r="K13575">
            <v>5</v>
          </cell>
        </row>
        <row r="13576">
          <cell r="C13576" t="str">
            <v>羅友彥</v>
          </cell>
          <cell r="J13576">
            <v>46059</v>
          </cell>
          <cell r="K13576">
            <v>8</v>
          </cell>
        </row>
        <row r="13577">
          <cell r="C13577" t="str">
            <v>羅友彥</v>
          </cell>
          <cell r="J13577">
            <v>46062</v>
          </cell>
          <cell r="K13577">
            <v>8</v>
          </cell>
        </row>
        <row r="13578">
          <cell r="C13578" t="str">
            <v>羅友彥</v>
          </cell>
          <cell r="J13578">
            <v>46063</v>
          </cell>
          <cell r="K13578">
            <v>4</v>
          </cell>
        </row>
        <row r="13579">
          <cell r="C13579" t="str">
            <v>羅友彥</v>
          </cell>
          <cell r="F13579" t="str">
            <v>E250101I1</v>
          </cell>
          <cell r="J13579">
            <v>46063</v>
          </cell>
          <cell r="K13579">
            <v>4</v>
          </cell>
        </row>
        <row r="13580">
          <cell r="C13580" t="str">
            <v>羅友彥</v>
          </cell>
          <cell r="J13580">
            <v>46064</v>
          </cell>
          <cell r="K13580">
            <v>3</v>
          </cell>
        </row>
        <row r="13581">
          <cell r="C13581" t="str">
            <v>羅友彥</v>
          </cell>
          <cell r="F13581" t="str">
            <v>E250101I1</v>
          </cell>
          <cell r="J13581">
            <v>46064</v>
          </cell>
          <cell r="K13581">
            <v>5</v>
          </cell>
        </row>
        <row r="13582">
          <cell r="C13582" t="str">
            <v>羅友彥</v>
          </cell>
          <cell r="J13582">
            <v>46065</v>
          </cell>
          <cell r="K13582">
            <v>1</v>
          </cell>
        </row>
        <row r="13583">
          <cell r="C13583" t="str">
            <v>羅友彥</v>
          </cell>
          <cell r="J13583">
            <v>46065</v>
          </cell>
          <cell r="K13583">
            <v>2</v>
          </cell>
        </row>
        <row r="13584">
          <cell r="C13584" t="str">
            <v>羅友彥</v>
          </cell>
          <cell r="F13584" t="str">
            <v>E250101I1</v>
          </cell>
          <cell r="J13584">
            <v>46065</v>
          </cell>
          <cell r="K13584">
            <v>5</v>
          </cell>
        </row>
        <row r="13585">
          <cell r="C13585" t="str">
            <v>羅友彥</v>
          </cell>
          <cell r="J13585">
            <v>46066</v>
          </cell>
          <cell r="K13585">
            <v>4</v>
          </cell>
        </row>
        <row r="13586">
          <cell r="C13586" t="str">
            <v>羅友彥</v>
          </cell>
          <cell r="J13586">
            <v>46066</v>
          </cell>
          <cell r="K13586">
            <v>4</v>
          </cell>
        </row>
        <row r="13587">
          <cell r="C13587" t="str">
            <v>羅友彥</v>
          </cell>
          <cell r="J13587">
            <v>46076</v>
          </cell>
          <cell r="K13587">
            <v>4</v>
          </cell>
        </row>
        <row r="13588">
          <cell r="C13588" t="str">
            <v>羅友彥</v>
          </cell>
          <cell r="F13588" t="str">
            <v>E250101I1</v>
          </cell>
          <cell r="J13588">
            <v>46076</v>
          </cell>
          <cell r="K13588">
            <v>4</v>
          </cell>
        </row>
        <row r="13589">
          <cell r="C13589" t="str">
            <v>羅友彥</v>
          </cell>
          <cell r="J13589">
            <v>46077</v>
          </cell>
          <cell r="K13589">
            <v>2</v>
          </cell>
        </row>
        <row r="13590">
          <cell r="C13590" t="str">
            <v>羅友彥</v>
          </cell>
          <cell r="J13590">
            <v>46077</v>
          </cell>
          <cell r="K13590">
            <v>6</v>
          </cell>
        </row>
        <row r="13591">
          <cell r="C13591" t="str">
            <v>羅友彥</v>
          </cell>
          <cell r="J13591">
            <v>46078</v>
          </cell>
          <cell r="K13591">
            <v>8</v>
          </cell>
        </row>
        <row r="13592">
          <cell r="C13592" t="str">
            <v>羅友彥</v>
          </cell>
          <cell r="J13592">
            <v>46079</v>
          </cell>
          <cell r="K13592">
            <v>7</v>
          </cell>
        </row>
        <row r="13593">
          <cell r="C13593" t="str">
            <v>羅友彥</v>
          </cell>
          <cell r="J13593">
            <v>46079</v>
          </cell>
          <cell r="K13593">
            <v>1</v>
          </cell>
        </row>
        <row r="13594">
          <cell r="C13594" t="str">
            <v>羅友彥</v>
          </cell>
          <cell r="J13594">
            <v>46083</v>
          </cell>
          <cell r="K13594">
            <v>8</v>
          </cell>
        </row>
        <row r="13595">
          <cell r="C13595" t="str">
            <v>羅友彥</v>
          </cell>
          <cell r="J13595">
            <v>46084</v>
          </cell>
          <cell r="K13595">
            <v>8</v>
          </cell>
        </row>
        <row r="13596">
          <cell r="C13596" t="str">
            <v>羅友彥</v>
          </cell>
          <cell r="J13596">
            <v>46085</v>
          </cell>
          <cell r="K13596">
            <v>8</v>
          </cell>
        </row>
        <row r="13597">
          <cell r="C13597" t="str">
            <v>羅友彥</v>
          </cell>
          <cell r="J13597">
            <v>46086</v>
          </cell>
          <cell r="K13597">
            <v>7</v>
          </cell>
        </row>
        <row r="13598">
          <cell r="C13598" t="str">
            <v>羅友彥</v>
          </cell>
          <cell r="J13598">
            <v>46087</v>
          </cell>
          <cell r="K13598">
            <v>1</v>
          </cell>
        </row>
        <row r="13599">
          <cell r="C13599" t="str">
            <v>羅友彥</v>
          </cell>
          <cell r="J13599">
            <v>46087</v>
          </cell>
          <cell r="K13599">
            <v>8</v>
          </cell>
        </row>
        <row r="13600">
          <cell r="C13600" t="str">
            <v>羅友彥</v>
          </cell>
          <cell r="J13600">
            <v>46090</v>
          </cell>
          <cell r="K13600">
            <v>8</v>
          </cell>
        </row>
        <row r="13601">
          <cell r="C13601" t="str">
            <v>羅友彥</v>
          </cell>
          <cell r="J13601">
            <v>46091</v>
          </cell>
          <cell r="K13601">
            <v>8</v>
          </cell>
        </row>
        <row r="13602">
          <cell r="C13602" t="str">
            <v>羅友彥</v>
          </cell>
          <cell r="J13602">
            <v>46092</v>
          </cell>
          <cell r="K13602">
            <v>8</v>
          </cell>
        </row>
        <row r="13603">
          <cell r="C13603" t="str">
            <v>羅友彥</v>
          </cell>
          <cell r="J13603">
            <v>46093</v>
          </cell>
          <cell r="K13603">
            <v>8</v>
          </cell>
        </row>
        <row r="13604">
          <cell r="C13604" t="str">
            <v>羅友彥</v>
          </cell>
          <cell r="J13604">
            <v>46094</v>
          </cell>
          <cell r="K13604">
            <v>8</v>
          </cell>
        </row>
        <row r="13605">
          <cell r="C13605" t="str">
            <v>羅友彥</v>
          </cell>
          <cell r="J13605">
            <v>46097</v>
          </cell>
          <cell r="K13605">
            <v>8</v>
          </cell>
        </row>
        <row r="13606">
          <cell r="C13606" t="str">
            <v>羅友彥</v>
          </cell>
          <cell r="J13606">
            <v>46098</v>
          </cell>
          <cell r="K13606">
            <v>4</v>
          </cell>
        </row>
        <row r="13607">
          <cell r="C13607" t="str">
            <v>羅友彥</v>
          </cell>
          <cell r="J13607">
            <v>46098</v>
          </cell>
          <cell r="K13607">
            <v>4</v>
          </cell>
        </row>
        <row r="13608">
          <cell r="C13608" t="str">
            <v>羅友彥</v>
          </cell>
          <cell r="J13608">
            <v>46099</v>
          </cell>
          <cell r="K13608">
            <v>8</v>
          </cell>
        </row>
        <row r="13609">
          <cell r="C13609" t="str">
            <v>羅友彥</v>
          </cell>
          <cell r="J13609">
            <v>46100</v>
          </cell>
          <cell r="K13609">
            <v>7</v>
          </cell>
        </row>
        <row r="13610">
          <cell r="C13610" t="str">
            <v>羅友彥</v>
          </cell>
          <cell r="J13610">
            <v>46100</v>
          </cell>
          <cell r="K13610">
            <v>1</v>
          </cell>
        </row>
        <row r="13611">
          <cell r="C13611" t="str">
            <v>羅友彥</v>
          </cell>
          <cell r="J13611">
            <v>46101</v>
          </cell>
          <cell r="K13611">
            <v>8</v>
          </cell>
        </row>
        <row r="13612">
          <cell r="C13612" t="str">
            <v>羅友彥</v>
          </cell>
          <cell r="J13612">
            <v>46104</v>
          </cell>
          <cell r="K13612">
            <v>8</v>
          </cell>
        </row>
        <row r="13613">
          <cell r="C13613" t="str">
            <v>羅友彥</v>
          </cell>
          <cell r="J13613">
            <v>46105</v>
          </cell>
          <cell r="K13613">
            <v>8</v>
          </cell>
        </row>
        <row r="13614">
          <cell r="C13614" t="str">
            <v>羅友彥</v>
          </cell>
          <cell r="J13614">
            <v>46106</v>
          </cell>
          <cell r="K13614">
            <v>8</v>
          </cell>
        </row>
        <row r="13615">
          <cell r="C13615" t="str">
            <v>羅友彥</v>
          </cell>
          <cell r="J13615">
            <v>46107</v>
          </cell>
          <cell r="K13615">
            <v>7</v>
          </cell>
        </row>
        <row r="13616">
          <cell r="C13616" t="str">
            <v>羅友彥</v>
          </cell>
          <cell r="J13616">
            <v>46107</v>
          </cell>
          <cell r="K13616">
            <v>1</v>
          </cell>
        </row>
        <row r="13617">
          <cell r="C13617" t="str">
            <v>羅友彥</v>
          </cell>
          <cell r="J13617">
            <v>46108</v>
          </cell>
          <cell r="K13617">
            <v>8</v>
          </cell>
        </row>
        <row r="13618">
          <cell r="C13618" t="str">
            <v>羅友彥</v>
          </cell>
          <cell r="J13618">
            <v>46111</v>
          </cell>
          <cell r="K13618">
            <v>8</v>
          </cell>
        </row>
        <row r="13619">
          <cell r="C13619" t="str">
            <v>羅友彥</v>
          </cell>
          <cell r="J13619">
            <v>46112</v>
          </cell>
          <cell r="K13619">
            <v>8</v>
          </cell>
        </row>
        <row r="13620">
          <cell r="C13620" t="str">
            <v>羅友彥</v>
          </cell>
          <cell r="J13620">
            <v>46113</v>
          </cell>
          <cell r="K13620">
            <v>8</v>
          </cell>
        </row>
        <row r="13621">
          <cell r="C13621" t="str">
            <v>羅友彥</v>
          </cell>
          <cell r="J13621">
            <v>46114</v>
          </cell>
          <cell r="K13621">
            <v>1</v>
          </cell>
        </row>
        <row r="13622">
          <cell r="C13622" t="str">
            <v>羅友彥</v>
          </cell>
          <cell r="J13622">
            <v>46114</v>
          </cell>
          <cell r="K13622">
            <v>4</v>
          </cell>
        </row>
        <row r="13623">
          <cell r="C13623" t="str">
            <v>羅友彥</v>
          </cell>
          <cell r="J13623">
            <v>46114</v>
          </cell>
          <cell r="K13623">
            <v>3</v>
          </cell>
        </row>
        <row r="13624">
          <cell r="C13624" t="str">
            <v>羅友彥</v>
          </cell>
          <cell r="J13624">
            <v>46119</v>
          </cell>
          <cell r="K13624">
            <v>8</v>
          </cell>
        </row>
        <row r="13625">
          <cell r="C13625" t="str">
            <v>羅友彥</v>
          </cell>
          <cell r="J13625">
            <v>46120</v>
          </cell>
          <cell r="K13625">
            <v>7</v>
          </cell>
        </row>
        <row r="13626">
          <cell r="C13626" t="str">
            <v>羅友彥</v>
          </cell>
          <cell r="J13626">
            <v>46120</v>
          </cell>
          <cell r="K13626">
            <v>1</v>
          </cell>
        </row>
        <row r="13627">
          <cell r="C13627" t="str">
            <v>羅友彥</v>
          </cell>
          <cell r="J13627">
            <v>46121</v>
          </cell>
          <cell r="K13627">
            <v>8</v>
          </cell>
        </row>
        <row r="13628">
          <cell r="C13628" t="str">
            <v>羅友彥</v>
          </cell>
          <cell r="J13628">
            <v>46122</v>
          </cell>
          <cell r="K13628">
            <v>8</v>
          </cell>
        </row>
        <row r="13629">
          <cell r="C13629" t="str">
            <v>羅友彥</v>
          </cell>
          <cell r="J13629">
            <v>46125</v>
          </cell>
          <cell r="K13629">
            <v>8</v>
          </cell>
        </row>
        <row r="13630">
          <cell r="C13630" t="str">
            <v>羅友彥</v>
          </cell>
          <cell r="J13630">
            <v>46126</v>
          </cell>
          <cell r="K13630">
            <v>7.5</v>
          </cell>
        </row>
        <row r="13631">
          <cell r="C13631" t="str">
            <v>羅友彥</v>
          </cell>
          <cell r="J13631">
            <v>46126</v>
          </cell>
          <cell r="K13631">
            <v>0.5</v>
          </cell>
        </row>
        <row r="13632">
          <cell r="C13632" t="str">
            <v>羅友彥</v>
          </cell>
          <cell r="J13632">
            <v>46127</v>
          </cell>
          <cell r="K13632">
            <v>8</v>
          </cell>
        </row>
        <row r="13633">
          <cell r="C13633" t="str">
            <v>羅友彥</v>
          </cell>
          <cell r="J13633">
            <v>46128</v>
          </cell>
          <cell r="K13633">
            <v>8</v>
          </cell>
        </row>
        <row r="13634">
          <cell r="C13634" t="str">
            <v>羅友彥</v>
          </cell>
          <cell r="J13634">
            <v>46129</v>
          </cell>
          <cell r="K13634">
            <v>8</v>
          </cell>
        </row>
        <row r="13635">
          <cell r="C13635" t="str">
            <v>羅友彥</v>
          </cell>
          <cell r="J13635">
            <v>46132</v>
          </cell>
          <cell r="K13635">
            <v>8</v>
          </cell>
        </row>
        <row r="13636">
          <cell r="C13636" t="str">
            <v>羅友彥</v>
          </cell>
          <cell r="J13636">
            <v>46133</v>
          </cell>
          <cell r="K13636">
            <v>8</v>
          </cell>
        </row>
        <row r="13637">
          <cell r="C13637" t="str">
            <v>羅友彥</v>
          </cell>
          <cell r="J13637">
            <v>46134</v>
          </cell>
          <cell r="K13637">
            <v>4</v>
          </cell>
        </row>
        <row r="13638">
          <cell r="C13638" t="str">
            <v>羅友彥</v>
          </cell>
          <cell r="J13638">
            <v>46134</v>
          </cell>
          <cell r="K13638">
            <v>4</v>
          </cell>
        </row>
        <row r="13639">
          <cell r="C13639" t="str">
            <v>羅友彥</v>
          </cell>
          <cell r="J13639">
            <v>46135</v>
          </cell>
          <cell r="K13639">
            <v>1</v>
          </cell>
        </row>
        <row r="13640">
          <cell r="C13640" t="str">
            <v>羅友彥</v>
          </cell>
          <cell r="J13640">
            <v>46135</v>
          </cell>
          <cell r="K13640">
            <v>7</v>
          </cell>
        </row>
        <row r="13641">
          <cell r="C13641" t="str">
            <v>羅友彥</v>
          </cell>
          <cell r="J13641">
            <v>46136</v>
          </cell>
          <cell r="K13641">
            <v>8</v>
          </cell>
        </row>
        <row r="13642">
          <cell r="C13642" t="str">
            <v>羅友彥</v>
          </cell>
          <cell r="J13642">
            <v>46139</v>
          </cell>
          <cell r="K13642">
            <v>3</v>
          </cell>
        </row>
        <row r="13643">
          <cell r="C13643" t="str">
            <v>羅友彥</v>
          </cell>
          <cell r="J13643">
            <v>46139</v>
          </cell>
          <cell r="K13643">
            <v>4</v>
          </cell>
        </row>
        <row r="13644">
          <cell r="C13644" t="str">
            <v>羅友彥</v>
          </cell>
          <cell r="F13644" t="str">
            <v>G260401I1</v>
          </cell>
          <cell r="J13644">
            <v>46139</v>
          </cell>
          <cell r="K13644">
            <v>1</v>
          </cell>
        </row>
        <row r="13645">
          <cell r="C13645" t="str">
            <v>羅友彥</v>
          </cell>
          <cell r="J13645">
            <v>46140</v>
          </cell>
          <cell r="K13645">
            <v>4</v>
          </cell>
        </row>
        <row r="13646">
          <cell r="C13646" t="str">
            <v>羅友彥</v>
          </cell>
          <cell r="F13646" t="str">
            <v>G260401I1</v>
          </cell>
          <cell r="J13646">
            <v>46140</v>
          </cell>
          <cell r="K13646">
            <v>4</v>
          </cell>
        </row>
        <row r="13647">
          <cell r="C13647" t="str">
            <v>羅友彥</v>
          </cell>
          <cell r="J13647">
            <v>46141</v>
          </cell>
          <cell r="K13647">
            <v>1</v>
          </cell>
        </row>
        <row r="13648">
          <cell r="C13648" t="str">
            <v>羅友彥</v>
          </cell>
          <cell r="J13648">
            <v>46141</v>
          </cell>
          <cell r="K13648">
            <v>6</v>
          </cell>
        </row>
        <row r="13649">
          <cell r="C13649" t="str">
            <v>羅友彥</v>
          </cell>
          <cell r="F13649" t="str">
            <v>G260401I1</v>
          </cell>
          <cell r="J13649">
            <v>46141</v>
          </cell>
          <cell r="K13649">
            <v>1</v>
          </cell>
        </row>
        <row r="13650">
          <cell r="C13650" t="str">
            <v>羅友彥</v>
          </cell>
          <cell r="J13650">
            <v>46142</v>
          </cell>
          <cell r="K13650">
            <v>1</v>
          </cell>
        </row>
        <row r="13651">
          <cell r="C13651" t="str">
            <v>羅友彥</v>
          </cell>
          <cell r="J13651">
            <v>46142</v>
          </cell>
          <cell r="K13651">
            <v>7</v>
          </cell>
        </row>
        <row r="13652">
          <cell r="C13652" t="str">
            <v>羅友彥</v>
          </cell>
          <cell r="J13652">
            <v>46146</v>
          </cell>
          <cell r="K13652">
            <v>8</v>
          </cell>
        </row>
        <row r="13653">
          <cell r="C13653" t="str">
            <v>羅友彥</v>
          </cell>
          <cell r="J13653">
            <v>46147</v>
          </cell>
          <cell r="K13653">
            <v>7</v>
          </cell>
        </row>
        <row r="13654">
          <cell r="C13654" t="str">
            <v>羅友彥</v>
          </cell>
          <cell r="F13654" t="str">
            <v>G260401I1</v>
          </cell>
          <cell r="J13654">
            <v>46147</v>
          </cell>
          <cell r="K13654">
            <v>1</v>
          </cell>
        </row>
        <row r="13655">
          <cell r="C13655" t="str">
            <v>羅友彥</v>
          </cell>
          <cell r="J13655">
            <v>46148</v>
          </cell>
          <cell r="K13655">
            <v>0.5</v>
          </cell>
        </row>
        <row r="13656">
          <cell r="C13656" t="str">
            <v>羅友彥</v>
          </cell>
          <cell r="J13656">
            <v>46148</v>
          </cell>
          <cell r="K13656">
            <v>7.5</v>
          </cell>
        </row>
        <row r="13657">
          <cell r="C13657" t="str">
            <v>羅友彥</v>
          </cell>
          <cell r="J13657">
            <v>46149</v>
          </cell>
          <cell r="K13657">
            <v>1</v>
          </cell>
        </row>
        <row r="13658">
          <cell r="C13658" t="str">
            <v>羅友彥</v>
          </cell>
          <cell r="J13658">
            <v>46149</v>
          </cell>
          <cell r="K13658">
            <v>7</v>
          </cell>
        </row>
        <row r="13659">
          <cell r="C13659" t="str">
            <v>羅友彥</v>
          </cell>
          <cell r="J13659">
            <v>46150</v>
          </cell>
          <cell r="K13659">
            <v>8</v>
          </cell>
        </row>
        <row r="13660">
          <cell r="C13660" t="str">
            <v>羅友彥</v>
          </cell>
          <cell r="J13660">
            <v>46153</v>
          </cell>
          <cell r="K13660">
            <v>7.5</v>
          </cell>
        </row>
        <row r="13661">
          <cell r="C13661" t="str">
            <v>羅友彥</v>
          </cell>
          <cell r="F13661" t="str">
            <v>G260401I1</v>
          </cell>
          <cell r="J13661">
            <v>46153</v>
          </cell>
          <cell r="K13661">
            <v>0.5</v>
          </cell>
        </row>
        <row r="13662">
          <cell r="C13662" t="str">
            <v>羅友彥</v>
          </cell>
          <cell r="J13662">
            <v>46154</v>
          </cell>
          <cell r="K13662">
            <v>8</v>
          </cell>
        </row>
        <row r="13663">
          <cell r="C13663" t="str">
            <v>羅友彥</v>
          </cell>
          <cell r="J13663">
            <v>46155</v>
          </cell>
          <cell r="K13663">
            <v>4</v>
          </cell>
        </row>
        <row r="13664">
          <cell r="C13664" t="str">
            <v>羅友彥</v>
          </cell>
          <cell r="F13664" t="str">
            <v>G260401I1</v>
          </cell>
          <cell r="J13664">
            <v>46155</v>
          </cell>
          <cell r="K13664">
            <v>4</v>
          </cell>
        </row>
        <row r="13665">
          <cell r="C13665" t="str">
            <v>羅友彥</v>
          </cell>
          <cell r="J13665">
            <v>46156</v>
          </cell>
          <cell r="K13665">
            <v>8</v>
          </cell>
        </row>
        <row r="13666">
          <cell r="C13666" t="str">
            <v>羅友彥</v>
          </cell>
          <cell r="J13666">
            <v>46157</v>
          </cell>
          <cell r="K13666">
            <v>6</v>
          </cell>
        </row>
        <row r="13667">
          <cell r="C13667" t="str">
            <v>羅友彥</v>
          </cell>
          <cell r="F13667" t="str">
            <v>G260401I1</v>
          </cell>
          <cell r="J13667">
            <v>46157</v>
          </cell>
          <cell r="K13667">
            <v>2</v>
          </cell>
        </row>
        <row r="13668">
          <cell r="C13668" t="str">
            <v>羅友彥</v>
          </cell>
          <cell r="J13668">
            <v>46160</v>
          </cell>
          <cell r="K13668">
            <v>8</v>
          </cell>
        </row>
        <row r="13669">
          <cell r="C13669" t="str">
            <v>羅友彥</v>
          </cell>
          <cell r="J13669">
            <v>46161</v>
          </cell>
          <cell r="K13669">
            <v>4</v>
          </cell>
        </row>
        <row r="13670">
          <cell r="C13670" t="str">
            <v>羅友彥</v>
          </cell>
          <cell r="F13670" t="str">
            <v>G260401I1</v>
          </cell>
          <cell r="J13670">
            <v>46161</v>
          </cell>
          <cell r="K13670">
            <v>2</v>
          </cell>
        </row>
        <row r="13671">
          <cell r="C13671" t="str">
            <v>羅友彥</v>
          </cell>
          <cell r="F13671" t="str">
            <v>G260401I1</v>
          </cell>
          <cell r="J13671">
            <v>46161</v>
          </cell>
          <cell r="K13671">
            <v>2</v>
          </cell>
        </row>
        <row r="13672">
          <cell r="C13672" t="str">
            <v>羅友彥</v>
          </cell>
          <cell r="J13672">
            <v>46162</v>
          </cell>
          <cell r="K13672">
            <v>8</v>
          </cell>
        </row>
        <row r="13673">
          <cell r="C13673" t="str">
            <v>蘇漢城</v>
          </cell>
          <cell r="J13673">
            <v>45754</v>
          </cell>
          <cell r="K13673">
            <v>2</v>
          </cell>
        </row>
        <row r="13674">
          <cell r="C13674" t="str">
            <v>蘇漢城</v>
          </cell>
          <cell r="J13674">
            <v>45754</v>
          </cell>
          <cell r="K13674">
            <v>2</v>
          </cell>
        </row>
        <row r="13675">
          <cell r="C13675" t="str">
            <v>蘇漢城</v>
          </cell>
          <cell r="F13675" t="str">
            <v>E250201I1</v>
          </cell>
          <cell r="J13675">
            <v>45754</v>
          </cell>
          <cell r="K13675">
            <v>4</v>
          </cell>
        </row>
        <row r="13676">
          <cell r="C13676" t="str">
            <v>蘇漢城</v>
          </cell>
          <cell r="J13676">
            <v>45755</v>
          </cell>
          <cell r="K13676">
            <v>4</v>
          </cell>
        </row>
        <row r="13677">
          <cell r="C13677" t="str">
            <v>蘇漢城</v>
          </cell>
          <cell r="F13677" t="str">
            <v>E250201I1</v>
          </cell>
          <cell r="J13677">
            <v>45755</v>
          </cell>
          <cell r="K13677">
            <v>4</v>
          </cell>
        </row>
        <row r="13678">
          <cell r="C13678" t="str">
            <v>蘇漢城</v>
          </cell>
          <cell r="J13678">
            <v>45756</v>
          </cell>
          <cell r="K13678">
            <v>2.5</v>
          </cell>
        </row>
        <row r="13679">
          <cell r="C13679" t="str">
            <v>蘇漢城</v>
          </cell>
          <cell r="J13679">
            <v>45756</v>
          </cell>
          <cell r="K13679">
            <v>3</v>
          </cell>
        </row>
        <row r="13680">
          <cell r="C13680" t="str">
            <v>蘇漢城</v>
          </cell>
          <cell r="F13680" t="str">
            <v>E250201I1</v>
          </cell>
          <cell r="J13680">
            <v>45756</v>
          </cell>
          <cell r="K13680">
            <v>4</v>
          </cell>
        </row>
        <row r="13681">
          <cell r="C13681" t="str">
            <v>蘇漢城</v>
          </cell>
          <cell r="J13681">
            <v>45757</v>
          </cell>
          <cell r="K13681">
            <v>1.5</v>
          </cell>
        </row>
        <row r="13682">
          <cell r="C13682" t="str">
            <v>蘇漢城</v>
          </cell>
          <cell r="J13682">
            <v>45757</v>
          </cell>
          <cell r="K13682">
            <v>1</v>
          </cell>
        </row>
        <row r="13683">
          <cell r="C13683" t="str">
            <v>蘇漢城</v>
          </cell>
          <cell r="F13683" t="str">
            <v>E250201I1</v>
          </cell>
          <cell r="J13683">
            <v>45757</v>
          </cell>
          <cell r="K13683">
            <v>7</v>
          </cell>
        </row>
        <row r="13684">
          <cell r="C13684" t="str">
            <v>蘇漢城</v>
          </cell>
          <cell r="F13684" t="str">
            <v>E250201I1</v>
          </cell>
          <cell r="J13684">
            <v>45758</v>
          </cell>
          <cell r="K13684">
            <v>8</v>
          </cell>
        </row>
        <row r="13685">
          <cell r="C13685" t="str">
            <v>蘇漢城</v>
          </cell>
          <cell r="F13685" t="str">
            <v>E250201I1</v>
          </cell>
          <cell r="J13685">
            <v>45761</v>
          </cell>
          <cell r="K13685">
            <v>8</v>
          </cell>
        </row>
        <row r="13686">
          <cell r="C13686" t="str">
            <v>蘇漢城</v>
          </cell>
          <cell r="J13686">
            <v>45762</v>
          </cell>
          <cell r="K13686">
            <v>8</v>
          </cell>
        </row>
        <row r="13687">
          <cell r="C13687" t="str">
            <v>蘇漢城</v>
          </cell>
          <cell r="J13687">
            <v>45763</v>
          </cell>
          <cell r="K13687">
            <v>8</v>
          </cell>
        </row>
        <row r="13688">
          <cell r="C13688" t="str">
            <v>蘇漢城</v>
          </cell>
          <cell r="J13688">
            <v>45764</v>
          </cell>
          <cell r="K13688">
            <v>0.5</v>
          </cell>
        </row>
        <row r="13689">
          <cell r="C13689" t="str">
            <v>蘇漢城</v>
          </cell>
          <cell r="J13689">
            <v>45764</v>
          </cell>
          <cell r="K13689">
            <v>1</v>
          </cell>
        </row>
        <row r="13690">
          <cell r="C13690" t="str">
            <v>蘇漢城</v>
          </cell>
          <cell r="J13690">
            <v>45764</v>
          </cell>
          <cell r="K13690">
            <v>4</v>
          </cell>
        </row>
        <row r="13691">
          <cell r="C13691" t="str">
            <v>蘇漢城</v>
          </cell>
          <cell r="J13691">
            <v>45764</v>
          </cell>
          <cell r="K13691">
            <v>2.5</v>
          </cell>
        </row>
        <row r="13692">
          <cell r="C13692" t="str">
            <v>蘇漢城</v>
          </cell>
          <cell r="J13692">
            <v>45765</v>
          </cell>
          <cell r="K13692">
            <v>2</v>
          </cell>
        </row>
        <row r="13693">
          <cell r="C13693" t="str">
            <v>蘇漢城</v>
          </cell>
          <cell r="F13693" t="str">
            <v>E250201I1</v>
          </cell>
          <cell r="J13693">
            <v>45765</v>
          </cell>
          <cell r="K13693">
            <v>6</v>
          </cell>
        </row>
        <row r="13694">
          <cell r="C13694" t="str">
            <v>蘇漢城</v>
          </cell>
          <cell r="J13694">
            <v>45768</v>
          </cell>
          <cell r="K13694">
            <v>2</v>
          </cell>
        </row>
        <row r="13695">
          <cell r="C13695" t="str">
            <v>蘇漢城</v>
          </cell>
          <cell r="J13695">
            <v>45768</v>
          </cell>
          <cell r="K13695">
            <v>1.5</v>
          </cell>
        </row>
        <row r="13696">
          <cell r="C13696" t="str">
            <v>蘇漢城</v>
          </cell>
          <cell r="J13696">
            <v>45768</v>
          </cell>
          <cell r="K13696">
            <v>2.5</v>
          </cell>
        </row>
        <row r="13697">
          <cell r="C13697" t="str">
            <v>蘇漢城</v>
          </cell>
          <cell r="J13697">
            <v>45768</v>
          </cell>
          <cell r="K13697">
            <v>2</v>
          </cell>
        </row>
        <row r="13698">
          <cell r="C13698" t="str">
            <v>蘇漢城</v>
          </cell>
          <cell r="J13698">
            <v>45769</v>
          </cell>
          <cell r="K13698">
            <v>1</v>
          </cell>
        </row>
        <row r="13699">
          <cell r="C13699" t="str">
            <v>蘇漢城</v>
          </cell>
          <cell r="J13699">
            <v>45769</v>
          </cell>
          <cell r="K13699">
            <v>1</v>
          </cell>
        </row>
        <row r="13700">
          <cell r="C13700" t="str">
            <v>蘇漢城</v>
          </cell>
          <cell r="F13700" t="str">
            <v>E250102I1</v>
          </cell>
          <cell r="J13700">
            <v>45769</v>
          </cell>
          <cell r="K13700">
            <v>6</v>
          </cell>
        </row>
        <row r="13701">
          <cell r="C13701" t="str">
            <v>蘇漢城</v>
          </cell>
          <cell r="J13701">
            <v>45770</v>
          </cell>
          <cell r="K13701">
            <v>2.5</v>
          </cell>
        </row>
        <row r="13702">
          <cell r="C13702" t="str">
            <v>蘇漢城</v>
          </cell>
          <cell r="F13702" t="str">
            <v>E250102I1</v>
          </cell>
          <cell r="J13702">
            <v>45770</v>
          </cell>
          <cell r="K13702">
            <v>7</v>
          </cell>
        </row>
        <row r="13703">
          <cell r="C13703" t="str">
            <v>蘇漢城</v>
          </cell>
          <cell r="J13703">
            <v>45771</v>
          </cell>
          <cell r="K13703">
            <v>4</v>
          </cell>
        </row>
        <row r="13704">
          <cell r="C13704" t="str">
            <v>蘇漢城</v>
          </cell>
          <cell r="J13704">
            <v>45771</v>
          </cell>
          <cell r="K13704">
            <v>1</v>
          </cell>
        </row>
        <row r="13705">
          <cell r="C13705" t="str">
            <v>蘇漢城</v>
          </cell>
          <cell r="F13705" t="str">
            <v>E250102I1</v>
          </cell>
          <cell r="J13705">
            <v>45771</v>
          </cell>
          <cell r="K13705">
            <v>3</v>
          </cell>
        </row>
        <row r="13706">
          <cell r="C13706" t="str">
            <v>蘇漢城</v>
          </cell>
          <cell r="J13706">
            <v>45772</v>
          </cell>
          <cell r="K13706">
            <v>6</v>
          </cell>
        </row>
        <row r="13707">
          <cell r="C13707" t="str">
            <v>蘇漢城</v>
          </cell>
          <cell r="F13707" t="str">
            <v>E250102I1</v>
          </cell>
          <cell r="J13707">
            <v>45772</v>
          </cell>
          <cell r="K13707">
            <v>2</v>
          </cell>
        </row>
        <row r="13708">
          <cell r="C13708" t="str">
            <v>蘇漢城</v>
          </cell>
          <cell r="F13708" t="str">
            <v>E250102I1</v>
          </cell>
          <cell r="J13708">
            <v>45775</v>
          </cell>
          <cell r="K13708">
            <v>8</v>
          </cell>
        </row>
        <row r="13709">
          <cell r="C13709" t="str">
            <v>蘇漢城</v>
          </cell>
          <cell r="J13709">
            <v>45776</v>
          </cell>
          <cell r="K13709">
            <v>1.5</v>
          </cell>
        </row>
        <row r="13710">
          <cell r="C13710" t="str">
            <v>蘇漢城</v>
          </cell>
          <cell r="J13710">
            <v>45776</v>
          </cell>
          <cell r="K13710">
            <v>8</v>
          </cell>
        </row>
        <row r="13711">
          <cell r="C13711" t="str">
            <v>蘇漢城</v>
          </cell>
          <cell r="J13711">
            <v>45777</v>
          </cell>
          <cell r="K13711">
            <v>4</v>
          </cell>
        </row>
        <row r="13712">
          <cell r="C13712" t="str">
            <v>蘇漢城</v>
          </cell>
          <cell r="J13712">
            <v>45777</v>
          </cell>
          <cell r="K13712">
            <v>2.5</v>
          </cell>
        </row>
        <row r="13713">
          <cell r="C13713" t="str">
            <v>蘇漢城</v>
          </cell>
          <cell r="J13713">
            <v>45777</v>
          </cell>
          <cell r="K13713">
            <v>1.5</v>
          </cell>
        </row>
        <row r="13714">
          <cell r="C13714" t="str">
            <v>蘇漢城</v>
          </cell>
          <cell r="F13714" t="str">
            <v>E250102I1</v>
          </cell>
          <cell r="J13714">
            <v>45779</v>
          </cell>
          <cell r="K13714">
            <v>8</v>
          </cell>
        </row>
        <row r="13715">
          <cell r="C13715" t="str">
            <v>蘇漢城</v>
          </cell>
          <cell r="J13715">
            <v>45782</v>
          </cell>
          <cell r="K13715">
            <v>4</v>
          </cell>
        </row>
        <row r="13716">
          <cell r="C13716" t="str">
            <v>蘇漢城</v>
          </cell>
          <cell r="F13716" t="str">
            <v>E250102I1</v>
          </cell>
          <cell r="J13716">
            <v>45782</v>
          </cell>
          <cell r="K13716">
            <v>4</v>
          </cell>
        </row>
        <row r="13717">
          <cell r="C13717" t="str">
            <v>蘇漢城</v>
          </cell>
          <cell r="J13717">
            <v>45783</v>
          </cell>
          <cell r="K13717">
            <v>4</v>
          </cell>
        </row>
        <row r="13718">
          <cell r="C13718" t="str">
            <v>蘇漢城</v>
          </cell>
          <cell r="F13718" t="str">
            <v>E250102I1</v>
          </cell>
          <cell r="J13718">
            <v>45783</v>
          </cell>
          <cell r="K13718">
            <v>4</v>
          </cell>
        </row>
        <row r="13719">
          <cell r="C13719" t="str">
            <v>蘇漢城</v>
          </cell>
          <cell r="J13719">
            <v>45784</v>
          </cell>
          <cell r="K13719">
            <v>1</v>
          </cell>
        </row>
        <row r="13720">
          <cell r="C13720" t="str">
            <v>蘇漢城</v>
          </cell>
          <cell r="J13720">
            <v>45784</v>
          </cell>
          <cell r="K13720">
            <v>0.5</v>
          </cell>
        </row>
        <row r="13721">
          <cell r="C13721" t="str">
            <v>蘇漢城</v>
          </cell>
          <cell r="F13721" t="str">
            <v>E250102I1</v>
          </cell>
          <cell r="J13721">
            <v>45784</v>
          </cell>
          <cell r="K13721">
            <v>8</v>
          </cell>
        </row>
        <row r="13722">
          <cell r="C13722" t="str">
            <v>蘇漢城</v>
          </cell>
          <cell r="J13722">
            <v>45785</v>
          </cell>
          <cell r="K13722">
            <v>1</v>
          </cell>
        </row>
        <row r="13723">
          <cell r="C13723" t="str">
            <v>蘇漢城</v>
          </cell>
          <cell r="J13723">
            <v>45785</v>
          </cell>
          <cell r="K13723">
            <v>1</v>
          </cell>
        </row>
        <row r="13724">
          <cell r="C13724" t="str">
            <v>蘇漢城</v>
          </cell>
          <cell r="F13724" t="str">
            <v>E250102I1</v>
          </cell>
          <cell r="J13724">
            <v>45785</v>
          </cell>
          <cell r="K13724">
            <v>6</v>
          </cell>
        </row>
        <row r="13725">
          <cell r="C13725" t="str">
            <v>蘇漢城</v>
          </cell>
          <cell r="F13725" t="str">
            <v>E250102I1</v>
          </cell>
          <cell r="J13725">
            <v>45786</v>
          </cell>
          <cell r="K13725">
            <v>8</v>
          </cell>
        </row>
        <row r="13726">
          <cell r="C13726" t="str">
            <v>蘇漢城</v>
          </cell>
          <cell r="F13726" t="str">
            <v>E250102I1</v>
          </cell>
          <cell r="J13726">
            <v>45789</v>
          </cell>
          <cell r="K13726">
            <v>5.5</v>
          </cell>
        </row>
        <row r="13727">
          <cell r="C13727" t="str">
            <v>蘇漢城</v>
          </cell>
          <cell r="F13727" t="str">
            <v>E250201I1</v>
          </cell>
          <cell r="J13727">
            <v>45789</v>
          </cell>
          <cell r="K13727">
            <v>4</v>
          </cell>
        </row>
        <row r="13728">
          <cell r="C13728" t="str">
            <v>蘇漢城</v>
          </cell>
          <cell r="F13728" t="str">
            <v>E250102I1</v>
          </cell>
          <cell r="J13728">
            <v>45790</v>
          </cell>
          <cell r="K13728">
            <v>6</v>
          </cell>
        </row>
        <row r="13729">
          <cell r="C13729" t="str">
            <v>蘇漢城</v>
          </cell>
          <cell r="F13729" t="str">
            <v>E250201I1</v>
          </cell>
          <cell r="J13729">
            <v>45790</v>
          </cell>
          <cell r="K13729">
            <v>2</v>
          </cell>
        </row>
        <row r="13730">
          <cell r="C13730" t="str">
            <v>蘇漢城</v>
          </cell>
          <cell r="F13730" t="str">
            <v>E250201I1</v>
          </cell>
          <cell r="J13730">
            <v>45791</v>
          </cell>
          <cell r="K13730">
            <v>8</v>
          </cell>
        </row>
        <row r="13731">
          <cell r="C13731" t="str">
            <v>蘇漢城</v>
          </cell>
          <cell r="J13731">
            <v>45792</v>
          </cell>
          <cell r="K13731">
            <v>1</v>
          </cell>
        </row>
        <row r="13732">
          <cell r="C13732" t="str">
            <v>蘇漢城</v>
          </cell>
          <cell r="F13732" t="str">
            <v>E250201I1</v>
          </cell>
          <cell r="J13732">
            <v>45792</v>
          </cell>
          <cell r="K13732">
            <v>7</v>
          </cell>
        </row>
        <row r="13733">
          <cell r="C13733" t="str">
            <v>蘇漢城</v>
          </cell>
          <cell r="F13733" t="str">
            <v>E250102I1</v>
          </cell>
          <cell r="J13733">
            <v>45793</v>
          </cell>
          <cell r="K13733">
            <v>8</v>
          </cell>
        </row>
        <row r="13734">
          <cell r="C13734" t="str">
            <v>蘇漢城</v>
          </cell>
          <cell r="F13734" t="str">
            <v>E250201I1</v>
          </cell>
          <cell r="J13734">
            <v>45796</v>
          </cell>
          <cell r="K13734">
            <v>8</v>
          </cell>
        </row>
        <row r="13735">
          <cell r="C13735" t="str">
            <v>蘇漢城</v>
          </cell>
          <cell r="F13735" t="str">
            <v>E250201I1</v>
          </cell>
          <cell r="J13735">
            <v>45797</v>
          </cell>
          <cell r="K13735">
            <v>9.5</v>
          </cell>
        </row>
        <row r="13736">
          <cell r="C13736" t="str">
            <v>蘇漢城</v>
          </cell>
          <cell r="J13736">
            <v>45798</v>
          </cell>
          <cell r="K13736">
            <v>0.5</v>
          </cell>
        </row>
        <row r="13737">
          <cell r="C13737" t="str">
            <v>蘇漢城</v>
          </cell>
          <cell r="F13737" t="str">
            <v>E250201I1</v>
          </cell>
          <cell r="J13737">
            <v>45798</v>
          </cell>
          <cell r="K13737">
            <v>7.5</v>
          </cell>
        </row>
        <row r="13738">
          <cell r="C13738" t="str">
            <v>蘇漢城</v>
          </cell>
          <cell r="J13738">
            <v>45799</v>
          </cell>
          <cell r="K13738">
            <v>0.5</v>
          </cell>
        </row>
        <row r="13739">
          <cell r="C13739" t="str">
            <v>蘇漢城</v>
          </cell>
          <cell r="F13739" t="str">
            <v>E250201I1</v>
          </cell>
          <cell r="J13739">
            <v>45799</v>
          </cell>
          <cell r="K13739">
            <v>7.5</v>
          </cell>
        </row>
        <row r="13740">
          <cell r="C13740" t="str">
            <v>蘇漢城</v>
          </cell>
          <cell r="F13740" t="str">
            <v>E250201I1</v>
          </cell>
          <cell r="J13740">
            <v>45800</v>
          </cell>
          <cell r="K13740">
            <v>8</v>
          </cell>
        </row>
        <row r="13741">
          <cell r="C13741" t="str">
            <v>蘇漢城</v>
          </cell>
          <cell r="J13741">
            <v>45803</v>
          </cell>
          <cell r="K13741">
            <v>2.5</v>
          </cell>
        </row>
        <row r="13742">
          <cell r="C13742" t="str">
            <v>蘇漢城</v>
          </cell>
          <cell r="J13742">
            <v>45803</v>
          </cell>
          <cell r="K13742">
            <v>3.5</v>
          </cell>
        </row>
        <row r="13743">
          <cell r="C13743" t="str">
            <v>蘇漢城</v>
          </cell>
          <cell r="F13743" t="str">
            <v>E250201I1</v>
          </cell>
          <cell r="J13743">
            <v>45803</v>
          </cell>
          <cell r="K13743">
            <v>3</v>
          </cell>
        </row>
        <row r="13744">
          <cell r="C13744" t="str">
            <v>蘇漢城</v>
          </cell>
          <cell r="J13744">
            <v>45804</v>
          </cell>
          <cell r="K13744">
            <v>4</v>
          </cell>
        </row>
        <row r="13745">
          <cell r="C13745" t="str">
            <v>蘇漢城</v>
          </cell>
          <cell r="F13745" t="str">
            <v>E250201I1</v>
          </cell>
          <cell r="J13745">
            <v>45804</v>
          </cell>
          <cell r="K13745">
            <v>5.5</v>
          </cell>
        </row>
        <row r="13746">
          <cell r="C13746" t="str">
            <v>蘇漢城</v>
          </cell>
          <cell r="J13746">
            <v>45805</v>
          </cell>
          <cell r="K13746">
            <v>0.5</v>
          </cell>
        </row>
        <row r="13747">
          <cell r="C13747" t="str">
            <v>蘇漢城</v>
          </cell>
          <cell r="J13747">
            <v>45805</v>
          </cell>
          <cell r="K13747">
            <v>0.5</v>
          </cell>
        </row>
        <row r="13748">
          <cell r="C13748" t="str">
            <v>蘇漢城</v>
          </cell>
          <cell r="J13748">
            <v>45805</v>
          </cell>
          <cell r="K13748">
            <v>1</v>
          </cell>
        </row>
        <row r="13749">
          <cell r="C13749" t="str">
            <v>蘇漢城</v>
          </cell>
          <cell r="F13749" t="str">
            <v>E250201I1</v>
          </cell>
          <cell r="J13749">
            <v>45805</v>
          </cell>
          <cell r="K13749">
            <v>6</v>
          </cell>
        </row>
        <row r="13750">
          <cell r="C13750" t="str">
            <v>蘇漢城</v>
          </cell>
          <cell r="J13750">
            <v>45806</v>
          </cell>
          <cell r="K13750">
            <v>0.5</v>
          </cell>
        </row>
        <row r="13751">
          <cell r="C13751" t="str">
            <v>蘇漢城</v>
          </cell>
          <cell r="J13751">
            <v>45806</v>
          </cell>
          <cell r="K13751">
            <v>0.5</v>
          </cell>
        </row>
        <row r="13752">
          <cell r="C13752" t="str">
            <v>蘇漢城</v>
          </cell>
          <cell r="J13752">
            <v>45806</v>
          </cell>
          <cell r="K13752">
            <v>4</v>
          </cell>
        </row>
        <row r="13753">
          <cell r="C13753" t="str">
            <v>蘇漢城</v>
          </cell>
          <cell r="F13753" t="str">
            <v>E250201I1</v>
          </cell>
          <cell r="J13753">
            <v>45806</v>
          </cell>
          <cell r="K13753">
            <v>3</v>
          </cell>
        </row>
        <row r="13754">
          <cell r="C13754" t="str">
            <v>蘇漢城</v>
          </cell>
          <cell r="J13754">
            <v>45810</v>
          </cell>
          <cell r="K13754">
            <v>8</v>
          </cell>
        </row>
        <row r="13755">
          <cell r="C13755" t="str">
            <v>蘇漢城</v>
          </cell>
          <cell r="F13755" t="str">
            <v>E250102I1</v>
          </cell>
          <cell r="J13755">
            <v>45811</v>
          </cell>
          <cell r="K13755">
            <v>8</v>
          </cell>
        </row>
        <row r="13756">
          <cell r="C13756" t="str">
            <v>蘇漢城</v>
          </cell>
          <cell r="F13756" t="str">
            <v>E250102I1</v>
          </cell>
          <cell r="J13756">
            <v>45812</v>
          </cell>
          <cell r="K13756">
            <v>4.5</v>
          </cell>
        </row>
        <row r="13757">
          <cell r="C13757" t="str">
            <v>蘇漢城</v>
          </cell>
          <cell r="J13757">
            <v>45812</v>
          </cell>
          <cell r="K13757">
            <v>0.5</v>
          </cell>
        </row>
        <row r="13758">
          <cell r="C13758" t="str">
            <v>蘇漢城</v>
          </cell>
          <cell r="J13758">
            <v>45812</v>
          </cell>
          <cell r="K13758">
            <v>3</v>
          </cell>
        </row>
        <row r="13759">
          <cell r="C13759" t="str">
            <v>蘇漢城</v>
          </cell>
          <cell r="F13759" t="str">
            <v>E250201I1</v>
          </cell>
          <cell r="J13759">
            <v>45814</v>
          </cell>
          <cell r="K13759">
            <v>8</v>
          </cell>
        </row>
        <row r="13760">
          <cell r="C13760" t="str">
            <v>蘇漢城</v>
          </cell>
          <cell r="F13760" t="str">
            <v>E250201I1</v>
          </cell>
          <cell r="J13760">
            <v>45817</v>
          </cell>
          <cell r="K13760">
            <v>8</v>
          </cell>
        </row>
        <row r="13761">
          <cell r="C13761" t="str">
            <v>蘇漢城</v>
          </cell>
          <cell r="F13761" t="str">
            <v>E250201I1</v>
          </cell>
          <cell r="J13761">
            <v>45818</v>
          </cell>
          <cell r="K13761">
            <v>9</v>
          </cell>
        </row>
        <row r="13762">
          <cell r="C13762" t="str">
            <v>蘇漢城</v>
          </cell>
          <cell r="J13762">
            <v>45819</v>
          </cell>
          <cell r="K13762">
            <v>0.5</v>
          </cell>
        </row>
        <row r="13763">
          <cell r="C13763" t="str">
            <v>蘇漢城</v>
          </cell>
          <cell r="F13763" t="str">
            <v>E250201I1</v>
          </cell>
          <cell r="J13763">
            <v>45819</v>
          </cell>
          <cell r="K13763">
            <v>7.5</v>
          </cell>
        </row>
        <row r="13764">
          <cell r="C13764" t="str">
            <v>蘇漢城</v>
          </cell>
          <cell r="F13764" t="str">
            <v>E250102I1</v>
          </cell>
          <cell r="J13764">
            <v>45820</v>
          </cell>
          <cell r="K13764">
            <v>5</v>
          </cell>
        </row>
        <row r="13765">
          <cell r="C13765" t="str">
            <v>蘇漢城</v>
          </cell>
          <cell r="J13765">
            <v>45820</v>
          </cell>
          <cell r="K13765">
            <v>1</v>
          </cell>
        </row>
        <row r="13766">
          <cell r="C13766" t="str">
            <v>蘇漢城</v>
          </cell>
          <cell r="J13766">
            <v>45820</v>
          </cell>
          <cell r="K13766">
            <v>2</v>
          </cell>
        </row>
        <row r="13767">
          <cell r="C13767" t="str">
            <v>蘇漢城</v>
          </cell>
          <cell r="F13767" t="str">
            <v>E250201I1</v>
          </cell>
          <cell r="J13767">
            <v>45821</v>
          </cell>
          <cell r="K13767">
            <v>8</v>
          </cell>
        </row>
        <row r="13768">
          <cell r="C13768" t="str">
            <v>蘇漢城</v>
          </cell>
          <cell r="J13768">
            <v>45824</v>
          </cell>
          <cell r="K13768">
            <v>4</v>
          </cell>
        </row>
        <row r="13769">
          <cell r="C13769" t="str">
            <v>蘇漢城</v>
          </cell>
          <cell r="F13769" t="str">
            <v>E250201I1</v>
          </cell>
          <cell r="J13769">
            <v>45824</v>
          </cell>
          <cell r="K13769">
            <v>4</v>
          </cell>
        </row>
        <row r="13770">
          <cell r="C13770" t="str">
            <v>蘇漢城</v>
          </cell>
          <cell r="J13770">
            <v>45825</v>
          </cell>
          <cell r="K13770">
            <v>4</v>
          </cell>
        </row>
        <row r="13771">
          <cell r="C13771" t="str">
            <v>蘇漢城</v>
          </cell>
          <cell r="F13771" t="str">
            <v>E250201I1</v>
          </cell>
          <cell r="J13771">
            <v>45825</v>
          </cell>
          <cell r="K13771">
            <v>5.5</v>
          </cell>
        </row>
        <row r="13772">
          <cell r="C13772" t="str">
            <v>蘇漢城</v>
          </cell>
          <cell r="J13772">
            <v>45826</v>
          </cell>
          <cell r="K13772">
            <v>8</v>
          </cell>
        </row>
        <row r="13773">
          <cell r="C13773" t="str">
            <v>蘇漢城</v>
          </cell>
          <cell r="J13773">
            <v>45832</v>
          </cell>
          <cell r="K13773">
            <v>2</v>
          </cell>
        </row>
        <row r="13774">
          <cell r="C13774" t="str">
            <v>蘇漢城</v>
          </cell>
          <cell r="F13774" t="str">
            <v>E250201I1</v>
          </cell>
          <cell r="J13774">
            <v>45832</v>
          </cell>
          <cell r="K13774">
            <v>6</v>
          </cell>
        </row>
        <row r="13775">
          <cell r="C13775" t="str">
            <v>蘇漢城</v>
          </cell>
          <cell r="J13775">
            <v>45833</v>
          </cell>
          <cell r="K13775">
            <v>0.5</v>
          </cell>
        </row>
        <row r="13776">
          <cell r="C13776" t="str">
            <v>蘇漢城</v>
          </cell>
          <cell r="J13776">
            <v>45833</v>
          </cell>
          <cell r="K13776">
            <v>0.5</v>
          </cell>
        </row>
        <row r="13777">
          <cell r="C13777" t="str">
            <v>蘇漢城</v>
          </cell>
          <cell r="F13777" t="str">
            <v>E250201I1</v>
          </cell>
          <cell r="J13777">
            <v>45833</v>
          </cell>
          <cell r="K13777">
            <v>7</v>
          </cell>
        </row>
        <row r="13778">
          <cell r="C13778" t="str">
            <v>蘇漢城</v>
          </cell>
          <cell r="J13778">
            <v>45834</v>
          </cell>
          <cell r="K13778">
            <v>5</v>
          </cell>
        </row>
        <row r="13779">
          <cell r="C13779" t="str">
            <v>蘇漢城</v>
          </cell>
          <cell r="F13779" t="str">
            <v>E250201I1</v>
          </cell>
          <cell r="J13779">
            <v>45834</v>
          </cell>
          <cell r="K13779">
            <v>3</v>
          </cell>
        </row>
        <row r="13780">
          <cell r="C13780" t="str">
            <v>蘇漢城</v>
          </cell>
          <cell r="J13780">
            <v>45835</v>
          </cell>
          <cell r="K13780">
            <v>3</v>
          </cell>
        </row>
        <row r="13781">
          <cell r="C13781" t="str">
            <v>蘇漢城</v>
          </cell>
          <cell r="F13781" t="str">
            <v>E250201I1</v>
          </cell>
          <cell r="J13781">
            <v>45835</v>
          </cell>
          <cell r="K13781">
            <v>5</v>
          </cell>
        </row>
        <row r="13782">
          <cell r="C13782" t="str">
            <v>蘇漢城</v>
          </cell>
          <cell r="J13782">
            <v>45838</v>
          </cell>
          <cell r="K13782">
            <v>5</v>
          </cell>
        </row>
        <row r="13783">
          <cell r="C13783" t="str">
            <v>蘇漢城</v>
          </cell>
          <cell r="F13783" t="str">
            <v>E250201I1</v>
          </cell>
          <cell r="J13783">
            <v>45838</v>
          </cell>
          <cell r="K13783">
            <v>3</v>
          </cell>
        </row>
        <row r="13784">
          <cell r="C13784" t="str">
            <v>蘇漢城</v>
          </cell>
          <cell r="J13784">
            <v>45839</v>
          </cell>
          <cell r="K13784">
            <v>8</v>
          </cell>
        </row>
        <row r="13785">
          <cell r="C13785" t="str">
            <v>蘇漢城</v>
          </cell>
          <cell r="F13785" t="str">
            <v>E250201I1</v>
          </cell>
          <cell r="J13785">
            <v>45840</v>
          </cell>
          <cell r="K13785">
            <v>8</v>
          </cell>
        </row>
        <row r="13786">
          <cell r="C13786" t="str">
            <v>蘇漢城</v>
          </cell>
          <cell r="J13786">
            <v>45841</v>
          </cell>
          <cell r="K13786">
            <v>0.5</v>
          </cell>
        </row>
        <row r="13787">
          <cell r="C13787" t="str">
            <v>蘇漢城</v>
          </cell>
          <cell r="J13787">
            <v>45841</v>
          </cell>
          <cell r="K13787">
            <v>1.5</v>
          </cell>
        </row>
        <row r="13788">
          <cell r="C13788" t="str">
            <v>蘇漢城</v>
          </cell>
          <cell r="J13788">
            <v>45841</v>
          </cell>
          <cell r="K13788">
            <v>1.5</v>
          </cell>
        </row>
        <row r="13789">
          <cell r="C13789" t="str">
            <v>蘇漢城</v>
          </cell>
          <cell r="F13789" t="str">
            <v>E250201I1</v>
          </cell>
          <cell r="J13789">
            <v>45841</v>
          </cell>
          <cell r="K13789">
            <v>6</v>
          </cell>
        </row>
        <row r="13790">
          <cell r="C13790" t="str">
            <v>蘇漢城</v>
          </cell>
          <cell r="J13790">
            <v>45842</v>
          </cell>
          <cell r="K13790">
            <v>3</v>
          </cell>
        </row>
        <row r="13791">
          <cell r="C13791" t="str">
            <v>蘇漢城</v>
          </cell>
          <cell r="F13791" t="str">
            <v>E250201I1</v>
          </cell>
          <cell r="J13791">
            <v>45842</v>
          </cell>
          <cell r="K13791">
            <v>5</v>
          </cell>
        </row>
        <row r="13792">
          <cell r="C13792" t="str">
            <v>蘇漢城</v>
          </cell>
          <cell r="J13792">
            <v>45845</v>
          </cell>
          <cell r="K13792">
            <v>2</v>
          </cell>
        </row>
        <row r="13793">
          <cell r="C13793" t="str">
            <v>蘇漢城</v>
          </cell>
          <cell r="J13793">
            <v>45845</v>
          </cell>
          <cell r="K13793">
            <v>1.5</v>
          </cell>
        </row>
        <row r="13794">
          <cell r="C13794" t="str">
            <v>蘇漢城</v>
          </cell>
          <cell r="J13794">
            <v>45845</v>
          </cell>
          <cell r="K13794">
            <v>0.5</v>
          </cell>
        </row>
        <row r="13795">
          <cell r="C13795" t="str">
            <v>蘇漢城</v>
          </cell>
          <cell r="F13795" t="str">
            <v>E250201I1</v>
          </cell>
          <cell r="J13795">
            <v>45845</v>
          </cell>
          <cell r="K13795">
            <v>4</v>
          </cell>
        </row>
        <row r="13796">
          <cell r="C13796" t="str">
            <v>蘇漢城</v>
          </cell>
          <cell r="J13796">
            <v>45846</v>
          </cell>
          <cell r="K13796">
            <v>1</v>
          </cell>
        </row>
        <row r="13797">
          <cell r="C13797" t="str">
            <v>蘇漢城</v>
          </cell>
          <cell r="J13797">
            <v>45846</v>
          </cell>
          <cell r="K13797">
            <v>1</v>
          </cell>
        </row>
        <row r="13798">
          <cell r="C13798" t="str">
            <v>蘇漢城</v>
          </cell>
          <cell r="F13798" t="str">
            <v>E250201I1</v>
          </cell>
          <cell r="J13798">
            <v>45846</v>
          </cell>
          <cell r="K13798">
            <v>6</v>
          </cell>
        </row>
        <row r="13799">
          <cell r="C13799" t="str">
            <v>蘇漢城</v>
          </cell>
          <cell r="J13799">
            <v>45847</v>
          </cell>
          <cell r="K13799">
            <v>2</v>
          </cell>
        </row>
        <row r="13800">
          <cell r="C13800" t="str">
            <v>蘇漢城</v>
          </cell>
          <cell r="J13800">
            <v>45847</v>
          </cell>
          <cell r="K13800">
            <v>0.5</v>
          </cell>
        </row>
        <row r="13801">
          <cell r="C13801" t="str">
            <v>蘇漢城</v>
          </cell>
          <cell r="F13801" t="str">
            <v>E250201I1</v>
          </cell>
          <cell r="J13801">
            <v>45847</v>
          </cell>
          <cell r="K13801">
            <v>5.5</v>
          </cell>
        </row>
        <row r="13802">
          <cell r="C13802" t="str">
            <v>蘇漢城</v>
          </cell>
          <cell r="J13802">
            <v>45848</v>
          </cell>
          <cell r="K13802">
            <v>0.5</v>
          </cell>
        </row>
        <row r="13803">
          <cell r="C13803" t="str">
            <v>蘇漢城</v>
          </cell>
          <cell r="J13803">
            <v>45848</v>
          </cell>
          <cell r="K13803">
            <v>1</v>
          </cell>
        </row>
        <row r="13804">
          <cell r="C13804" t="str">
            <v>蘇漢城</v>
          </cell>
          <cell r="J13804">
            <v>45848</v>
          </cell>
          <cell r="K13804">
            <v>0.5</v>
          </cell>
        </row>
        <row r="13805">
          <cell r="C13805" t="str">
            <v>蘇漢城</v>
          </cell>
          <cell r="J13805">
            <v>45848</v>
          </cell>
          <cell r="K13805">
            <v>0.5</v>
          </cell>
        </row>
        <row r="13806">
          <cell r="C13806" t="str">
            <v>蘇漢城</v>
          </cell>
          <cell r="J13806">
            <v>45848</v>
          </cell>
          <cell r="K13806">
            <v>0.5</v>
          </cell>
        </row>
        <row r="13807">
          <cell r="C13807" t="str">
            <v>蘇漢城</v>
          </cell>
          <cell r="F13807" t="str">
            <v>E250201I1</v>
          </cell>
          <cell r="J13807">
            <v>45848</v>
          </cell>
          <cell r="K13807">
            <v>5</v>
          </cell>
        </row>
        <row r="13808">
          <cell r="C13808" t="str">
            <v>蘇漢城</v>
          </cell>
          <cell r="J13808">
            <v>45849</v>
          </cell>
          <cell r="K13808">
            <v>4</v>
          </cell>
        </row>
        <row r="13809">
          <cell r="C13809" t="str">
            <v>蘇漢城</v>
          </cell>
          <cell r="F13809" t="str">
            <v>E250201I1</v>
          </cell>
          <cell r="J13809">
            <v>45849</v>
          </cell>
          <cell r="K13809">
            <v>4</v>
          </cell>
        </row>
        <row r="13810">
          <cell r="C13810" t="str">
            <v>蘇漢城</v>
          </cell>
          <cell r="J13810">
            <v>45852</v>
          </cell>
          <cell r="K13810">
            <v>2</v>
          </cell>
        </row>
        <row r="13811">
          <cell r="C13811" t="str">
            <v>蘇漢城</v>
          </cell>
          <cell r="J13811">
            <v>45852</v>
          </cell>
          <cell r="K13811">
            <v>2</v>
          </cell>
        </row>
        <row r="13812">
          <cell r="C13812" t="str">
            <v>蘇漢城</v>
          </cell>
          <cell r="J13812">
            <v>45852</v>
          </cell>
          <cell r="K13812">
            <v>4</v>
          </cell>
        </row>
        <row r="13813">
          <cell r="C13813" t="str">
            <v>蘇漢城</v>
          </cell>
          <cell r="J13813">
            <v>45853</v>
          </cell>
          <cell r="K13813">
            <v>8</v>
          </cell>
        </row>
        <row r="13814">
          <cell r="C13814" t="str">
            <v>蘇漢城</v>
          </cell>
          <cell r="J13814">
            <v>45854</v>
          </cell>
          <cell r="K13814">
            <v>2</v>
          </cell>
        </row>
        <row r="13815">
          <cell r="C13815" t="str">
            <v>蘇漢城</v>
          </cell>
          <cell r="J13815">
            <v>45854</v>
          </cell>
          <cell r="K13815">
            <v>2</v>
          </cell>
        </row>
        <row r="13816">
          <cell r="C13816" t="str">
            <v>蘇漢城</v>
          </cell>
          <cell r="J13816">
            <v>45854</v>
          </cell>
          <cell r="K13816">
            <v>0.5</v>
          </cell>
        </row>
        <row r="13817">
          <cell r="C13817" t="str">
            <v>蘇漢城</v>
          </cell>
          <cell r="J13817">
            <v>45854</v>
          </cell>
          <cell r="K13817">
            <v>3.5</v>
          </cell>
        </row>
        <row r="13818">
          <cell r="C13818" t="str">
            <v>蘇漢城</v>
          </cell>
          <cell r="J13818">
            <v>45855</v>
          </cell>
          <cell r="K13818">
            <v>6</v>
          </cell>
        </row>
        <row r="13819">
          <cell r="C13819" t="str">
            <v>蘇漢城</v>
          </cell>
          <cell r="J13819">
            <v>45855</v>
          </cell>
          <cell r="K13819">
            <v>1</v>
          </cell>
        </row>
        <row r="13820">
          <cell r="C13820" t="str">
            <v>蘇漢城</v>
          </cell>
          <cell r="J13820">
            <v>45855</v>
          </cell>
          <cell r="K13820">
            <v>1</v>
          </cell>
        </row>
        <row r="13821">
          <cell r="C13821" t="str">
            <v>蘇漢城</v>
          </cell>
          <cell r="J13821">
            <v>45856</v>
          </cell>
          <cell r="K13821">
            <v>8</v>
          </cell>
        </row>
        <row r="13822">
          <cell r="C13822" t="str">
            <v>蘇漢城</v>
          </cell>
          <cell r="J13822">
            <v>45859</v>
          </cell>
          <cell r="K13822">
            <v>8</v>
          </cell>
        </row>
        <row r="13823">
          <cell r="C13823" t="str">
            <v>蘇漢城</v>
          </cell>
          <cell r="F13823" t="str">
            <v>E250201I1</v>
          </cell>
          <cell r="J13823">
            <v>45860</v>
          </cell>
          <cell r="K13823">
            <v>8</v>
          </cell>
        </row>
        <row r="13824">
          <cell r="C13824" t="str">
            <v>蘇漢城</v>
          </cell>
          <cell r="J13824">
            <v>45861</v>
          </cell>
          <cell r="K13824">
            <v>1</v>
          </cell>
        </row>
        <row r="13825">
          <cell r="C13825" t="str">
            <v>蘇漢城</v>
          </cell>
          <cell r="J13825">
            <v>45861</v>
          </cell>
          <cell r="K13825">
            <v>3</v>
          </cell>
        </row>
        <row r="13826">
          <cell r="C13826" t="str">
            <v>蘇漢城</v>
          </cell>
          <cell r="F13826" t="str">
            <v>E250201I1</v>
          </cell>
          <cell r="J13826">
            <v>45861</v>
          </cell>
          <cell r="K13826">
            <v>4</v>
          </cell>
        </row>
        <row r="13827">
          <cell r="C13827" t="str">
            <v>蘇漢城</v>
          </cell>
          <cell r="F13827" t="str">
            <v>E250201I1</v>
          </cell>
          <cell r="J13827">
            <v>45870</v>
          </cell>
          <cell r="K13827">
            <v>8</v>
          </cell>
        </row>
        <row r="13828">
          <cell r="C13828" t="str">
            <v>蘇漢城</v>
          </cell>
          <cell r="J13828">
            <v>45873</v>
          </cell>
          <cell r="K13828">
            <v>4</v>
          </cell>
        </row>
        <row r="13829">
          <cell r="C13829" t="str">
            <v>蘇漢城</v>
          </cell>
          <cell r="J13829">
            <v>45873</v>
          </cell>
          <cell r="K13829">
            <v>1</v>
          </cell>
        </row>
        <row r="13830">
          <cell r="C13830" t="str">
            <v>蘇漢城</v>
          </cell>
          <cell r="F13830" t="str">
            <v>E250201I1</v>
          </cell>
          <cell r="J13830">
            <v>45873</v>
          </cell>
          <cell r="K13830">
            <v>4</v>
          </cell>
        </row>
        <row r="13831">
          <cell r="C13831" t="str">
            <v>蘇漢城</v>
          </cell>
          <cell r="J13831">
            <v>45874</v>
          </cell>
          <cell r="K13831">
            <v>4</v>
          </cell>
        </row>
        <row r="13832">
          <cell r="C13832" t="str">
            <v>蘇漢城</v>
          </cell>
          <cell r="J13832">
            <v>45874</v>
          </cell>
          <cell r="K13832">
            <v>4</v>
          </cell>
        </row>
        <row r="13833">
          <cell r="C13833" t="str">
            <v>蘇漢城</v>
          </cell>
          <cell r="J13833">
            <v>45875</v>
          </cell>
          <cell r="K13833">
            <v>6</v>
          </cell>
        </row>
        <row r="13834">
          <cell r="C13834" t="str">
            <v>蘇漢城</v>
          </cell>
          <cell r="J13834">
            <v>45875</v>
          </cell>
          <cell r="K13834">
            <v>1</v>
          </cell>
        </row>
        <row r="13835">
          <cell r="C13835" t="str">
            <v>蘇漢城</v>
          </cell>
          <cell r="J13835">
            <v>45875</v>
          </cell>
          <cell r="K13835">
            <v>1</v>
          </cell>
        </row>
        <row r="13836">
          <cell r="C13836" t="str">
            <v>蘇漢城</v>
          </cell>
          <cell r="J13836">
            <v>45876</v>
          </cell>
          <cell r="K13836">
            <v>1</v>
          </cell>
        </row>
        <row r="13837">
          <cell r="C13837" t="str">
            <v>蘇漢城</v>
          </cell>
          <cell r="J13837">
            <v>45876</v>
          </cell>
          <cell r="K13837">
            <v>6.5</v>
          </cell>
        </row>
        <row r="13838">
          <cell r="C13838" t="str">
            <v>蘇漢城</v>
          </cell>
          <cell r="J13838">
            <v>45876</v>
          </cell>
          <cell r="K13838">
            <v>0.5</v>
          </cell>
        </row>
        <row r="13839">
          <cell r="C13839" t="str">
            <v>蘇漢城</v>
          </cell>
          <cell r="J13839">
            <v>45880</v>
          </cell>
          <cell r="K13839">
            <v>8</v>
          </cell>
        </row>
        <row r="13840">
          <cell r="C13840" t="str">
            <v>蘇漢城</v>
          </cell>
          <cell r="J13840">
            <v>45881</v>
          </cell>
          <cell r="K13840">
            <v>4</v>
          </cell>
        </row>
        <row r="13841">
          <cell r="C13841" t="str">
            <v>蘇漢城</v>
          </cell>
          <cell r="J13841">
            <v>45881</v>
          </cell>
          <cell r="K13841">
            <v>4</v>
          </cell>
        </row>
        <row r="13842">
          <cell r="C13842" t="str">
            <v>蘇漢城</v>
          </cell>
          <cell r="J13842">
            <v>45882</v>
          </cell>
          <cell r="K13842">
            <v>1</v>
          </cell>
        </row>
        <row r="13843">
          <cell r="C13843" t="str">
            <v>蘇漢城</v>
          </cell>
          <cell r="J13843">
            <v>45882</v>
          </cell>
          <cell r="K13843">
            <v>4</v>
          </cell>
        </row>
        <row r="13844">
          <cell r="C13844" t="str">
            <v>蘇漢城</v>
          </cell>
          <cell r="J13844">
            <v>45882</v>
          </cell>
          <cell r="K13844">
            <v>3</v>
          </cell>
        </row>
        <row r="13845">
          <cell r="C13845" t="str">
            <v>蘇漢城</v>
          </cell>
          <cell r="J13845">
            <v>45883</v>
          </cell>
          <cell r="K13845">
            <v>3</v>
          </cell>
        </row>
        <row r="13846">
          <cell r="C13846" t="str">
            <v>蘇漢城</v>
          </cell>
          <cell r="J13846">
            <v>45883</v>
          </cell>
          <cell r="K13846">
            <v>3.5</v>
          </cell>
        </row>
        <row r="13847">
          <cell r="C13847" t="str">
            <v>蘇漢城</v>
          </cell>
          <cell r="J13847">
            <v>45883</v>
          </cell>
          <cell r="K13847">
            <v>1.5</v>
          </cell>
        </row>
        <row r="13848">
          <cell r="C13848" t="str">
            <v>蘇漢城</v>
          </cell>
          <cell r="J13848">
            <v>45884</v>
          </cell>
          <cell r="K13848">
            <v>0.5</v>
          </cell>
        </row>
        <row r="13849">
          <cell r="C13849" t="str">
            <v>蘇漢城</v>
          </cell>
          <cell r="J13849">
            <v>45887</v>
          </cell>
          <cell r="K13849">
            <v>8</v>
          </cell>
        </row>
        <row r="13850">
          <cell r="C13850" t="str">
            <v>蘇漢城</v>
          </cell>
          <cell r="J13850">
            <v>45888</v>
          </cell>
          <cell r="K13850">
            <v>4</v>
          </cell>
        </row>
        <row r="13851">
          <cell r="C13851" t="str">
            <v>蘇漢城</v>
          </cell>
          <cell r="J13851">
            <v>45888</v>
          </cell>
          <cell r="K13851">
            <v>4</v>
          </cell>
        </row>
        <row r="13852">
          <cell r="C13852" t="str">
            <v>蘇漢城</v>
          </cell>
          <cell r="J13852">
            <v>45889</v>
          </cell>
          <cell r="K13852">
            <v>1</v>
          </cell>
        </row>
        <row r="13853">
          <cell r="C13853" t="str">
            <v>蘇漢城</v>
          </cell>
          <cell r="J13853">
            <v>45889</v>
          </cell>
          <cell r="K13853">
            <v>4</v>
          </cell>
        </row>
        <row r="13854">
          <cell r="C13854" t="str">
            <v>蘇漢城</v>
          </cell>
          <cell r="J13854">
            <v>45889</v>
          </cell>
          <cell r="K13854">
            <v>0.5</v>
          </cell>
        </row>
        <row r="13855">
          <cell r="C13855" t="str">
            <v>蘇漢城</v>
          </cell>
          <cell r="J13855">
            <v>45889</v>
          </cell>
          <cell r="K13855">
            <v>2.5</v>
          </cell>
        </row>
        <row r="13856">
          <cell r="C13856" t="str">
            <v>蘇漢城</v>
          </cell>
          <cell r="J13856">
            <v>45890</v>
          </cell>
          <cell r="K13856">
            <v>3</v>
          </cell>
        </row>
        <row r="13857">
          <cell r="C13857" t="str">
            <v>蘇漢城</v>
          </cell>
          <cell r="J13857">
            <v>45890</v>
          </cell>
          <cell r="K13857">
            <v>7.5</v>
          </cell>
        </row>
        <row r="13858">
          <cell r="C13858" t="str">
            <v>蘇漢城</v>
          </cell>
          <cell r="J13858">
            <v>45890</v>
          </cell>
          <cell r="K13858">
            <v>1</v>
          </cell>
        </row>
        <row r="13859">
          <cell r="C13859" t="str">
            <v>蘇漢城</v>
          </cell>
          <cell r="F13859" t="str">
            <v>E250102I1</v>
          </cell>
          <cell r="J13859">
            <v>45890</v>
          </cell>
          <cell r="K13859">
            <v>4</v>
          </cell>
        </row>
        <row r="13860">
          <cell r="C13860" t="str">
            <v>蘇漢城</v>
          </cell>
          <cell r="J13860">
            <v>45891</v>
          </cell>
          <cell r="K13860">
            <v>5</v>
          </cell>
        </row>
        <row r="13861">
          <cell r="C13861" t="str">
            <v>蘇漢城</v>
          </cell>
          <cell r="J13861">
            <v>45891</v>
          </cell>
          <cell r="K13861">
            <v>3</v>
          </cell>
        </row>
        <row r="13862">
          <cell r="C13862" t="str">
            <v>蘇漢城</v>
          </cell>
          <cell r="J13862">
            <v>45894</v>
          </cell>
          <cell r="K13862">
            <v>4</v>
          </cell>
        </row>
        <row r="13863">
          <cell r="C13863" t="str">
            <v>蘇漢城</v>
          </cell>
          <cell r="F13863" t="str">
            <v>E250102I1</v>
          </cell>
          <cell r="J13863">
            <v>45894</v>
          </cell>
          <cell r="K13863">
            <v>4</v>
          </cell>
        </row>
        <row r="13864">
          <cell r="C13864" t="str">
            <v>蘇漢城</v>
          </cell>
          <cell r="J13864">
            <v>45895</v>
          </cell>
          <cell r="K13864">
            <v>4</v>
          </cell>
        </row>
        <row r="13865">
          <cell r="C13865" t="str">
            <v>蘇漢城</v>
          </cell>
          <cell r="F13865" t="str">
            <v>E250102I1</v>
          </cell>
          <cell r="J13865">
            <v>45895</v>
          </cell>
          <cell r="K13865">
            <v>4</v>
          </cell>
        </row>
        <row r="13866">
          <cell r="C13866" t="str">
            <v>蘇漢城</v>
          </cell>
          <cell r="J13866">
            <v>45896</v>
          </cell>
          <cell r="K13866">
            <v>3</v>
          </cell>
        </row>
        <row r="13867">
          <cell r="C13867" t="str">
            <v>蘇漢城</v>
          </cell>
          <cell r="J13867">
            <v>45896</v>
          </cell>
          <cell r="K13867">
            <v>1</v>
          </cell>
        </row>
        <row r="13868">
          <cell r="C13868" t="str">
            <v>蘇漢城</v>
          </cell>
          <cell r="F13868" t="str">
            <v>E250102I1</v>
          </cell>
          <cell r="J13868">
            <v>45896</v>
          </cell>
          <cell r="K13868">
            <v>4</v>
          </cell>
        </row>
        <row r="13869">
          <cell r="C13869" t="str">
            <v>蘇漢城</v>
          </cell>
          <cell r="J13869">
            <v>45897</v>
          </cell>
          <cell r="K13869">
            <v>2</v>
          </cell>
        </row>
        <row r="13870">
          <cell r="C13870" t="str">
            <v>蘇漢城</v>
          </cell>
          <cell r="J13870">
            <v>45897</v>
          </cell>
          <cell r="K13870">
            <v>0.5</v>
          </cell>
        </row>
        <row r="13871">
          <cell r="C13871" t="str">
            <v>蘇漢城</v>
          </cell>
          <cell r="F13871" t="str">
            <v>E250102I1</v>
          </cell>
          <cell r="J13871">
            <v>45897</v>
          </cell>
          <cell r="K13871">
            <v>3</v>
          </cell>
        </row>
        <row r="13872">
          <cell r="C13872" t="str">
            <v>蘇漢城</v>
          </cell>
          <cell r="F13872" t="str">
            <v>E250201I1</v>
          </cell>
          <cell r="J13872">
            <v>45897</v>
          </cell>
          <cell r="K13872">
            <v>2</v>
          </cell>
        </row>
        <row r="13873">
          <cell r="C13873" t="str">
            <v>蘇漢城</v>
          </cell>
          <cell r="J13873">
            <v>45898</v>
          </cell>
          <cell r="K13873">
            <v>1</v>
          </cell>
        </row>
        <row r="13874">
          <cell r="C13874" t="str">
            <v>蘇漢城</v>
          </cell>
          <cell r="J13874">
            <v>45898</v>
          </cell>
          <cell r="K13874">
            <v>3</v>
          </cell>
        </row>
        <row r="13875">
          <cell r="C13875" t="str">
            <v>蘇漢城</v>
          </cell>
          <cell r="F13875" t="str">
            <v>E250102I1</v>
          </cell>
          <cell r="J13875">
            <v>45898</v>
          </cell>
          <cell r="K13875">
            <v>4</v>
          </cell>
        </row>
        <row r="13876">
          <cell r="C13876" t="str">
            <v>蘇漢城</v>
          </cell>
          <cell r="J13876">
            <v>45901</v>
          </cell>
          <cell r="K13876">
            <v>2</v>
          </cell>
        </row>
        <row r="13877">
          <cell r="C13877" t="str">
            <v>蘇漢城</v>
          </cell>
          <cell r="J13877">
            <v>45901</v>
          </cell>
          <cell r="K13877">
            <v>2</v>
          </cell>
        </row>
        <row r="13878">
          <cell r="C13878" t="str">
            <v>蘇漢城</v>
          </cell>
          <cell r="F13878" t="str">
            <v>E250102I1</v>
          </cell>
          <cell r="J13878">
            <v>45901</v>
          </cell>
          <cell r="K13878">
            <v>4</v>
          </cell>
        </row>
        <row r="13879">
          <cell r="C13879" t="str">
            <v>蘇漢城</v>
          </cell>
          <cell r="J13879">
            <v>45902</v>
          </cell>
          <cell r="K13879">
            <v>8</v>
          </cell>
        </row>
        <row r="13880">
          <cell r="C13880" t="str">
            <v>蘇漢城</v>
          </cell>
          <cell r="J13880">
            <v>45903</v>
          </cell>
          <cell r="K13880">
            <v>8</v>
          </cell>
        </row>
        <row r="13881">
          <cell r="C13881" t="str">
            <v>蘇漢城</v>
          </cell>
          <cell r="J13881">
            <v>45904</v>
          </cell>
          <cell r="K13881">
            <v>0.5</v>
          </cell>
        </row>
        <row r="13882">
          <cell r="C13882" t="str">
            <v>蘇漢城</v>
          </cell>
          <cell r="J13882">
            <v>45904</v>
          </cell>
          <cell r="K13882">
            <v>0.5</v>
          </cell>
        </row>
        <row r="13883">
          <cell r="C13883" t="str">
            <v>蘇漢城</v>
          </cell>
          <cell r="J13883">
            <v>45904</v>
          </cell>
          <cell r="K13883">
            <v>7</v>
          </cell>
        </row>
        <row r="13884">
          <cell r="C13884" t="str">
            <v>蘇漢城</v>
          </cell>
          <cell r="J13884">
            <v>45905</v>
          </cell>
          <cell r="K13884">
            <v>2</v>
          </cell>
        </row>
        <row r="13885">
          <cell r="C13885" t="str">
            <v>蘇漢城</v>
          </cell>
          <cell r="J13885">
            <v>45905</v>
          </cell>
          <cell r="K13885">
            <v>2</v>
          </cell>
        </row>
        <row r="13886">
          <cell r="C13886" t="str">
            <v>蘇漢城</v>
          </cell>
          <cell r="J13886">
            <v>45905</v>
          </cell>
          <cell r="K13886">
            <v>4</v>
          </cell>
        </row>
        <row r="13887">
          <cell r="C13887" t="str">
            <v>蘇漢城</v>
          </cell>
          <cell r="J13887">
            <v>45908</v>
          </cell>
          <cell r="K13887">
            <v>7</v>
          </cell>
        </row>
        <row r="13888">
          <cell r="C13888" t="str">
            <v>蘇漢城</v>
          </cell>
          <cell r="J13888">
            <v>45908</v>
          </cell>
          <cell r="K13888">
            <v>1</v>
          </cell>
        </row>
        <row r="13889">
          <cell r="C13889" t="str">
            <v>蘇漢城</v>
          </cell>
          <cell r="J13889">
            <v>45909</v>
          </cell>
          <cell r="K13889">
            <v>4</v>
          </cell>
        </row>
        <row r="13890">
          <cell r="C13890" t="str">
            <v>蘇漢城</v>
          </cell>
          <cell r="J13890">
            <v>45909</v>
          </cell>
          <cell r="K13890">
            <v>4</v>
          </cell>
        </row>
        <row r="13891">
          <cell r="C13891" t="str">
            <v>蘇漢城</v>
          </cell>
          <cell r="J13891">
            <v>45910</v>
          </cell>
          <cell r="K13891">
            <v>0.5</v>
          </cell>
        </row>
        <row r="13892">
          <cell r="C13892" t="str">
            <v>蘇漢城</v>
          </cell>
          <cell r="J13892">
            <v>45910</v>
          </cell>
          <cell r="K13892">
            <v>2</v>
          </cell>
        </row>
        <row r="13893">
          <cell r="C13893" t="str">
            <v>蘇漢城</v>
          </cell>
          <cell r="J13893">
            <v>45910</v>
          </cell>
          <cell r="K13893">
            <v>0.5</v>
          </cell>
        </row>
        <row r="13894">
          <cell r="C13894" t="str">
            <v>蘇漢城</v>
          </cell>
          <cell r="J13894">
            <v>45910</v>
          </cell>
          <cell r="K13894">
            <v>0.5</v>
          </cell>
        </row>
        <row r="13895">
          <cell r="C13895" t="str">
            <v>蘇漢城</v>
          </cell>
          <cell r="J13895">
            <v>45910</v>
          </cell>
          <cell r="K13895">
            <v>4.5</v>
          </cell>
        </row>
        <row r="13896">
          <cell r="C13896" t="str">
            <v>蘇漢城</v>
          </cell>
          <cell r="J13896">
            <v>45911</v>
          </cell>
          <cell r="K13896">
            <v>0.5</v>
          </cell>
        </row>
        <row r="13897">
          <cell r="C13897" t="str">
            <v>蘇漢城</v>
          </cell>
          <cell r="J13897">
            <v>45911</v>
          </cell>
          <cell r="K13897">
            <v>2</v>
          </cell>
        </row>
        <row r="13898">
          <cell r="C13898" t="str">
            <v>蘇漢城</v>
          </cell>
          <cell r="J13898">
            <v>45911</v>
          </cell>
          <cell r="K13898">
            <v>0.5</v>
          </cell>
        </row>
        <row r="13899">
          <cell r="C13899" t="str">
            <v>蘇漢城</v>
          </cell>
          <cell r="J13899">
            <v>45911</v>
          </cell>
          <cell r="K13899">
            <v>0.5</v>
          </cell>
        </row>
        <row r="13900">
          <cell r="C13900" t="str">
            <v>蘇漢城</v>
          </cell>
          <cell r="J13900">
            <v>45911</v>
          </cell>
          <cell r="K13900">
            <v>4.5</v>
          </cell>
        </row>
        <row r="13901">
          <cell r="C13901" t="str">
            <v>蘇漢城</v>
          </cell>
          <cell r="J13901">
            <v>45912</v>
          </cell>
          <cell r="K13901">
            <v>8</v>
          </cell>
        </row>
        <row r="13902">
          <cell r="C13902" t="str">
            <v>蘇漢城</v>
          </cell>
          <cell r="J13902">
            <v>45915</v>
          </cell>
          <cell r="K13902">
            <v>8</v>
          </cell>
        </row>
        <row r="13903">
          <cell r="C13903" t="str">
            <v>蘇漢城</v>
          </cell>
          <cell r="J13903">
            <v>45916</v>
          </cell>
          <cell r="K13903">
            <v>7</v>
          </cell>
        </row>
        <row r="13904">
          <cell r="C13904" t="str">
            <v>蘇漢城</v>
          </cell>
          <cell r="J13904">
            <v>45916</v>
          </cell>
          <cell r="K13904">
            <v>1</v>
          </cell>
        </row>
        <row r="13905">
          <cell r="C13905" t="str">
            <v>蘇漢城</v>
          </cell>
          <cell r="J13905">
            <v>45917</v>
          </cell>
          <cell r="K13905">
            <v>5</v>
          </cell>
        </row>
        <row r="13906">
          <cell r="C13906" t="str">
            <v>蘇漢城</v>
          </cell>
          <cell r="J13906">
            <v>45917</v>
          </cell>
          <cell r="K13906">
            <v>0.5</v>
          </cell>
        </row>
        <row r="13907">
          <cell r="C13907" t="str">
            <v>蘇漢城</v>
          </cell>
          <cell r="J13907">
            <v>45917</v>
          </cell>
          <cell r="K13907">
            <v>2</v>
          </cell>
        </row>
        <row r="13908">
          <cell r="C13908" t="str">
            <v>蘇漢城</v>
          </cell>
          <cell r="J13908">
            <v>45917</v>
          </cell>
          <cell r="K13908">
            <v>0.5</v>
          </cell>
        </row>
        <row r="13909">
          <cell r="C13909" t="str">
            <v>蘇漢城</v>
          </cell>
          <cell r="J13909">
            <v>45918</v>
          </cell>
          <cell r="K13909">
            <v>1</v>
          </cell>
        </row>
        <row r="13910">
          <cell r="C13910" t="str">
            <v>蘇漢城</v>
          </cell>
          <cell r="J13910">
            <v>45918</v>
          </cell>
          <cell r="K13910">
            <v>2</v>
          </cell>
        </row>
        <row r="13911">
          <cell r="C13911" t="str">
            <v>蘇漢城</v>
          </cell>
          <cell r="J13911">
            <v>45918</v>
          </cell>
          <cell r="K13911">
            <v>0.5</v>
          </cell>
        </row>
        <row r="13912">
          <cell r="C13912" t="str">
            <v>蘇漢城</v>
          </cell>
          <cell r="J13912">
            <v>45919</v>
          </cell>
          <cell r="K13912">
            <v>8</v>
          </cell>
        </row>
        <row r="13913">
          <cell r="C13913" t="str">
            <v>蘇漢城</v>
          </cell>
          <cell r="J13913">
            <v>45922</v>
          </cell>
          <cell r="K13913">
            <v>5</v>
          </cell>
        </row>
        <row r="13914">
          <cell r="C13914" t="str">
            <v>蘇漢城</v>
          </cell>
          <cell r="J13914">
            <v>45922</v>
          </cell>
          <cell r="K13914">
            <v>2</v>
          </cell>
        </row>
        <row r="13915">
          <cell r="C13915" t="str">
            <v>蘇漢城</v>
          </cell>
          <cell r="J13915">
            <v>45922</v>
          </cell>
          <cell r="K13915">
            <v>1</v>
          </cell>
        </row>
        <row r="13916">
          <cell r="C13916" t="str">
            <v>蘇漢城</v>
          </cell>
          <cell r="J13916">
            <v>45923</v>
          </cell>
          <cell r="K13916">
            <v>1.5</v>
          </cell>
        </row>
        <row r="13917">
          <cell r="C13917" t="str">
            <v>蘇漢城</v>
          </cell>
          <cell r="J13917">
            <v>45923</v>
          </cell>
          <cell r="K13917">
            <v>0.5</v>
          </cell>
        </row>
        <row r="13918">
          <cell r="C13918" t="str">
            <v>蘇漢城</v>
          </cell>
          <cell r="J13918">
            <v>45923</v>
          </cell>
          <cell r="K13918">
            <v>2</v>
          </cell>
        </row>
        <row r="13919">
          <cell r="C13919" t="str">
            <v>蘇漢城</v>
          </cell>
          <cell r="J13919">
            <v>45923</v>
          </cell>
          <cell r="K13919">
            <v>1</v>
          </cell>
        </row>
        <row r="13920">
          <cell r="C13920" t="str">
            <v>蘇漢城</v>
          </cell>
          <cell r="J13920">
            <v>45923</v>
          </cell>
          <cell r="K13920">
            <v>3</v>
          </cell>
        </row>
        <row r="13921">
          <cell r="C13921" t="str">
            <v>蘇漢城</v>
          </cell>
          <cell r="J13921">
            <v>45924</v>
          </cell>
          <cell r="K13921">
            <v>1</v>
          </cell>
        </row>
        <row r="13922">
          <cell r="C13922" t="str">
            <v>蘇漢城</v>
          </cell>
          <cell r="J13922">
            <v>45924</v>
          </cell>
          <cell r="K13922">
            <v>0.5</v>
          </cell>
        </row>
        <row r="13923">
          <cell r="C13923" t="str">
            <v>蘇漢城</v>
          </cell>
          <cell r="J13923">
            <v>45924</v>
          </cell>
          <cell r="K13923">
            <v>5.5</v>
          </cell>
        </row>
        <row r="13924">
          <cell r="C13924" t="str">
            <v>蘇漢城</v>
          </cell>
          <cell r="J13924">
            <v>45924</v>
          </cell>
          <cell r="K13924">
            <v>1</v>
          </cell>
        </row>
        <row r="13925">
          <cell r="C13925" t="str">
            <v>蘇漢城</v>
          </cell>
          <cell r="J13925">
            <v>45925</v>
          </cell>
          <cell r="K13925">
            <v>1</v>
          </cell>
        </row>
        <row r="13926">
          <cell r="C13926" t="str">
            <v>蘇漢城</v>
          </cell>
          <cell r="J13926">
            <v>45925</v>
          </cell>
          <cell r="K13926">
            <v>1</v>
          </cell>
        </row>
        <row r="13927">
          <cell r="C13927" t="str">
            <v>蘇漢城</v>
          </cell>
          <cell r="J13927">
            <v>45925</v>
          </cell>
          <cell r="K13927">
            <v>6</v>
          </cell>
        </row>
        <row r="13928">
          <cell r="C13928" t="str">
            <v>蘇漢城</v>
          </cell>
          <cell r="J13928">
            <v>45926</v>
          </cell>
          <cell r="K13928">
            <v>6</v>
          </cell>
        </row>
        <row r="13929">
          <cell r="C13929" t="str">
            <v>蘇漢城</v>
          </cell>
          <cell r="J13929">
            <v>45926</v>
          </cell>
          <cell r="K13929">
            <v>0.5</v>
          </cell>
        </row>
        <row r="13930">
          <cell r="C13930" t="str">
            <v>蘇漢城</v>
          </cell>
          <cell r="J13930">
            <v>45926</v>
          </cell>
          <cell r="K13930">
            <v>0.5</v>
          </cell>
        </row>
        <row r="13931">
          <cell r="C13931" t="str">
            <v>蘇漢城</v>
          </cell>
          <cell r="J13931">
            <v>45926</v>
          </cell>
          <cell r="K13931">
            <v>1</v>
          </cell>
        </row>
        <row r="13932">
          <cell r="C13932" t="str">
            <v>蘇漢城</v>
          </cell>
          <cell r="J13932">
            <v>45930</v>
          </cell>
          <cell r="K13932">
            <v>3</v>
          </cell>
        </row>
        <row r="13933">
          <cell r="C13933" t="str">
            <v>蘇漢城</v>
          </cell>
          <cell r="J13933">
            <v>45930</v>
          </cell>
          <cell r="K13933">
            <v>2</v>
          </cell>
        </row>
        <row r="13934">
          <cell r="C13934" t="str">
            <v>蘇漢城</v>
          </cell>
          <cell r="J13934">
            <v>45930</v>
          </cell>
          <cell r="K13934">
            <v>3</v>
          </cell>
        </row>
        <row r="13935">
          <cell r="C13935" t="str">
            <v>蘇漢城</v>
          </cell>
          <cell r="J13935">
            <v>45931</v>
          </cell>
          <cell r="K13935">
            <v>1</v>
          </cell>
        </row>
        <row r="13936">
          <cell r="C13936" t="str">
            <v>蘇漢城</v>
          </cell>
          <cell r="J13936">
            <v>45931</v>
          </cell>
          <cell r="K13936">
            <v>1</v>
          </cell>
        </row>
        <row r="13937">
          <cell r="C13937" t="str">
            <v>蘇漢城</v>
          </cell>
          <cell r="J13937">
            <v>45931</v>
          </cell>
          <cell r="K13937">
            <v>0.5</v>
          </cell>
        </row>
        <row r="13938">
          <cell r="C13938" t="str">
            <v>蘇漢城</v>
          </cell>
          <cell r="J13938">
            <v>45931</v>
          </cell>
          <cell r="K13938">
            <v>0.5</v>
          </cell>
        </row>
        <row r="13939">
          <cell r="C13939" t="str">
            <v>蘇漢城</v>
          </cell>
          <cell r="J13939">
            <v>45931</v>
          </cell>
          <cell r="K13939">
            <v>5</v>
          </cell>
        </row>
        <row r="13940">
          <cell r="C13940" t="str">
            <v>蘇漢城</v>
          </cell>
          <cell r="J13940">
            <v>45932</v>
          </cell>
          <cell r="K13940">
            <v>1</v>
          </cell>
        </row>
        <row r="13941">
          <cell r="C13941" t="str">
            <v>蘇漢城</v>
          </cell>
          <cell r="J13941">
            <v>45932</v>
          </cell>
          <cell r="K13941">
            <v>5.5</v>
          </cell>
        </row>
        <row r="13942">
          <cell r="C13942" t="str">
            <v>蘇漢城</v>
          </cell>
          <cell r="J13942">
            <v>45932</v>
          </cell>
          <cell r="K13942">
            <v>1</v>
          </cell>
        </row>
        <row r="13943">
          <cell r="C13943" t="str">
            <v>蘇漢城</v>
          </cell>
          <cell r="J13943">
            <v>45932</v>
          </cell>
          <cell r="K13943">
            <v>0.5</v>
          </cell>
        </row>
        <row r="13944">
          <cell r="C13944" t="str">
            <v>蘇漢城</v>
          </cell>
          <cell r="J13944">
            <v>45933</v>
          </cell>
          <cell r="K13944">
            <v>3</v>
          </cell>
        </row>
        <row r="13945">
          <cell r="C13945" t="str">
            <v>蘇漢城</v>
          </cell>
          <cell r="J13945">
            <v>45933</v>
          </cell>
          <cell r="K13945">
            <v>1</v>
          </cell>
        </row>
        <row r="13946">
          <cell r="C13946" t="str">
            <v>蘇漢城</v>
          </cell>
          <cell r="J13946">
            <v>45933</v>
          </cell>
          <cell r="K13946">
            <v>4</v>
          </cell>
        </row>
        <row r="13947">
          <cell r="C13947" t="str">
            <v>蘇漢城</v>
          </cell>
          <cell r="F13947" t="str">
            <v>E250201I1</v>
          </cell>
          <cell r="J13947">
            <v>45937</v>
          </cell>
          <cell r="K13947">
            <v>8</v>
          </cell>
        </row>
        <row r="13948">
          <cell r="C13948" t="str">
            <v>蘇漢城</v>
          </cell>
          <cell r="F13948" t="str">
            <v>E250201I1</v>
          </cell>
          <cell r="J13948">
            <v>45938</v>
          </cell>
          <cell r="K13948">
            <v>8</v>
          </cell>
        </row>
        <row r="13949">
          <cell r="C13949" t="str">
            <v>蘇漢城</v>
          </cell>
          <cell r="F13949" t="str">
            <v>D250803R1</v>
          </cell>
          <cell r="J13949">
            <v>45939</v>
          </cell>
          <cell r="K13949">
            <v>4</v>
          </cell>
        </row>
        <row r="13950">
          <cell r="C13950" t="str">
            <v>蘇漢城</v>
          </cell>
          <cell r="J13950">
            <v>45939</v>
          </cell>
          <cell r="K13950">
            <v>1.5</v>
          </cell>
        </row>
        <row r="13951">
          <cell r="C13951" t="str">
            <v>蘇漢城</v>
          </cell>
          <cell r="F13951" t="str">
            <v>E250201I1</v>
          </cell>
          <cell r="J13951">
            <v>45939</v>
          </cell>
          <cell r="K13951">
            <v>2.5</v>
          </cell>
        </row>
        <row r="13952">
          <cell r="C13952" t="str">
            <v>蘇漢城</v>
          </cell>
          <cell r="J13952">
            <v>45943</v>
          </cell>
          <cell r="K13952">
            <v>8</v>
          </cell>
        </row>
        <row r="13953">
          <cell r="C13953" t="str">
            <v>蘇漢城</v>
          </cell>
          <cell r="J13953">
            <v>45944</v>
          </cell>
          <cell r="K13953">
            <v>4</v>
          </cell>
        </row>
        <row r="13954">
          <cell r="C13954" t="str">
            <v>蘇漢城</v>
          </cell>
          <cell r="F13954" t="str">
            <v>D250803R1</v>
          </cell>
          <cell r="J13954">
            <v>45944</v>
          </cell>
          <cell r="K13954">
            <v>4</v>
          </cell>
        </row>
        <row r="13955">
          <cell r="C13955" t="str">
            <v>蘇漢城</v>
          </cell>
          <cell r="F13955" t="str">
            <v>D250803R1</v>
          </cell>
          <cell r="J13955">
            <v>45945</v>
          </cell>
          <cell r="K13955">
            <v>4</v>
          </cell>
        </row>
        <row r="13956">
          <cell r="C13956" t="str">
            <v>蘇漢城</v>
          </cell>
          <cell r="J13956">
            <v>45945</v>
          </cell>
          <cell r="K13956">
            <v>4</v>
          </cell>
        </row>
        <row r="13957">
          <cell r="C13957" t="str">
            <v>蘇漢城</v>
          </cell>
          <cell r="F13957" t="str">
            <v>D250803R1</v>
          </cell>
          <cell r="J13957">
            <v>45946</v>
          </cell>
          <cell r="K13957">
            <v>4</v>
          </cell>
        </row>
        <row r="13958">
          <cell r="C13958" t="str">
            <v>蘇漢城</v>
          </cell>
          <cell r="J13958">
            <v>45946</v>
          </cell>
          <cell r="K13958">
            <v>3</v>
          </cell>
        </row>
        <row r="13959">
          <cell r="C13959" t="str">
            <v>蘇漢城</v>
          </cell>
          <cell r="F13959" t="str">
            <v>E250201I1</v>
          </cell>
          <cell r="J13959">
            <v>45946</v>
          </cell>
          <cell r="K13959">
            <v>1</v>
          </cell>
        </row>
        <row r="13960">
          <cell r="C13960" t="str">
            <v>蘇漢城</v>
          </cell>
          <cell r="J13960">
            <v>45947</v>
          </cell>
          <cell r="K13960">
            <v>1</v>
          </cell>
        </row>
        <row r="13961">
          <cell r="C13961" t="str">
            <v>蘇漢城</v>
          </cell>
          <cell r="J13961">
            <v>45947</v>
          </cell>
          <cell r="K13961">
            <v>4</v>
          </cell>
        </row>
        <row r="13962">
          <cell r="C13962" t="str">
            <v>蘇漢城</v>
          </cell>
          <cell r="J13962">
            <v>45947</v>
          </cell>
          <cell r="K13962">
            <v>1</v>
          </cell>
        </row>
        <row r="13963">
          <cell r="C13963" t="str">
            <v>蘇漢城</v>
          </cell>
          <cell r="F13963" t="str">
            <v>E250201I1</v>
          </cell>
          <cell r="J13963">
            <v>45947</v>
          </cell>
          <cell r="K13963">
            <v>2</v>
          </cell>
        </row>
        <row r="13964">
          <cell r="C13964" t="str">
            <v>蘇漢城</v>
          </cell>
          <cell r="J13964">
            <v>45950</v>
          </cell>
          <cell r="K13964">
            <v>4</v>
          </cell>
        </row>
        <row r="13965">
          <cell r="C13965" t="str">
            <v>蘇漢城</v>
          </cell>
          <cell r="J13965">
            <v>45950</v>
          </cell>
          <cell r="K13965">
            <v>1.5</v>
          </cell>
        </row>
        <row r="13966">
          <cell r="C13966" t="str">
            <v>蘇漢城</v>
          </cell>
          <cell r="J13966">
            <v>45950</v>
          </cell>
          <cell r="K13966">
            <v>0.5</v>
          </cell>
        </row>
        <row r="13967">
          <cell r="C13967" t="str">
            <v>蘇漢城</v>
          </cell>
          <cell r="F13967" t="str">
            <v>E250201I1</v>
          </cell>
          <cell r="J13967">
            <v>45950</v>
          </cell>
          <cell r="K13967">
            <v>2</v>
          </cell>
        </row>
        <row r="13968">
          <cell r="C13968" t="str">
            <v>蘇漢城</v>
          </cell>
          <cell r="J13968">
            <v>45951</v>
          </cell>
          <cell r="K13968">
            <v>4</v>
          </cell>
        </row>
        <row r="13969">
          <cell r="C13969" t="str">
            <v>蘇漢城</v>
          </cell>
          <cell r="F13969" t="str">
            <v>D250803R1</v>
          </cell>
          <cell r="J13969">
            <v>45951</v>
          </cell>
          <cell r="K13969">
            <v>4</v>
          </cell>
        </row>
        <row r="13970">
          <cell r="C13970" t="str">
            <v>蘇漢城</v>
          </cell>
          <cell r="F13970" t="str">
            <v>E251003I1</v>
          </cell>
          <cell r="J13970">
            <v>45952</v>
          </cell>
          <cell r="K13970">
            <v>8</v>
          </cell>
        </row>
        <row r="13971">
          <cell r="C13971" t="str">
            <v>蘇漢城</v>
          </cell>
          <cell r="J13971">
            <v>45953</v>
          </cell>
          <cell r="K13971">
            <v>1</v>
          </cell>
        </row>
        <row r="13972">
          <cell r="C13972" t="str">
            <v>蘇漢城</v>
          </cell>
          <cell r="J13972">
            <v>45953</v>
          </cell>
          <cell r="K13972">
            <v>1</v>
          </cell>
        </row>
        <row r="13973">
          <cell r="C13973" t="str">
            <v>蘇漢城</v>
          </cell>
          <cell r="J13973">
            <v>45953</v>
          </cell>
          <cell r="K13973">
            <v>1.5</v>
          </cell>
        </row>
        <row r="13974">
          <cell r="C13974" t="str">
            <v>蘇漢城</v>
          </cell>
          <cell r="F13974" t="str">
            <v>E251003I1</v>
          </cell>
          <cell r="J13974">
            <v>45953</v>
          </cell>
          <cell r="K13974">
            <v>4.5</v>
          </cell>
        </row>
        <row r="13975">
          <cell r="C13975" t="str">
            <v>蘇漢城</v>
          </cell>
          <cell r="J13975">
            <v>45957</v>
          </cell>
          <cell r="K13975">
            <v>8</v>
          </cell>
        </row>
        <row r="13976">
          <cell r="C13976" t="str">
            <v>蘇漢城</v>
          </cell>
          <cell r="F13976" t="str">
            <v>D250803R1</v>
          </cell>
          <cell r="J13976">
            <v>45958</v>
          </cell>
          <cell r="K13976">
            <v>4</v>
          </cell>
        </row>
        <row r="13977">
          <cell r="C13977" t="str">
            <v>蘇漢城</v>
          </cell>
          <cell r="F13977" t="str">
            <v>E251003I1</v>
          </cell>
          <cell r="J13977">
            <v>45958</v>
          </cell>
          <cell r="K13977">
            <v>2</v>
          </cell>
        </row>
        <row r="13978">
          <cell r="C13978" t="str">
            <v>蘇漢城</v>
          </cell>
          <cell r="F13978" t="str">
            <v>E251003I1</v>
          </cell>
          <cell r="J13978">
            <v>45958</v>
          </cell>
          <cell r="K13978">
            <v>2</v>
          </cell>
        </row>
        <row r="13979">
          <cell r="C13979" t="str">
            <v>蘇漢城</v>
          </cell>
          <cell r="F13979" t="str">
            <v>D250803R1</v>
          </cell>
          <cell r="J13979">
            <v>45959</v>
          </cell>
          <cell r="K13979">
            <v>4</v>
          </cell>
        </row>
        <row r="13980">
          <cell r="C13980" t="str">
            <v>蘇漢城</v>
          </cell>
          <cell r="J13980">
            <v>45959</v>
          </cell>
          <cell r="K13980">
            <v>3</v>
          </cell>
        </row>
        <row r="13981">
          <cell r="C13981" t="str">
            <v>蘇漢城</v>
          </cell>
          <cell r="J13981">
            <v>45959</v>
          </cell>
          <cell r="K13981">
            <v>1</v>
          </cell>
        </row>
        <row r="13982">
          <cell r="C13982" t="str">
            <v>蘇漢城</v>
          </cell>
          <cell r="F13982" t="str">
            <v>D250803R1</v>
          </cell>
          <cell r="J13982">
            <v>45960</v>
          </cell>
          <cell r="K13982">
            <v>4</v>
          </cell>
        </row>
        <row r="13983">
          <cell r="C13983" t="str">
            <v>蘇漢城</v>
          </cell>
          <cell r="F13983" t="str">
            <v>E251003I1</v>
          </cell>
          <cell r="J13983">
            <v>45960</v>
          </cell>
          <cell r="K13983">
            <v>3.5</v>
          </cell>
        </row>
        <row r="13984">
          <cell r="C13984" t="str">
            <v>蘇漢城</v>
          </cell>
          <cell r="F13984" t="str">
            <v>E251003I1</v>
          </cell>
          <cell r="J13984">
            <v>45960</v>
          </cell>
          <cell r="K13984">
            <v>4</v>
          </cell>
        </row>
        <row r="13985">
          <cell r="C13985" t="str">
            <v>蘇漢城</v>
          </cell>
          <cell r="J13985">
            <v>45961</v>
          </cell>
          <cell r="K13985">
            <v>0.5</v>
          </cell>
        </row>
        <row r="13986">
          <cell r="C13986" t="str">
            <v>蘇漢城</v>
          </cell>
          <cell r="J13986">
            <v>45961</v>
          </cell>
          <cell r="K13986">
            <v>1</v>
          </cell>
        </row>
        <row r="13987">
          <cell r="C13987" t="str">
            <v>蘇漢城</v>
          </cell>
          <cell r="J13987">
            <v>45961</v>
          </cell>
          <cell r="K13987">
            <v>2</v>
          </cell>
        </row>
        <row r="13988">
          <cell r="C13988" t="str">
            <v>蘇漢城</v>
          </cell>
          <cell r="J13988">
            <v>45961</v>
          </cell>
          <cell r="K13988">
            <v>1</v>
          </cell>
        </row>
        <row r="13989">
          <cell r="C13989" t="str">
            <v>蘇漢城</v>
          </cell>
          <cell r="F13989" t="str">
            <v>E251002I1</v>
          </cell>
          <cell r="J13989">
            <v>45964</v>
          </cell>
          <cell r="K13989">
            <v>4</v>
          </cell>
        </row>
        <row r="13990">
          <cell r="C13990" t="str">
            <v>蘇漢城</v>
          </cell>
          <cell r="F13990" t="str">
            <v>E251003I1</v>
          </cell>
          <cell r="J13990">
            <v>45964</v>
          </cell>
          <cell r="K13990">
            <v>4</v>
          </cell>
        </row>
        <row r="13991">
          <cell r="C13991" t="str">
            <v>蘇漢城</v>
          </cell>
          <cell r="F13991" t="str">
            <v>E251002I1</v>
          </cell>
          <cell r="J13991">
            <v>45965</v>
          </cell>
          <cell r="K13991">
            <v>8</v>
          </cell>
        </row>
        <row r="13992">
          <cell r="C13992" t="str">
            <v>蘇漢城</v>
          </cell>
          <cell r="F13992" t="str">
            <v>E251002I1</v>
          </cell>
          <cell r="J13992">
            <v>45966</v>
          </cell>
          <cell r="K13992">
            <v>8</v>
          </cell>
        </row>
        <row r="13993">
          <cell r="C13993" t="str">
            <v>蘇漢城</v>
          </cell>
          <cell r="J13993">
            <v>45967</v>
          </cell>
          <cell r="K13993">
            <v>0.5</v>
          </cell>
        </row>
        <row r="13994">
          <cell r="C13994" t="str">
            <v>蘇漢城</v>
          </cell>
          <cell r="J13994">
            <v>45967</v>
          </cell>
          <cell r="K13994">
            <v>1</v>
          </cell>
        </row>
        <row r="13995">
          <cell r="C13995" t="str">
            <v>蘇漢城</v>
          </cell>
          <cell r="F13995" t="str">
            <v>E251002I1</v>
          </cell>
          <cell r="J13995">
            <v>45967</v>
          </cell>
          <cell r="K13995">
            <v>6.5</v>
          </cell>
        </row>
        <row r="13996">
          <cell r="C13996" t="str">
            <v>蘇漢城</v>
          </cell>
          <cell r="F13996" t="str">
            <v>E251002I1</v>
          </cell>
          <cell r="J13996">
            <v>45968</v>
          </cell>
          <cell r="K13996">
            <v>8</v>
          </cell>
        </row>
        <row r="13997">
          <cell r="C13997" t="str">
            <v>蘇漢城</v>
          </cell>
          <cell r="F13997" t="str">
            <v>E251002I1</v>
          </cell>
          <cell r="J13997">
            <v>45971</v>
          </cell>
          <cell r="K13997">
            <v>8</v>
          </cell>
        </row>
        <row r="13998">
          <cell r="C13998" t="str">
            <v>蘇漢城</v>
          </cell>
          <cell r="J13998">
            <v>45972</v>
          </cell>
          <cell r="K13998">
            <v>2.5</v>
          </cell>
        </row>
        <row r="13999">
          <cell r="C13999" t="str">
            <v>蘇漢城</v>
          </cell>
          <cell r="F13999" t="str">
            <v>E251002I1</v>
          </cell>
          <cell r="J13999">
            <v>45972</v>
          </cell>
          <cell r="K13999">
            <v>5.5</v>
          </cell>
        </row>
        <row r="14000">
          <cell r="C14000" t="str">
            <v>蘇漢城</v>
          </cell>
          <cell r="J14000">
            <v>45973</v>
          </cell>
          <cell r="K14000">
            <v>0.5</v>
          </cell>
        </row>
        <row r="14001">
          <cell r="C14001" t="str">
            <v>蘇漢城</v>
          </cell>
          <cell r="F14001" t="str">
            <v>E251002I1</v>
          </cell>
          <cell r="J14001">
            <v>45973</v>
          </cell>
          <cell r="K14001">
            <v>7.5</v>
          </cell>
        </row>
        <row r="14002">
          <cell r="C14002" t="str">
            <v>蘇漢城</v>
          </cell>
          <cell r="J14002">
            <v>45974</v>
          </cell>
          <cell r="K14002">
            <v>1</v>
          </cell>
        </row>
        <row r="14003">
          <cell r="C14003" t="str">
            <v>蘇漢城</v>
          </cell>
          <cell r="J14003">
            <v>45974</v>
          </cell>
          <cell r="K14003">
            <v>0.5</v>
          </cell>
        </row>
        <row r="14004">
          <cell r="C14004" t="str">
            <v>蘇漢城</v>
          </cell>
          <cell r="F14004" t="str">
            <v>E251002I1</v>
          </cell>
          <cell r="J14004">
            <v>45974</v>
          </cell>
          <cell r="K14004">
            <v>6.5</v>
          </cell>
        </row>
        <row r="14005">
          <cell r="C14005" t="str">
            <v>蘇漢城</v>
          </cell>
          <cell r="J14005">
            <v>45975</v>
          </cell>
          <cell r="K14005">
            <v>1</v>
          </cell>
        </row>
        <row r="14006">
          <cell r="C14006" t="str">
            <v>蘇漢城</v>
          </cell>
          <cell r="F14006" t="str">
            <v>E251002I1</v>
          </cell>
          <cell r="J14006">
            <v>45975</v>
          </cell>
          <cell r="K14006">
            <v>7</v>
          </cell>
        </row>
        <row r="14007">
          <cell r="C14007" t="str">
            <v>蘇漢城</v>
          </cell>
          <cell r="F14007" t="str">
            <v>E251002I1</v>
          </cell>
          <cell r="J14007">
            <v>45978</v>
          </cell>
          <cell r="K14007">
            <v>8</v>
          </cell>
        </row>
        <row r="14008">
          <cell r="C14008" t="str">
            <v>蘇漢城</v>
          </cell>
          <cell r="J14008">
            <v>45979</v>
          </cell>
          <cell r="K14008">
            <v>2</v>
          </cell>
        </row>
        <row r="14009">
          <cell r="C14009" t="str">
            <v>蘇漢城</v>
          </cell>
          <cell r="F14009" t="str">
            <v>E251002I1</v>
          </cell>
          <cell r="J14009">
            <v>45979</v>
          </cell>
          <cell r="K14009">
            <v>6</v>
          </cell>
        </row>
        <row r="14010">
          <cell r="C14010" t="str">
            <v>蘇漢城</v>
          </cell>
          <cell r="J14010">
            <v>45980</v>
          </cell>
          <cell r="K14010">
            <v>2</v>
          </cell>
        </row>
        <row r="14011">
          <cell r="C14011" t="str">
            <v>蘇漢城</v>
          </cell>
          <cell r="J14011">
            <v>45980</v>
          </cell>
          <cell r="K14011">
            <v>0.5</v>
          </cell>
        </row>
        <row r="14012">
          <cell r="C14012" t="str">
            <v>蘇漢城</v>
          </cell>
          <cell r="F14012" t="str">
            <v>E251002I1</v>
          </cell>
          <cell r="J14012">
            <v>45980</v>
          </cell>
          <cell r="K14012">
            <v>5.5</v>
          </cell>
        </row>
        <row r="14013">
          <cell r="C14013" t="str">
            <v>蘇漢城</v>
          </cell>
          <cell r="F14013" t="str">
            <v>E251002I1</v>
          </cell>
          <cell r="J14013">
            <v>45981</v>
          </cell>
          <cell r="K14013">
            <v>4</v>
          </cell>
        </row>
        <row r="14014">
          <cell r="C14014" t="str">
            <v>蘇漢城</v>
          </cell>
          <cell r="F14014" t="str">
            <v>E251003I1</v>
          </cell>
          <cell r="J14014">
            <v>45981</v>
          </cell>
          <cell r="K14014">
            <v>4</v>
          </cell>
        </row>
        <row r="14015">
          <cell r="C14015" t="str">
            <v>蘇漢城</v>
          </cell>
          <cell r="J14015">
            <v>45982</v>
          </cell>
          <cell r="K14015">
            <v>2</v>
          </cell>
        </row>
        <row r="14016">
          <cell r="C14016" t="str">
            <v>蘇漢城</v>
          </cell>
          <cell r="F14016" t="str">
            <v>E251003I1</v>
          </cell>
          <cell r="J14016">
            <v>45982</v>
          </cell>
          <cell r="K14016">
            <v>6</v>
          </cell>
        </row>
        <row r="14017">
          <cell r="C14017" t="str">
            <v>蘇漢城</v>
          </cell>
          <cell r="F14017" t="str">
            <v>E251003I1</v>
          </cell>
          <cell r="J14017">
            <v>45985</v>
          </cell>
          <cell r="K14017">
            <v>8</v>
          </cell>
        </row>
        <row r="14018">
          <cell r="C14018" t="str">
            <v>蘇漢城</v>
          </cell>
          <cell r="F14018" t="str">
            <v>E251003I1</v>
          </cell>
          <cell r="J14018">
            <v>45986</v>
          </cell>
          <cell r="K14018">
            <v>8</v>
          </cell>
        </row>
        <row r="14019">
          <cell r="C14019" t="str">
            <v>蘇漢城</v>
          </cell>
          <cell r="J14019">
            <v>45987</v>
          </cell>
          <cell r="K14019">
            <v>3</v>
          </cell>
        </row>
        <row r="14020">
          <cell r="C14020" t="str">
            <v>蘇漢城</v>
          </cell>
          <cell r="J14020">
            <v>45987</v>
          </cell>
          <cell r="K14020">
            <v>2</v>
          </cell>
        </row>
        <row r="14021">
          <cell r="C14021" t="str">
            <v>蘇漢城</v>
          </cell>
          <cell r="J14021">
            <v>45987</v>
          </cell>
          <cell r="K14021">
            <v>1</v>
          </cell>
        </row>
        <row r="14022">
          <cell r="C14022" t="str">
            <v>蘇漢城</v>
          </cell>
          <cell r="F14022" t="str">
            <v>E251003I1</v>
          </cell>
          <cell r="J14022">
            <v>45987</v>
          </cell>
          <cell r="K14022">
            <v>2</v>
          </cell>
        </row>
        <row r="14023">
          <cell r="C14023" t="str">
            <v>蘇漢城</v>
          </cell>
          <cell r="J14023">
            <v>45988</v>
          </cell>
          <cell r="K14023">
            <v>0.5</v>
          </cell>
        </row>
        <row r="14024">
          <cell r="C14024" t="str">
            <v>蘇漢城</v>
          </cell>
          <cell r="J14024">
            <v>45988</v>
          </cell>
          <cell r="K14024">
            <v>1</v>
          </cell>
        </row>
        <row r="14025">
          <cell r="C14025" t="str">
            <v>蘇漢城</v>
          </cell>
          <cell r="J14025">
            <v>45988</v>
          </cell>
          <cell r="K14025">
            <v>0.5</v>
          </cell>
        </row>
        <row r="14026">
          <cell r="C14026" t="str">
            <v>蘇漢城</v>
          </cell>
          <cell r="J14026">
            <v>45988</v>
          </cell>
          <cell r="K14026">
            <v>0.5</v>
          </cell>
        </row>
        <row r="14027">
          <cell r="C14027" t="str">
            <v>蘇漢城</v>
          </cell>
          <cell r="F14027" t="str">
            <v>E251003I1</v>
          </cell>
          <cell r="J14027">
            <v>45988</v>
          </cell>
          <cell r="K14027">
            <v>5.5</v>
          </cell>
        </row>
        <row r="14028">
          <cell r="C14028" t="str">
            <v>蘇漢城</v>
          </cell>
          <cell r="J14028">
            <v>45989</v>
          </cell>
          <cell r="K14028">
            <v>8</v>
          </cell>
        </row>
        <row r="14029">
          <cell r="C14029" t="str">
            <v>蘇漢城</v>
          </cell>
          <cell r="F14029" t="str">
            <v>E251003I1</v>
          </cell>
          <cell r="J14029">
            <v>45992</v>
          </cell>
          <cell r="K14029">
            <v>8</v>
          </cell>
        </row>
        <row r="14030">
          <cell r="C14030" t="str">
            <v>蘇漢城</v>
          </cell>
          <cell r="F14030" t="str">
            <v>E251003I1</v>
          </cell>
          <cell r="J14030">
            <v>45994</v>
          </cell>
          <cell r="K14030">
            <v>8</v>
          </cell>
        </row>
        <row r="14031">
          <cell r="C14031" t="str">
            <v>蘇漢城</v>
          </cell>
          <cell r="F14031" t="str">
            <v>E251003I1</v>
          </cell>
          <cell r="J14031">
            <v>45994</v>
          </cell>
          <cell r="K14031">
            <v>8</v>
          </cell>
        </row>
        <row r="14032">
          <cell r="C14032" t="str">
            <v>蘇漢城</v>
          </cell>
          <cell r="F14032" t="str">
            <v>E251002I1</v>
          </cell>
          <cell r="J14032">
            <v>45995</v>
          </cell>
          <cell r="K14032">
            <v>3</v>
          </cell>
        </row>
        <row r="14033">
          <cell r="C14033" t="str">
            <v>蘇漢城</v>
          </cell>
          <cell r="F14033" t="str">
            <v>E251003I1</v>
          </cell>
          <cell r="J14033">
            <v>45995</v>
          </cell>
          <cell r="K14033">
            <v>5</v>
          </cell>
        </row>
        <row r="14034">
          <cell r="C14034" t="str">
            <v>蘇漢城</v>
          </cell>
          <cell r="F14034" t="str">
            <v>E251002I1</v>
          </cell>
          <cell r="J14034">
            <v>45996</v>
          </cell>
          <cell r="K14034">
            <v>2</v>
          </cell>
        </row>
        <row r="14035">
          <cell r="C14035" t="str">
            <v>蘇漢城</v>
          </cell>
          <cell r="F14035" t="str">
            <v>E251003I1</v>
          </cell>
          <cell r="J14035">
            <v>45996</v>
          </cell>
          <cell r="K14035">
            <v>6</v>
          </cell>
        </row>
        <row r="14036">
          <cell r="C14036" t="str">
            <v>蘇漢城</v>
          </cell>
          <cell r="F14036" t="str">
            <v>E251003I1</v>
          </cell>
          <cell r="J14036">
            <v>45999</v>
          </cell>
          <cell r="K14036">
            <v>8</v>
          </cell>
        </row>
        <row r="14037">
          <cell r="C14037" t="str">
            <v>蘇漢城</v>
          </cell>
          <cell r="F14037" t="str">
            <v>E251003I1</v>
          </cell>
          <cell r="J14037">
            <v>46000</v>
          </cell>
          <cell r="K14037">
            <v>8</v>
          </cell>
        </row>
        <row r="14038">
          <cell r="C14038" t="str">
            <v>蘇漢城</v>
          </cell>
          <cell r="F14038" t="str">
            <v>E251003I1</v>
          </cell>
          <cell r="J14038">
            <v>46001</v>
          </cell>
          <cell r="K14038">
            <v>8</v>
          </cell>
        </row>
        <row r="14039">
          <cell r="C14039" t="str">
            <v>蘇漢城</v>
          </cell>
          <cell r="J14039">
            <v>46002</v>
          </cell>
          <cell r="K14039">
            <v>0.5</v>
          </cell>
        </row>
        <row r="14040">
          <cell r="C14040" t="str">
            <v>蘇漢城</v>
          </cell>
          <cell r="F14040" t="str">
            <v>E251003I1</v>
          </cell>
          <cell r="J14040">
            <v>46002</v>
          </cell>
          <cell r="K14040">
            <v>7.5</v>
          </cell>
        </row>
        <row r="14041">
          <cell r="C14041" t="str">
            <v>蘇漢城</v>
          </cell>
          <cell r="J14041">
            <v>46003</v>
          </cell>
          <cell r="K14041">
            <v>1</v>
          </cell>
        </row>
        <row r="14042">
          <cell r="C14042" t="str">
            <v>蘇漢城</v>
          </cell>
          <cell r="J14042">
            <v>46003</v>
          </cell>
          <cell r="K14042">
            <v>2</v>
          </cell>
        </row>
        <row r="14043">
          <cell r="C14043" t="str">
            <v>蘇漢城</v>
          </cell>
          <cell r="F14043" t="str">
            <v>E251003I1</v>
          </cell>
          <cell r="J14043">
            <v>46003</v>
          </cell>
          <cell r="K14043">
            <v>5</v>
          </cell>
        </row>
        <row r="14044">
          <cell r="C14044" t="str">
            <v>蘇漢城</v>
          </cell>
          <cell r="F14044" t="str">
            <v>E251002I1</v>
          </cell>
          <cell r="J14044">
            <v>46006</v>
          </cell>
          <cell r="K14044">
            <v>8</v>
          </cell>
        </row>
        <row r="14045">
          <cell r="C14045" t="str">
            <v>蘇漢城</v>
          </cell>
          <cell r="F14045" t="str">
            <v>E251002I1</v>
          </cell>
          <cell r="J14045">
            <v>46007</v>
          </cell>
          <cell r="K14045">
            <v>8</v>
          </cell>
        </row>
        <row r="14046">
          <cell r="C14046" t="str">
            <v>蘇漢城</v>
          </cell>
          <cell r="F14046" t="str">
            <v>E251003I1</v>
          </cell>
          <cell r="J14046">
            <v>46008</v>
          </cell>
          <cell r="K14046">
            <v>8</v>
          </cell>
        </row>
        <row r="14047">
          <cell r="C14047" t="str">
            <v>蘇漢城</v>
          </cell>
          <cell r="J14047">
            <v>46009</v>
          </cell>
          <cell r="K14047">
            <v>0.5</v>
          </cell>
        </row>
        <row r="14048">
          <cell r="C14048" t="str">
            <v>蘇漢城</v>
          </cell>
          <cell r="J14048">
            <v>46009</v>
          </cell>
          <cell r="K14048">
            <v>0.5</v>
          </cell>
        </row>
        <row r="14049">
          <cell r="C14049" t="str">
            <v>蘇漢城</v>
          </cell>
          <cell r="J14049">
            <v>46009</v>
          </cell>
          <cell r="K14049">
            <v>1</v>
          </cell>
        </row>
        <row r="14050">
          <cell r="C14050" t="str">
            <v>蘇漢城</v>
          </cell>
          <cell r="F14050" t="str">
            <v>E251003I1</v>
          </cell>
          <cell r="J14050">
            <v>46009</v>
          </cell>
          <cell r="K14050">
            <v>6</v>
          </cell>
        </row>
        <row r="14051">
          <cell r="C14051" t="str">
            <v>蘇漢城</v>
          </cell>
          <cell r="J14051">
            <v>46010</v>
          </cell>
          <cell r="K14051">
            <v>4</v>
          </cell>
        </row>
        <row r="14052">
          <cell r="C14052" t="str">
            <v>蘇漢城</v>
          </cell>
          <cell r="J14052">
            <v>46010</v>
          </cell>
          <cell r="K14052">
            <v>2</v>
          </cell>
        </row>
        <row r="14053">
          <cell r="C14053" t="str">
            <v>蘇漢城</v>
          </cell>
          <cell r="F14053" t="str">
            <v>E251003I1</v>
          </cell>
          <cell r="J14053">
            <v>46010</v>
          </cell>
          <cell r="K14053">
            <v>2</v>
          </cell>
        </row>
        <row r="14054">
          <cell r="C14054" t="str">
            <v>蘇漢城</v>
          </cell>
          <cell r="F14054" t="str">
            <v>E251003I1</v>
          </cell>
          <cell r="J14054">
            <v>46013</v>
          </cell>
          <cell r="K14054">
            <v>8</v>
          </cell>
        </row>
        <row r="14055">
          <cell r="C14055" t="str">
            <v>蘇漢城</v>
          </cell>
          <cell r="F14055" t="str">
            <v>E251003I1</v>
          </cell>
          <cell r="J14055">
            <v>46014</v>
          </cell>
          <cell r="K14055">
            <v>8</v>
          </cell>
        </row>
        <row r="14056">
          <cell r="C14056" t="str">
            <v>蘇漢城</v>
          </cell>
          <cell r="J14056">
            <v>46015</v>
          </cell>
          <cell r="K14056">
            <v>1.5</v>
          </cell>
        </row>
        <row r="14057">
          <cell r="C14057" t="str">
            <v>蘇漢城</v>
          </cell>
          <cell r="F14057" t="str">
            <v>E251003I1</v>
          </cell>
          <cell r="J14057">
            <v>46015</v>
          </cell>
          <cell r="K14057">
            <v>6.5</v>
          </cell>
        </row>
        <row r="14058">
          <cell r="C14058" t="str">
            <v>蘇漢城</v>
          </cell>
          <cell r="F14058" t="str">
            <v>E251003I1</v>
          </cell>
          <cell r="J14058">
            <v>46017</v>
          </cell>
          <cell r="K14058">
            <v>8</v>
          </cell>
        </row>
        <row r="14059">
          <cell r="C14059" t="str">
            <v>蘇漢城</v>
          </cell>
          <cell r="J14059">
            <v>46020</v>
          </cell>
          <cell r="K14059">
            <v>8</v>
          </cell>
        </row>
        <row r="14060">
          <cell r="C14060" t="str">
            <v>蘇漢城</v>
          </cell>
          <cell r="F14060" t="str">
            <v>E251003I1</v>
          </cell>
          <cell r="J14060">
            <v>46021</v>
          </cell>
          <cell r="K14060">
            <v>8</v>
          </cell>
        </row>
        <row r="14061">
          <cell r="C14061" t="str">
            <v>蘇漢城</v>
          </cell>
          <cell r="J14061">
            <v>46022</v>
          </cell>
          <cell r="K14061">
            <v>2</v>
          </cell>
        </row>
        <row r="14062">
          <cell r="C14062" t="str">
            <v>蘇漢城</v>
          </cell>
          <cell r="J14062">
            <v>46022</v>
          </cell>
          <cell r="K14062">
            <v>2</v>
          </cell>
        </row>
        <row r="14063">
          <cell r="C14063" t="str">
            <v>蘇漢城</v>
          </cell>
          <cell r="F14063" t="str">
            <v>E251003I1</v>
          </cell>
          <cell r="J14063">
            <v>46022</v>
          </cell>
          <cell r="K14063">
            <v>4</v>
          </cell>
        </row>
        <row r="14064">
          <cell r="C14064" t="str">
            <v>蘇漢城</v>
          </cell>
          <cell r="J14064">
            <v>46024</v>
          </cell>
          <cell r="K14064">
            <v>4</v>
          </cell>
        </row>
        <row r="14065">
          <cell r="C14065" t="str">
            <v>蘇漢城</v>
          </cell>
          <cell r="F14065" t="str">
            <v>E251003I1</v>
          </cell>
          <cell r="J14065">
            <v>46024</v>
          </cell>
          <cell r="K14065">
            <v>4</v>
          </cell>
        </row>
        <row r="14066">
          <cell r="C14066" t="str">
            <v>蘇漢城</v>
          </cell>
          <cell r="J14066">
            <v>46027</v>
          </cell>
          <cell r="K14066">
            <v>2</v>
          </cell>
        </row>
        <row r="14067">
          <cell r="C14067" t="str">
            <v>蘇漢城</v>
          </cell>
          <cell r="J14067">
            <v>46027</v>
          </cell>
          <cell r="K14067">
            <v>2</v>
          </cell>
        </row>
        <row r="14068">
          <cell r="C14068" t="str">
            <v>蘇漢城</v>
          </cell>
          <cell r="F14068" t="str">
            <v>E251003I1</v>
          </cell>
          <cell r="J14068">
            <v>46027</v>
          </cell>
          <cell r="K14068">
            <v>4</v>
          </cell>
        </row>
        <row r="14069">
          <cell r="C14069" t="str">
            <v>蘇漢城</v>
          </cell>
          <cell r="F14069" t="str">
            <v>E251003I1</v>
          </cell>
          <cell r="J14069">
            <v>46028</v>
          </cell>
          <cell r="K14069">
            <v>4</v>
          </cell>
        </row>
        <row r="14070">
          <cell r="C14070" t="str">
            <v>蘇漢城</v>
          </cell>
          <cell r="F14070" t="str">
            <v>E251003I1</v>
          </cell>
          <cell r="J14070">
            <v>46028</v>
          </cell>
          <cell r="K14070">
            <v>4</v>
          </cell>
        </row>
        <row r="14071">
          <cell r="C14071" t="str">
            <v>蘇漢城</v>
          </cell>
          <cell r="F14071" t="str">
            <v>E251003I1</v>
          </cell>
          <cell r="J14071">
            <v>46029</v>
          </cell>
          <cell r="K14071">
            <v>8</v>
          </cell>
        </row>
        <row r="14072">
          <cell r="C14072" t="str">
            <v>蘇漢城</v>
          </cell>
          <cell r="J14072">
            <v>46030</v>
          </cell>
          <cell r="K14072">
            <v>1</v>
          </cell>
        </row>
        <row r="14073">
          <cell r="C14073" t="str">
            <v>蘇漢城</v>
          </cell>
          <cell r="J14073">
            <v>46030</v>
          </cell>
          <cell r="K14073">
            <v>1</v>
          </cell>
        </row>
        <row r="14074">
          <cell r="C14074" t="str">
            <v>蘇漢城</v>
          </cell>
          <cell r="F14074" t="str">
            <v>E251003I1</v>
          </cell>
          <cell r="J14074">
            <v>46030</v>
          </cell>
          <cell r="K14074">
            <v>6</v>
          </cell>
        </row>
        <row r="14075">
          <cell r="C14075" t="str">
            <v>蘇漢城</v>
          </cell>
          <cell r="J14075">
            <v>46031</v>
          </cell>
          <cell r="K14075">
            <v>1</v>
          </cell>
        </row>
        <row r="14076">
          <cell r="C14076" t="str">
            <v>蘇漢城</v>
          </cell>
          <cell r="F14076" t="str">
            <v>E251003I1</v>
          </cell>
          <cell r="J14076">
            <v>46031</v>
          </cell>
          <cell r="K14076">
            <v>7</v>
          </cell>
        </row>
        <row r="14077">
          <cell r="C14077" t="str">
            <v>蘇漢城</v>
          </cell>
          <cell r="F14077" t="str">
            <v>E251003I1</v>
          </cell>
          <cell r="J14077">
            <v>46034</v>
          </cell>
          <cell r="K14077">
            <v>8</v>
          </cell>
        </row>
        <row r="14078">
          <cell r="C14078" t="str">
            <v>蘇漢城</v>
          </cell>
          <cell r="J14078">
            <v>46035</v>
          </cell>
          <cell r="K14078">
            <v>2</v>
          </cell>
        </row>
        <row r="14079">
          <cell r="C14079" t="str">
            <v>蘇漢城</v>
          </cell>
          <cell r="F14079" t="str">
            <v>E251003I1</v>
          </cell>
          <cell r="J14079">
            <v>46035</v>
          </cell>
          <cell r="K14079">
            <v>6</v>
          </cell>
        </row>
        <row r="14080">
          <cell r="C14080" t="str">
            <v>蘇漢城</v>
          </cell>
          <cell r="J14080">
            <v>46036</v>
          </cell>
          <cell r="K14080">
            <v>3</v>
          </cell>
        </row>
        <row r="14081">
          <cell r="C14081" t="str">
            <v>蘇漢城</v>
          </cell>
          <cell r="J14081">
            <v>46036</v>
          </cell>
          <cell r="K14081">
            <v>2</v>
          </cell>
        </row>
        <row r="14082">
          <cell r="C14082" t="str">
            <v>蘇漢城</v>
          </cell>
          <cell r="J14082">
            <v>46036</v>
          </cell>
          <cell r="K14082">
            <v>3</v>
          </cell>
        </row>
        <row r="14083">
          <cell r="C14083" t="str">
            <v>蘇漢城</v>
          </cell>
          <cell r="J14083">
            <v>46037</v>
          </cell>
          <cell r="K14083">
            <v>1</v>
          </cell>
        </row>
        <row r="14084">
          <cell r="C14084" t="str">
            <v>蘇漢城</v>
          </cell>
          <cell r="J14084">
            <v>46037</v>
          </cell>
          <cell r="K14084">
            <v>3</v>
          </cell>
        </row>
        <row r="14085">
          <cell r="C14085" t="str">
            <v>蘇漢城</v>
          </cell>
          <cell r="F14085" t="str">
            <v>E251003I1</v>
          </cell>
          <cell r="J14085">
            <v>46037</v>
          </cell>
          <cell r="K14085">
            <v>4</v>
          </cell>
        </row>
        <row r="14086">
          <cell r="C14086" t="str">
            <v>蘇漢城</v>
          </cell>
          <cell r="J14086">
            <v>46038</v>
          </cell>
          <cell r="K14086">
            <v>2</v>
          </cell>
        </row>
        <row r="14087">
          <cell r="C14087" t="str">
            <v>蘇漢城</v>
          </cell>
          <cell r="J14087">
            <v>46038</v>
          </cell>
          <cell r="K14087">
            <v>3</v>
          </cell>
        </row>
        <row r="14088">
          <cell r="C14088" t="str">
            <v>蘇漢城</v>
          </cell>
          <cell r="F14088" t="str">
            <v>E251003I1</v>
          </cell>
          <cell r="J14088">
            <v>46038</v>
          </cell>
          <cell r="K14088">
            <v>3</v>
          </cell>
        </row>
        <row r="14089">
          <cell r="C14089" t="str">
            <v>蘇漢城</v>
          </cell>
          <cell r="J14089">
            <v>46041</v>
          </cell>
          <cell r="K14089">
            <v>3</v>
          </cell>
        </row>
        <row r="14090">
          <cell r="C14090" t="str">
            <v>蘇漢城</v>
          </cell>
          <cell r="F14090" t="str">
            <v>E251003I1</v>
          </cell>
          <cell r="J14090">
            <v>46041</v>
          </cell>
          <cell r="K14090">
            <v>5</v>
          </cell>
        </row>
        <row r="14091">
          <cell r="C14091" t="str">
            <v>蘇漢城</v>
          </cell>
          <cell r="J14091">
            <v>46042</v>
          </cell>
          <cell r="K14091">
            <v>4</v>
          </cell>
        </row>
        <row r="14092">
          <cell r="C14092" t="str">
            <v>蘇漢城</v>
          </cell>
          <cell r="F14092" t="str">
            <v>E251003I1</v>
          </cell>
          <cell r="J14092">
            <v>46042</v>
          </cell>
          <cell r="K14092">
            <v>4</v>
          </cell>
        </row>
        <row r="14093">
          <cell r="C14093" t="str">
            <v>蘇漢城</v>
          </cell>
          <cell r="J14093">
            <v>46043</v>
          </cell>
          <cell r="K14093">
            <v>2</v>
          </cell>
        </row>
        <row r="14094">
          <cell r="C14094" t="str">
            <v>蘇漢城</v>
          </cell>
          <cell r="F14094" t="str">
            <v>E251003I1</v>
          </cell>
          <cell r="J14094">
            <v>46043</v>
          </cell>
          <cell r="K14094">
            <v>6</v>
          </cell>
        </row>
        <row r="14095">
          <cell r="C14095" t="str">
            <v>蘇漢城</v>
          </cell>
          <cell r="J14095">
            <v>46044</v>
          </cell>
          <cell r="K14095">
            <v>2</v>
          </cell>
        </row>
        <row r="14096">
          <cell r="C14096" t="str">
            <v>蘇漢城</v>
          </cell>
          <cell r="J14096">
            <v>46044</v>
          </cell>
          <cell r="K14096">
            <v>6</v>
          </cell>
        </row>
        <row r="14097">
          <cell r="C14097" t="str">
            <v>蘇漢城</v>
          </cell>
          <cell r="J14097">
            <v>46045</v>
          </cell>
          <cell r="K14097">
            <v>7</v>
          </cell>
        </row>
        <row r="14098">
          <cell r="C14098" t="str">
            <v>蘇漢城</v>
          </cell>
          <cell r="J14098">
            <v>46045</v>
          </cell>
          <cell r="K14098">
            <v>1</v>
          </cell>
        </row>
        <row r="14099">
          <cell r="C14099" t="str">
            <v>蘇漢城</v>
          </cell>
          <cell r="J14099">
            <v>46048</v>
          </cell>
          <cell r="K14099">
            <v>5.5</v>
          </cell>
        </row>
        <row r="14100">
          <cell r="C14100" t="str">
            <v>蘇漢城</v>
          </cell>
          <cell r="J14100">
            <v>46048</v>
          </cell>
          <cell r="K14100">
            <v>0.5</v>
          </cell>
        </row>
        <row r="14101">
          <cell r="C14101" t="str">
            <v>蘇漢城</v>
          </cell>
          <cell r="F14101" t="str">
            <v>E251003I1</v>
          </cell>
          <cell r="J14101">
            <v>46048</v>
          </cell>
          <cell r="K14101">
            <v>2</v>
          </cell>
        </row>
        <row r="14102">
          <cell r="C14102" t="str">
            <v>蘇漢城</v>
          </cell>
          <cell r="J14102">
            <v>46049</v>
          </cell>
          <cell r="K14102">
            <v>1</v>
          </cell>
        </row>
        <row r="14103">
          <cell r="C14103" t="str">
            <v>蘇漢城</v>
          </cell>
          <cell r="J14103">
            <v>46049</v>
          </cell>
          <cell r="K14103">
            <v>5</v>
          </cell>
        </row>
        <row r="14104">
          <cell r="C14104" t="str">
            <v>蘇漢城</v>
          </cell>
          <cell r="J14104">
            <v>46049</v>
          </cell>
          <cell r="K14104">
            <v>2</v>
          </cell>
        </row>
        <row r="14105">
          <cell r="C14105" t="str">
            <v>蘇漢城</v>
          </cell>
          <cell r="J14105">
            <v>46050</v>
          </cell>
          <cell r="K14105">
            <v>6</v>
          </cell>
        </row>
        <row r="14106">
          <cell r="C14106" t="str">
            <v>蘇漢城</v>
          </cell>
          <cell r="J14106">
            <v>46050</v>
          </cell>
          <cell r="K14106">
            <v>2</v>
          </cell>
        </row>
        <row r="14107">
          <cell r="C14107" t="str">
            <v>蘇漢城</v>
          </cell>
          <cell r="J14107">
            <v>46051</v>
          </cell>
          <cell r="K14107">
            <v>1</v>
          </cell>
        </row>
        <row r="14108">
          <cell r="C14108" t="str">
            <v>蘇漢城</v>
          </cell>
          <cell r="J14108">
            <v>46051</v>
          </cell>
          <cell r="K14108">
            <v>1</v>
          </cell>
        </row>
        <row r="14109">
          <cell r="C14109" t="str">
            <v>蘇漢城</v>
          </cell>
          <cell r="J14109">
            <v>46051</v>
          </cell>
          <cell r="K14109">
            <v>1</v>
          </cell>
        </row>
        <row r="14110">
          <cell r="C14110" t="str">
            <v>蘇漢城</v>
          </cell>
          <cell r="J14110">
            <v>46051</v>
          </cell>
          <cell r="K14110">
            <v>2</v>
          </cell>
        </row>
        <row r="14111">
          <cell r="C14111" t="str">
            <v>蘇漢城</v>
          </cell>
          <cell r="F14111" t="str">
            <v>E251003I1</v>
          </cell>
          <cell r="J14111">
            <v>46051</v>
          </cell>
          <cell r="K14111">
            <v>3</v>
          </cell>
        </row>
        <row r="14112">
          <cell r="C14112" t="str">
            <v>蘇漢城</v>
          </cell>
          <cell r="J14112">
            <v>46055</v>
          </cell>
          <cell r="K14112">
            <v>5</v>
          </cell>
        </row>
        <row r="14113">
          <cell r="C14113" t="str">
            <v>蘇漢城</v>
          </cell>
          <cell r="J14113">
            <v>46055</v>
          </cell>
          <cell r="K14113">
            <v>3</v>
          </cell>
        </row>
        <row r="14114">
          <cell r="C14114" t="str">
            <v>蘇漢城</v>
          </cell>
          <cell r="J14114">
            <v>46056</v>
          </cell>
          <cell r="K14114">
            <v>4</v>
          </cell>
        </row>
        <row r="14115">
          <cell r="C14115" t="str">
            <v>蘇漢城</v>
          </cell>
          <cell r="J14115">
            <v>46056</v>
          </cell>
          <cell r="K14115">
            <v>4</v>
          </cell>
        </row>
        <row r="14116">
          <cell r="C14116" t="str">
            <v>蘇漢城</v>
          </cell>
          <cell r="J14116">
            <v>46057</v>
          </cell>
          <cell r="K14116">
            <v>5</v>
          </cell>
        </row>
        <row r="14117">
          <cell r="C14117" t="str">
            <v>蘇漢城</v>
          </cell>
          <cell r="J14117">
            <v>46057</v>
          </cell>
          <cell r="K14117">
            <v>1</v>
          </cell>
        </row>
        <row r="14118">
          <cell r="C14118" t="str">
            <v>蘇漢城</v>
          </cell>
          <cell r="J14118">
            <v>46057</v>
          </cell>
          <cell r="K14118">
            <v>2</v>
          </cell>
        </row>
        <row r="14119">
          <cell r="C14119" t="str">
            <v>蘇漢城</v>
          </cell>
          <cell r="J14119">
            <v>46058</v>
          </cell>
          <cell r="K14119">
            <v>1</v>
          </cell>
        </row>
        <row r="14120">
          <cell r="C14120" t="str">
            <v>蘇漢城</v>
          </cell>
          <cell r="J14120">
            <v>46058</v>
          </cell>
          <cell r="K14120">
            <v>4</v>
          </cell>
        </row>
        <row r="14121">
          <cell r="C14121" t="str">
            <v>蘇漢城</v>
          </cell>
          <cell r="J14121">
            <v>46058</v>
          </cell>
          <cell r="K14121">
            <v>1</v>
          </cell>
        </row>
        <row r="14122">
          <cell r="C14122" t="str">
            <v>蘇漢城</v>
          </cell>
          <cell r="J14122">
            <v>46058</v>
          </cell>
          <cell r="K14122">
            <v>2</v>
          </cell>
        </row>
        <row r="14123">
          <cell r="C14123" t="str">
            <v>蘇漢城</v>
          </cell>
          <cell r="J14123">
            <v>46059</v>
          </cell>
          <cell r="K14123">
            <v>7</v>
          </cell>
        </row>
        <row r="14124">
          <cell r="C14124" t="str">
            <v>蘇漢城</v>
          </cell>
          <cell r="J14124">
            <v>46062</v>
          </cell>
          <cell r="K14124">
            <v>2</v>
          </cell>
        </row>
        <row r="14125">
          <cell r="C14125" t="str">
            <v>蘇漢城</v>
          </cell>
          <cell r="J14125">
            <v>46062</v>
          </cell>
          <cell r="K14125">
            <v>2</v>
          </cell>
        </row>
        <row r="14126">
          <cell r="C14126" t="str">
            <v>蘇漢城</v>
          </cell>
          <cell r="J14126">
            <v>46062</v>
          </cell>
          <cell r="K14126">
            <v>4</v>
          </cell>
        </row>
        <row r="14127">
          <cell r="C14127" t="str">
            <v>蘇漢城</v>
          </cell>
          <cell r="J14127">
            <v>46063</v>
          </cell>
          <cell r="K14127">
            <v>2</v>
          </cell>
        </row>
        <row r="14128">
          <cell r="C14128" t="str">
            <v>蘇漢城</v>
          </cell>
          <cell r="J14128">
            <v>46063</v>
          </cell>
          <cell r="K14128">
            <v>4</v>
          </cell>
        </row>
        <row r="14129">
          <cell r="C14129" t="str">
            <v>蘇漢城</v>
          </cell>
          <cell r="J14129">
            <v>46063</v>
          </cell>
          <cell r="K14129">
            <v>2</v>
          </cell>
        </row>
        <row r="14130">
          <cell r="C14130" t="str">
            <v>蘇漢城</v>
          </cell>
          <cell r="J14130">
            <v>46065</v>
          </cell>
          <cell r="K14130">
            <v>0.5</v>
          </cell>
        </row>
        <row r="14131">
          <cell r="C14131" t="str">
            <v>蘇漢城</v>
          </cell>
          <cell r="J14131">
            <v>46065</v>
          </cell>
          <cell r="K14131">
            <v>6.5</v>
          </cell>
        </row>
        <row r="14132">
          <cell r="C14132" t="str">
            <v>蘇漢城</v>
          </cell>
          <cell r="J14132">
            <v>46065</v>
          </cell>
          <cell r="K14132">
            <v>1</v>
          </cell>
        </row>
        <row r="14133">
          <cell r="C14133" t="str">
            <v>蘇漢城</v>
          </cell>
          <cell r="J14133">
            <v>46066</v>
          </cell>
          <cell r="K14133">
            <v>4</v>
          </cell>
        </row>
        <row r="14134">
          <cell r="C14134" t="str">
            <v>蘇漢城</v>
          </cell>
          <cell r="J14134">
            <v>46066</v>
          </cell>
          <cell r="K14134">
            <v>4</v>
          </cell>
        </row>
        <row r="14135">
          <cell r="C14135" t="str">
            <v>蘇漢城</v>
          </cell>
          <cell r="J14135">
            <v>46076</v>
          </cell>
          <cell r="K14135">
            <v>4</v>
          </cell>
        </row>
        <row r="14136">
          <cell r="C14136" t="str">
            <v>蘇漢城</v>
          </cell>
          <cell r="J14136">
            <v>46076</v>
          </cell>
          <cell r="K14136">
            <v>4</v>
          </cell>
        </row>
        <row r="14137">
          <cell r="C14137" t="str">
            <v>蘇漢城</v>
          </cell>
          <cell r="J14137">
            <v>46077</v>
          </cell>
          <cell r="K14137">
            <v>3</v>
          </cell>
        </row>
        <row r="14138">
          <cell r="C14138" t="str">
            <v>蘇漢城</v>
          </cell>
          <cell r="J14138">
            <v>46077</v>
          </cell>
          <cell r="K14138">
            <v>5</v>
          </cell>
        </row>
        <row r="14139">
          <cell r="C14139" t="str">
            <v>蘇漢城</v>
          </cell>
          <cell r="J14139">
            <v>46078</v>
          </cell>
          <cell r="K14139">
            <v>7</v>
          </cell>
        </row>
        <row r="14140">
          <cell r="C14140" t="str">
            <v>蘇漢城</v>
          </cell>
          <cell r="J14140">
            <v>46078</v>
          </cell>
          <cell r="K14140">
            <v>1</v>
          </cell>
        </row>
        <row r="14141">
          <cell r="C14141" t="str">
            <v>蘇漢城</v>
          </cell>
          <cell r="J14141">
            <v>46079</v>
          </cell>
          <cell r="K14141">
            <v>4</v>
          </cell>
        </row>
        <row r="14142">
          <cell r="C14142" t="str">
            <v>蘇漢城</v>
          </cell>
          <cell r="J14142">
            <v>46079</v>
          </cell>
          <cell r="K14142">
            <v>1</v>
          </cell>
        </row>
        <row r="14143">
          <cell r="C14143" t="str">
            <v>蘇漢城</v>
          </cell>
          <cell r="J14143">
            <v>46079</v>
          </cell>
          <cell r="K14143">
            <v>3</v>
          </cell>
        </row>
        <row r="14144">
          <cell r="C14144" t="str">
            <v>蘇漢城</v>
          </cell>
          <cell r="J14144">
            <v>46083</v>
          </cell>
          <cell r="K14144">
            <v>8</v>
          </cell>
        </row>
        <row r="14145">
          <cell r="C14145" t="str">
            <v>蘇漢城</v>
          </cell>
          <cell r="J14145">
            <v>46084</v>
          </cell>
          <cell r="K14145">
            <v>4</v>
          </cell>
        </row>
        <row r="14146">
          <cell r="C14146" t="str">
            <v>蘇漢城</v>
          </cell>
          <cell r="J14146">
            <v>46084</v>
          </cell>
          <cell r="K14146">
            <v>4</v>
          </cell>
        </row>
        <row r="14147">
          <cell r="C14147" t="str">
            <v>蘇漢城</v>
          </cell>
          <cell r="J14147">
            <v>46085</v>
          </cell>
          <cell r="K14147">
            <v>3</v>
          </cell>
        </row>
        <row r="14148">
          <cell r="C14148" t="str">
            <v>蘇漢城</v>
          </cell>
          <cell r="J14148">
            <v>46085</v>
          </cell>
          <cell r="K14148">
            <v>2</v>
          </cell>
        </row>
        <row r="14149">
          <cell r="C14149" t="str">
            <v>蘇漢城</v>
          </cell>
          <cell r="J14149">
            <v>46085</v>
          </cell>
          <cell r="K14149">
            <v>3</v>
          </cell>
        </row>
        <row r="14150">
          <cell r="C14150" t="str">
            <v>蘇漢城</v>
          </cell>
          <cell r="J14150">
            <v>46086</v>
          </cell>
          <cell r="K14150">
            <v>2</v>
          </cell>
        </row>
        <row r="14151">
          <cell r="C14151" t="str">
            <v>蘇漢城</v>
          </cell>
          <cell r="J14151">
            <v>46086</v>
          </cell>
          <cell r="K14151">
            <v>5</v>
          </cell>
        </row>
        <row r="14152">
          <cell r="C14152" t="str">
            <v>蘇漢城</v>
          </cell>
          <cell r="J14152">
            <v>46086</v>
          </cell>
          <cell r="K14152">
            <v>1</v>
          </cell>
        </row>
        <row r="14153">
          <cell r="C14153" t="str">
            <v>蘇漢城</v>
          </cell>
          <cell r="J14153">
            <v>46087</v>
          </cell>
          <cell r="K14153">
            <v>8</v>
          </cell>
        </row>
        <row r="14154">
          <cell r="C14154" t="str">
            <v>蘇漢城</v>
          </cell>
          <cell r="J14154">
            <v>46090</v>
          </cell>
          <cell r="K14154">
            <v>8</v>
          </cell>
        </row>
        <row r="14155">
          <cell r="C14155" t="str">
            <v>蘇漢城</v>
          </cell>
          <cell r="J14155">
            <v>46091</v>
          </cell>
          <cell r="K14155">
            <v>0.5</v>
          </cell>
        </row>
        <row r="14156">
          <cell r="C14156" t="str">
            <v>蘇漢城</v>
          </cell>
          <cell r="J14156">
            <v>46091</v>
          </cell>
          <cell r="K14156">
            <v>1</v>
          </cell>
        </row>
        <row r="14157">
          <cell r="C14157" t="str">
            <v>蘇漢城</v>
          </cell>
          <cell r="J14157">
            <v>46091</v>
          </cell>
          <cell r="K14157">
            <v>2.5</v>
          </cell>
        </row>
        <row r="14158">
          <cell r="C14158" t="str">
            <v>蘇漢城</v>
          </cell>
          <cell r="J14158">
            <v>46091</v>
          </cell>
          <cell r="K14158">
            <v>4</v>
          </cell>
        </row>
        <row r="14159">
          <cell r="C14159" t="str">
            <v>蘇漢城</v>
          </cell>
          <cell r="J14159">
            <v>46092</v>
          </cell>
          <cell r="K14159">
            <v>8</v>
          </cell>
        </row>
        <row r="14160">
          <cell r="C14160" t="str">
            <v>蘇漢城</v>
          </cell>
          <cell r="J14160">
            <v>46093</v>
          </cell>
          <cell r="K14160">
            <v>7.5</v>
          </cell>
        </row>
        <row r="14161">
          <cell r="C14161" t="str">
            <v>蘇漢城</v>
          </cell>
          <cell r="J14161">
            <v>46093</v>
          </cell>
          <cell r="K14161">
            <v>0.5</v>
          </cell>
        </row>
        <row r="14162">
          <cell r="C14162" t="str">
            <v>蘇漢城</v>
          </cell>
          <cell r="J14162">
            <v>46094</v>
          </cell>
          <cell r="K14162">
            <v>7</v>
          </cell>
        </row>
        <row r="14163">
          <cell r="C14163" t="str">
            <v>蘇漢城</v>
          </cell>
          <cell r="J14163">
            <v>46094</v>
          </cell>
          <cell r="K14163">
            <v>1</v>
          </cell>
        </row>
        <row r="14164">
          <cell r="C14164" t="str">
            <v>蘇漢城</v>
          </cell>
          <cell r="J14164">
            <v>46097</v>
          </cell>
          <cell r="K14164">
            <v>1</v>
          </cell>
        </row>
        <row r="14165">
          <cell r="C14165" t="str">
            <v>蘇漢城</v>
          </cell>
          <cell r="J14165">
            <v>46097</v>
          </cell>
          <cell r="K14165">
            <v>0.5</v>
          </cell>
        </row>
        <row r="14166">
          <cell r="C14166" t="str">
            <v>蘇漢城</v>
          </cell>
          <cell r="J14166">
            <v>46097</v>
          </cell>
          <cell r="K14166">
            <v>6.5</v>
          </cell>
        </row>
        <row r="14167">
          <cell r="C14167" t="str">
            <v>蘇漢城</v>
          </cell>
          <cell r="J14167">
            <v>46098</v>
          </cell>
          <cell r="K14167">
            <v>0.5</v>
          </cell>
        </row>
        <row r="14168">
          <cell r="C14168" t="str">
            <v>蘇漢城</v>
          </cell>
          <cell r="J14168">
            <v>46098</v>
          </cell>
          <cell r="K14168">
            <v>5</v>
          </cell>
        </row>
        <row r="14169">
          <cell r="C14169" t="str">
            <v>蘇漢城</v>
          </cell>
          <cell r="J14169">
            <v>46098</v>
          </cell>
          <cell r="K14169">
            <v>2</v>
          </cell>
        </row>
        <row r="14170">
          <cell r="C14170" t="str">
            <v>蘇漢城</v>
          </cell>
          <cell r="J14170">
            <v>46098</v>
          </cell>
          <cell r="K14170">
            <v>0.5</v>
          </cell>
        </row>
        <row r="14171">
          <cell r="C14171" t="str">
            <v>蘇漢城</v>
          </cell>
          <cell r="J14171">
            <v>46099</v>
          </cell>
          <cell r="K14171">
            <v>5.5</v>
          </cell>
        </row>
        <row r="14172">
          <cell r="C14172" t="str">
            <v>蘇漢城</v>
          </cell>
          <cell r="J14172">
            <v>46099</v>
          </cell>
          <cell r="K14172">
            <v>2</v>
          </cell>
        </row>
        <row r="14173">
          <cell r="C14173" t="str">
            <v>蘇漢城</v>
          </cell>
          <cell r="J14173">
            <v>46099</v>
          </cell>
          <cell r="K14173">
            <v>0.5</v>
          </cell>
        </row>
        <row r="14174">
          <cell r="C14174" t="str">
            <v>蘇漢城</v>
          </cell>
          <cell r="J14174">
            <v>46100</v>
          </cell>
          <cell r="K14174">
            <v>0.5</v>
          </cell>
        </row>
        <row r="14175">
          <cell r="C14175" t="str">
            <v>蘇漢城</v>
          </cell>
          <cell r="J14175">
            <v>46100</v>
          </cell>
          <cell r="K14175">
            <v>0.5</v>
          </cell>
        </row>
        <row r="14176">
          <cell r="C14176" t="str">
            <v>蘇漢城</v>
          </cell>
          <cell r="J14176">
            <v>46100</v>
          </cell>
          <cell r="K14176">
            <v>7</v>
          </cell>
        </row>
        <row r="14177">
          <cell r="C14177" t="str">
            <v>蘇漢城</v>
          </cell>
          <cell r="J14177">
            <v>46101</v>
          </cell>
          <cell r="K14177">
            <v>4</v>
          </cell>
        </row>
        <row r="14178">
          <cell r="C14178" t="str">
            <v>蘇漢城</v>
          </cell>
          <cell r="J14178">
            <v>46101</v>
          </cell>
          <cell r="K14178">
            <v>4</v>
          </cell>
        </row>
        <row r="14179">
          <cell r="C14179" t="str">
            <v>蘇漢城</v>
          </cell>
          <cell r="J14179">
            <v>46104</v>
          </cell>
          <cell r="K14179">
            <v>4</v>
          </cell>
        </row>
        <row r="14180">
          <cell r="C14180" t="str">
            <v>蘇漢城</v>
          </cell>
          <cell r="J14180">
            <v>46104</v>
          </cell>
          <cell r="K14180">
            <v>4</v>
          </cell>
        </row>
        <row r="14181">
          <cell r="C14181" t="str">
            <v>蘇漢城</v>
          </cell>
          <cell r="J14181">
            <v>46105</v>
          </cell>
          <cell r="K14181">
            <v>0.1</v>
          </cell>
        </row>
        <row r="14182">
          <cell r="C14182" t="str">
            <v>蘇漢城</v>
          </cell>
          <cell r="J14182">
            <v>46105</v>
          </cell>
          <cell r="K14182">
            <v>3.9</v>
          </cell>
        </row>
        <row r="14183">
          <cell r="C14183" t="str">
            <v>蘇漢城</v>
          </cell>
          <cell r="J14183">
            <v>46105</v>
          </cell>
          <cell r="K14183">
            <v>4</v>
          </cell>
        </row>
        <row r="14184">
          <cell r="C14184" t="str">
            <v>蘇漢城</v>
          </cell>
          <cell r="J14184">
            <v>46106</v>
          </cell>
          <cell r="K14184">
            <v>2</v>
          </cell>
        </row>
        <row r="14185">
          <cell r="C14185" t="str">
            <v>蘇漢城</v>
          </cell>
          <cell r="J14185">
            <v>46106</v>
          </cell>
          <cell r="K14185">
            <v>6</v>
          </cell>
        </row>
        <row r="14186">
          <cell r="C14186" t="str">
            <v>蘇漢城</v>
          </cell>
          <cell r="J14186">
            <v>46107</v>
          </cell>
          <cell r="K14186">
            <v>5.5</v>
          </cell>
        </row>
        <row r="14187">
          <cell r="C14187" t="str">
            <v>蘇漢城</v>
          </cell>
          <cell r="J14187">
            <v>46107</v>
          </cell>
          <cell r="K14187">
            <v>0.5</v>
          </cell>
        </row>
        <row r="14188">
          <cell r="C14188" t="str">
            <v>蘇漢城</v>
          </cell>
          <cell r="J14188">
            <v>46107</v>
          </cell>
          <cell r="K14188">
            <v>2</v>
          </cell>
        </row>
        <row r="14189">
          <cell r="C14189" t="str">
            <v>蘇漢城</v>
          </cell>
          <cell r="J14189">
            <v>46108</v>
          </cell>
          <cell r="K14189">
            <v>2</v>
          </cell>
        </row>
        <row r="14190">
          <cell r="C14190" t="str">
            <v>蘇漢城</v>
          </cell>
          <cell r="J14190">
            <v>46108</v>
          </cell>
          <cell r="K14190">
            <v>6</v>
          </cell>
        </row>
        <row r="14191">
          <cell r="C14191" t="str">
            <v>蘇漢城</v>
          </cell>
          <cell r="J14191">
            <v>46111</v>
          </cell>
          <cell r="K14191">
            <v>4</v>
          </cell>
        </row>
        <row r="14192">
          <cell r="C14192" t="str">
            <v>蘇漢城</v>
          </cell>
          <cell r="J14192">
            <v>46111</v>
          </cell>
          <cell r="K14192">
            <v>4</v>
          </cell>
        </row>
        <row r="14193">
          <cell r="C14193" t="str">
            <v>蘇漢城</v>
          </cell>
          <cell r="J14193">
            <v>46112</v>
          </cell>
          <cell r="K14193">
            <v>3</v>
          </cell>
        </row>
        <row r="14194">
          <cell r="C14194" t="str">
            <v>蘇漢城</v>
          </cell>
          <cell r="J14194">
            <v>46112</v>
          </cell>
          <cell r="K14194">
            <v>1</v>
          </cell>
        </row>
        <row r="14195">
          <cell r="C14195" t="str">
            <v>蘇漢城</v>
          </cell>
          <cell r="J14195">
            <v>46112</v>
          </cell>
          <cell r="K14195">
            <v>3</v>
          </cell>
        </row>
        <row r="14196">
          <cell r="C14196" t="str">
            <v>蘇漢城</v>
          </cell>
          <cell r="J14196">
            <v>46112</v>
          </cell>
          <cell r="K14196">
            <v>1</v>
          </cell>
        </row>
        <row r="14197">
          <cell r="C14197" t="str">
            <v>蘇漢城</v>
          </cell>
          <cell r="J14197">
            <v>46113</v>
          </cell>
          <cell r="K14197">
            <v>5</v>
          </cell>
        </row>
        <row r="14198">
          <cell r="C14198" t="str">
            <v>蘇漢城</v>
          </cell>
          <cell r="J14198">
            <v>46113</v>
          </cell>
          <cell r="K14198">
            <v>2</v>
          </cell>
        </row>
        <row r="14199">
          <cell r="C14199" t="str">
            <v>蘇漢城</v>
          </cell>
          <cell r="J14199">
            <v>46113</v>
          </cell>
          <cell r="K14199">
            <v>1</v>
          </cell>
        </row>
        <row r="14200">
          <cell r="C14200" t="str">
            <v>蘇漢城</v>
          </cell>
          <cell r="J14200">
            <v>46114</v>
          </cell>
          <cell r="K14200">
            <v>1</v>
          </cell>
        </row>
        <row r="14201">
          <cell r="C14201" t="str">
            <v>蘇漢城</v>
          </cell>
          <cell r="J14201">
            <v>46114</v>
          </cell>
          <cell r="K14201">
            <v>5</v>
          </cell>
        </row>
        <row r="14202">
          <cell r="C14202" t="str">
            <v>蘇漢城</v>
          </cell>
          <cell r="J14202">
            <v>46114</v>
          </cell>
          <cell r="K14202">
            <v>2</v>
          </cell>
        </row>
        <row r="14203">
          <cell r="C14203" t="str">
            <v>蘇漢城</v>
          </cell>
          <cell r="J14203">
            <v>46119</v>
          </cell>
          <cell r="K14203">
            <v>2</v>
          </cell>
        </row>
        <row r="14204">
          <cell r="C14204" t="str">
            <v>蘇漢城</v>
          </cell>
          <cell r="J14204">
            <v>46119</v>
          </cell>
          <cell r="K14204">
            <v>5</v>
          </cell>
        </row>
        <row r="14205">
          <cell r="C14205" t="str">
            <v>蘇漢城</v>
          </cell>
          <cell r="J14205">
            <v>46120</v>
          </cell>
          <cell r="K14205">
            <v>5.5</v>
          </cell>
        </row>
        <row r="14206">
          <cell r="C14206" t="str">
            <v>蘇漢城</v>
          </cell>
          <cell r="J14206">
            <v>46120</v>
          </cell>
          <cell r="K14206">
            <v>1.5</v>
          </cell>
        </row>
        <row r="14207">
          <cell r="C14207" t="str">
            <v>蘇漢城</v>
          </cell>
          <cell r="J14207">
            <v>46121</v>
          </cell>
          <cell r="K14207">
            <v>1.5</v>
          </cell>
        </row>
        <row r="14208">
          <cell r="C14208" t="str">
            <v>蘇漢城</v>
          </cell>
          <cell r="J14208">
            <v>46121</v>
          </cell>
          <cell r="K14208">
            <v>4</v>
          </cell>
        </row>
        <row r="14209">
          <cell r="C14209" t="str">
            <v>蘇漢城</v>
          </cell>
          <cell r="J14209">
            <v>46121</v>
          </cell>
          <cell r="K14209">
            <v>2.5</v>
          </cell>
        </row>
        <row r="14210">
          <cell r="C14210" t="str">
            <v>蘇漢城</v>
          </cell>
          <cell r="J14210">
            <v>46122</v>
          </cell>
          <cell r="K14210">
            <v>5</v>
          </cell>
        </row>
        <row r="14211">
          <cell r="C14211" t="str">
            <v>蘇漢城</v>
          </cell>
          <cell r="J14211">
            <v>46122</v>
          </cell>
          <cell r="K14211">
            <v>2</v>
          </cell>
        </row>
        <row r="14212">
          <cell r="C14212" t="str">
            <v>蘇漢城</v>
          </cell>
          <cell r="J14212">
            <v>46122</v>
          </cell>
          <cell r="K14212">
            <v>0.5</v>
          </cell>
        </row>
        <row r="14213">
          <cell r="C14213" t="str">
            <v>蘇漢城</v>
          </cell>
          <cell r="J14213">
            <v>46122</v>
          </cell>
          <cell r="K14213">
            <v>0.5</v>
          </cell>
        </row>
        <row r="14214">
          <cell r="C14214" t="str">
            <v>蘇漢城</v>
          </cell>
          <cell r="J14214">
            <v>46125</v>
          </cell>
          <cell r="K14214">
            <v>8</v>
          </cell>
        </row>
        <row r="14215">
          <cell r="C14215" t="str">
            <v>蘇漢城</v>
          </cell>
          <cell r="J14215">
            <v>46126</v>
          </cell>
          <cell r="K14215">
            <v>8</v>
          </cell>
        </row>
        <row r="14216">
          <cell r="C14216" t="str">
            <v>蘇漢城</v>
          </cell>
          <cell r="J14216">
            <v>46127</v>
          </cell>
          <cell r="K14216">
            <v>8</v>
          </cell>
        </row>
        <row r="14217">
          <cell r="C14217" t="str">
            <v>蘇漢城</v>
          </cell>
          <cell r="J14217">
            <v>46128</v>
          </cell>
          <cell r="K14217">
            <v>8</v>
          </cell>
        </row>
        <row r="14218">
          <cell r="C14218" t="str">
            <v>蘇漢城</v>
          </cell>
          <cell r="J14218">
            <v>46129</v>
          </cell>
          <cell r="K14218">
            <v>8</v>
          </cell>
        </row>
        <row r="14219">
          <cell r="C14219" t="str">
            <v>蘇漢城</v>
          </cell>
          <cell r="J14219">
            <v>46132</v>
          </cell>
          <cell r="K14219">
            <v>5</v>
          </cell>
        </row>
        <row r="14220">
          <cell r="C14220" t="str">
            <v>蘇漢城</v>
          </cell>
          <cell r="J14220">
            <v>46132</v>
          </cell>
          <cell r="K14220">
            <v>3</v>
          </cell>
        </row>
        <row r="14221">
          <cell r="C14221" t="str">
            <v>蘇漢城</v>
          </cell>
          <cell r="J14221">
            <v>46133</v>
          </cell>
          <cell r="K14221">
            <v>6</v>
          </cell>
        </row>
        <row r="14222">
          <cell r="C14222" t="str">
            <v>蘇漢城</v>
          </cell>
          <cell r="J14222">
            <v>46133</v>
          </cell>
          <cell r="K14222">
            <v>2</v>
          </cell>
        </row>
        <row r="14223">
          <cell r="C14223" t="str">
            <v>蘇漢城</v>
          </cell>
          <cell r="J14223">
            <v>46134</v>
          </cell>
          <cell r="K14223">
            <v>5</v>
          </cell>
        </row>
        <row r="14224">
          <cell r="C14224" t="str">
            <v>蘇漢城</v>
          </cell>
          <cell r="J14224">
            <v>46134</v>
          </cell>
          <cell r="K14224">
            <v>0.5</v>
          </cell>
        </row>
        <row r="14225">
          <cell r="C14225" t="str">
            <v>蘇漢城</v>
          </cell>
          <cell r="J14225">
            <v>46134</v>
          </cell>
          <cell r="K14225">
            <v>2.5</v>
          </cell>
        </row>
        <row r="14226">
          <cell r="C14226" t="str">
            <v>蘇漢城</v>
          </cell>
          <cell r="J14226">
            <v>46135</v>
          </cell>
          <cell r="K14226">
            <v>1</v>
          </cell>
        </row>
        <row r="14227">
          <cell r="C14227" t="str">
            <v>蘇漢城</v>
          </cell>
          <cell r="J14227">
            <v>46135</v>
          </cell>
          <cell r="K14227">
            <v>0.5</v>
          </cell>
        </row>
        <row r="14228">
          <cell r="C14228" t="str">
            <v>蘇漢城</v>
          </cell>
          <cell r="J14228">
            <v>46135</v>
          </cell>
          <cell r="K14228">
            <v>6.5</v>
          </cell>
        </row>
        <row r="14229">
          <cell r="C14229" t="str">
            <v>蘇漢城</v>
          </cell>
          <cell r="J14229">
            <v>46136</v>
          </cell>
          <cell r="K14229">
            <v>4</v>
          </cell>
        </row>
        <row r="14230">
          <cell r="C14230" t="str">
            <v>蘇漢城</v>
          </cell>
          <cell r="J14230">
            <v>46136</v>
          </cell>
          <cell r="K14230">
            <v>2</v>
          </cell>
        </row>
        <row r="14231">
          <cell r="C14231" t="str">
            <v>蘇漢城</v>
          </cell>
          <cell r="J14231">
            <v>46136</v>
          </cell>
          <cell r="K14231">
            <v>2</v>
          </cell>
        </row>
        <row r="14232">
          <cell r="C14232" t="str">
            <v>蘇漢城</v>
          </cell>
          <cell r="J14232">
            <v>46139</v>
          </cell>
          <cell r="K14232">
            <v>5</v>
          </cell>
        </row>
        <row r="14233">
          <cell r="C14233" t="str">
            <v>蘇漢城</v>
          </cell>
          <cell r="J14233">
            <v>46139</v>
          </cell>
          <cell r="K14233">
            <v>3</v>
          </cell>
        </row>
        <row r="14234">
          <cell r="C14234" t="str">
            <v>蘇漢城</v>
          </cell>
          <cell r="J14234">
            <v>46140</v>
          </cell>
          <cell r="K14234">
            <v>8</v>
          </cell>
        </row>
        <row r="14235">
          <cell r="C14235" t="str">
            <v>蘇漢城</v>
          </cell>
          <cell r="J14235">
            <v>46141</v>
          </cell>
          <cell r="K14235">
            <v>1</v>
          </cell>
        </row>
        <row r="14236">
          <cell r="C14236" t="str">
            <v>蘇漢城</v>
          </cell>
          <cell r="J14236">
            <v>46141</v>
          </cell>
          <cell r="K14236">
            <v>3.5</v>
          </cell>
        </row>
        <row r="14237">
          <cell r="C14237" t="str">
            <v>蘇漢城</v>
          </cell>
          <cell r="J14237">
            <v>46141</v>
          </cell>
          <cell r="K14237">
            <v>2</v>
          </cell>
        </row>
        <row r="14238">
          <cell r="C14238" t="str">
            <v>蘇漢城</v>
          </cell>
          <cell r="J14238">
            <v>46141</v>
          </cell>
          <cell r="K14238">
            <v>1.5</v>
          </cell>
        </row>
        <row r="14239">
          <cell r="C14239" t="str">
            <v>蘇漢城</v>
          </cell>
          <cell r="J14239">
            <v>46142</v>
          </cell>
          <cell r="K14239">
            <v>3</v>
          </cell>
        </row>
        <row r="14240">
          <cell r="C14240" t="str">
            <v>蘇漢城</v>
          </cell>
          <cell r="J14240">
            <v>46142</v>
          </cell>
          <cell r="K14240">
            <v>0.5</v>
          </cell>
        </row>
        <row r="14241">
          <cell r="C14241" t="str">
            <v>蘇漢城</v>
          </cell>
          <cell r="J14241">
            <v>46142</v>
          </cell>
          <cell r="K14241">
            <v>4.5</v>
          </cell>
        </row>
        <row r="14242">
          <cell r="C14242" t="str">
            <v>蘇漢城</v>
          </cell>
          <cell r="J14242">
            <v>46146</v>
          </cell>
          <cell r="K14242">
            <v>6</v>
          </cell>
        </row>
        <row r="14243">
          <cell r="C14243" t="str">
            <v>蘇漢城</v>
          </cell>
          <cell r="J14243">
            <v>46146</v>
          </cell>
          <cell r="K14243">
            <v>1</v>
          </cell>
        </row>
        <row r="14244">
          <cell r="C14244" t="str">
            <v>蘇漢城</v>
          </cell>
          <cell r="J14244">
            <v>46146</v>
          </cell>
          <cell r="K14244">
            <v>1</v>
          </cell>
        </row>
        <row r="14245">
          <cell r="C14245" t="str">
            <v>蘇漢城</v>
          </cell>
          <cell r="J14245">
            <v>46147</v>
          </cell>
          <cell r="K14245">
            <v>1</v>
          </cell>
        </row>
        <row r="14246">
          <cell r="C14246" t="str">
            <v>蘇漢城</v>
          </cell>
          <cell r="F14246" t="str">
            <v>K250501R2</v>
          </cell>
          <cell r="J14246">
            <v>46147</v>
          </cell>
          <cell r="K14246">
            <v>7</v>
          </cell>
        </row>
        <row r="14247">
          <cell r="C14247" t="str">
            <v>蘇漢城</v>
          </cell>
          <cell r="J14247">
            <v>46148</v>
          </cell>
          <cell r="K14247">
            <v>1</v>
          </cell>
        </row>
        <row r="14248">
          <cell r="C14248" t="str">
            <v>蘇漢城</v>
          </cell>
          <cell r="J14248">
            <v>46148</v>
          </cell>
          <cell r="K14248">
            <v>1.5</v>
          </cell>
        </row>
        <row r="14249">
          <cell r="C14249" t="str">
            <v>蘇漢城</v>
          </cell>
          <cell r="F14249" t="str">
            <v>K250501R2</v>
          </cell>
          <cell r="J14249">
            <v>46148</v>
          </cell>
          <cell r="K14249">
            <v>5.5</v>
          </cell>
        </row>
        <row r="14250">
          <cell r="C14250" t="str">
            <v>蘇漢城</v>
          </cell>
          <cell r="J14250">
            <v>46149</v>
          </cell>
          <cell r="K14250">
            <v>0.5</v>
          </cell>
        </row>
        <row r="14251">
          <cell r="C14251" t="str">
            <v>蘇漢城</v>
          </cell>
          <cell r="J14251">
            <v>46149</v>
          </cell>
          <cell r="K14251">
            <v>2</v>
          </cell>
        </row>
        <row r="14252">
          <cell r="C14252" t="str">
            <v>蘇漢城</v>
          </cell>
          <cell r="J14252">
            <v>46149</v>
          </cell>
          <cell r="K14252">
            <v>5.5</v>
          </cell>
        </row>
        <row r="14253">
          <cell r="C14253" t="str">
            <v>蘇漢城</v>
          </cell>
          <cell r="J14253">
            <v>46150</v>
          </cell>
          <cell r="K14253">
            <v>5</v>
          </cell>
        </row>
        <row r="14254">
          <cell r="C14254" t="str">
            <v>蘇漢城</v>
          </cell>
          <cell r="J14254">
            <v>46150</v>
          </cell>
          <cell r="K14254">
            <v>3</v>
          </cell>
        </row>
        <row r="14255">
          <cell r="C14255" t="str">
            <v>蘇漢城</v>
          </cell>
          <cell r="J14255">
            <v>46153</v>
          </cell>
          <cell r="K14255">
            <v>3</v>
          </cell>
        </row>
        <row r="14256">
          <cell r="C14256" t="str">
            <v>蘇漢城</v>
          </cell>
          <cell r="J14256">
            <v>46153</v>
          </cell>
          <cell r="K14256">
            <v>1</v>
          </cell>
        </row>
        <row r="14257">
          <cell r="C14257" t="str">
            <v>蘇漢城</v>
          </cell>
          <cell r="J14257">
            <v>46153</v>
          </cell>
          <cell r="K14257">
            <v>4</v>
          </cell>
        </row>
        <row r="14258">
          <cell r="C14258" t="str">
            <v>蘇漢城</v>
          </cell>
          <cell r="J14258">
            <v>46154</v>
          </cell>
          <cell r="K14258">
            <v>5</v>
          </cell>
        </row>
        <row r="14259">
          <cell r="C14259" t="str">
            <v>蘇漢城</v>
          </cell>
          <cell r="J14259">
            <v>46154</v>
          </cell>
          <cell r="K14259">
            <v>1</v>
          </cell>
        </row>
        <row r="14260">
          <cell r="C14260" t="str">
            <v>蘇漢城</v>
          </cell>
          <cell r="F14260" t="str">
            <v>K250501R2</v>
          </cell>
          <cell r="J14260">
            <v>46154</v>
          </cell>
          <cell r="K14260">
            <v>2</v>
          </cell>
        </row>
        <row r="14261">
          <cell r="C14261" t="str">
            <v>蘇漢城</v>
          </cell>
          <cell r="J14261">
            <v>46155</v>
          </cell>
          <cell r="K14261">
            <v>7</v>
          </cell>
        </row>
        <row r="14262">
          <cell r="C14262" t="str">
            <v>蘇漢城</v>
          </cell>
          <cell r="J14262">
            <v>46155</v>
          </cell>
          <cell r="K14262">
            <v>1</v>
          </cell>
        </row>
        <row r="14263">
          <cell r="C14263" t="str">
            <v>蘇漢城</v>
          </cell>
          <cell r="J14263">
            <v>46156</v>
          </cell>
          <cell r="K14263">
            <v>1</v>
          </cell>
        </row>
        <row r="14264">
          <cell r="C14264" t="str">
            <v>蘇漢城</v>
          </cell>
          <cell r="J14264">
            <v>46156</v>
          </cell>
          <cell r="K14264">
            <v>7</v>
          </cell>
        </row>
        <row r="14265">
          <cell r="C14265" t="str">
            <v>蘇漢城</v>
          </cell>
          <cell r="J14265">
            <v>46156</v>
          </cell>
          <cell r="K14265">
            <v>1</v>
          </cell>
        </row>
        <row r="14266">
          <cell r="C14266" t="str">
            <v>蘇漢城</v>
          </cell>
          <cell r="J14266">
            <v>46157</v>
          </cell>
          <cell r="K14266">
            <v>4</v>
          </cell>
        </row>
        <row r="14267">
          <cell r="C14267" t="str">
            <v>蘇漢城</v>
          </cell>
          <cell r="J14267">
            <v>46157</v>
          </cell>
          <cell r="K14267">
            <v>1</v>
          </cell>
        </row>
        <row r="14268">
          <cell r="C14268" t="str">
            <v>蘇漢城</v>
          </cell>
          <cell r="J14268">
            <v>46157</v>
          </cell>
          <cell r="K14268">
            <v>3</v>
          </cell>
        </row>
        <row r="14269">
          <cell r="C14269" t="str">
            <v>蘇漢城</v>
          </cell>
          <cell r="J14269">
            <v>46160</v>
          </cell>
          <cell r="K14269">
            <v>2</v>
          </cell>
        </row>
        <row r="14270">
          <cell r="C14270" t="str">
            <v>蘇漢城</v>
          </cell>
          <cell r="J14270">
            <v>46160</v>
          </cell>
          <cell r="K14270">
            <v>3</v>
          </cell>
        </row>
        <row r="14271">
          <cell r="C14271" t="str">
            <v>蘇漢城</v>
          </cell>
          <cell r="J14271">
            <v>46160</v>
          </cell>
          <cell r="K14271">
            <v>3</v>
          </cell>
        </row>
        <row r="14272">
          <cell r="C14272" t="str">
            <v>蘇漢城</v>
          </cell>
          <cell r="J14272">
            <v>46161</v>
          </cell>
          <cell r="K14272">
            <v>1</v>
          </cell>
        </row>
        <row r="14273">
          <cell r="C14273" t="str">
            <v>蘇漢城</v>
          </cell>
          <cell r="J14273">
            <v>46161</v>
          </cell>
          <cell r="K14273">
            <v>6</v>
          </cell>
        </row>
        <row r="14274">
          <cell r="C14274" t="str">
            <v>蘇漢城</v>
          </cell>
          <cell r="J14274">
            <v>46161</v>
          </cell>
          <cell r="K14274">
            <v>1</v>
          </cell>
        </row>
        <row r="14275">
          <cell r="C14275" t="str">
            <v>蘇漢城</v>
          </cell>
          <cell r="J14275">
            <v>46162</v>
          </cell>
          <cell r="K14275">
            <v>0.5</v>
          </cell>
        </row>
        <row r="14276">
          <cell r="C14276" t="str">
            <v>蘇漢城</v>
          </cell>
          <cell r="J14276">
            <v>46162</v>
          </cell>
          <cell r="K14276">
            <v>6</v>
          </cell>
        </row>
        <row r="14277">
          <cell r="C14277" t="str">
            <v>蘇漢城</v>
          </cell>
          <cell r="J14277">
            <v>46162</v>
          </cell>
          <cell r="K14277">
            <v>1</v>
          </cell>
        </row>
        <row r="14278">
          <cell r="C14278" t="str">
            <v>蘇漢城</v>
          </cell>
          <cell r="J14278">
            <v>46162</v>
          </cell>
          <cell r="K14278">
            <v>0.5</v>
          </cell>
        </row>
        <row r="14279">
          <cell r="C14279" t="str">
            <v>李育儒</v>
          </cell>
          <cell r="F14279" t="str">
            <v>G240501I1</v>
          </cell>
          <cell r="J14279">
            <v>45470</v>
          </cell>
          <cell r="K14279">
            <v>8</v>
          </cell>
        </row>
        <row r="14280">
          <cell r="C14280" t="str">
            <v>李育儒</v>
          </cell>
          <cell r="J14280">
            <v>45471</v>
          </cell>
          <cell r="K14280">
            <v>10</v>
          </cell>
        </row>
        <row r="14281">
          <cell r="C14281" t="str">
            <v>李育儒</v>
          </cell>
          <cell r="F14281" t="str">
            <v>G240501I1</v>
          </cell>
          <cell r="J14281">
            <v>45475</v>
          </cell>
          <cell r="K14281">
            <v>8</v>
          </cell>
        </row>
        <row r="14282">
          <cell r="C14282" t="str">
            <v>李育儒</v>
          </cell>
          <cell r="F14282" t="str">
            <v>G231201I1</v>
          </cell>
          <cell r="J14282">
            <v>45476</v>
          </cell>
          <cell r="K14282">
            <v>8</v>
          </cell>
        </row>
        <row r="14283">
          <cell r="C14283" t="str">
            <v>李育儒</v>
          </cell>
          <cell r="J14283">
            <v>45477</v>
          </cell>
          <cell r="K14283">
            <v>9.5</v>
          </cell>
        </row>
        <row r="14284">
          <cell r="C14284" t="str">
            <v>李育儒</v>
          </cell>
          <cell r="F14284" t="str">
            <v>G240501I1</v>
          </cell>
          <cell r="J14284">
            <v>45478</v>
          </cell>
          <cell r="K14284">
            <v>8</v>
          </cell>
        </row>
        <row r="14285">
          <cell r="C14285" t="str">
            <v>李育儒</v>
          </cell>
          <cell r="F14285" t="str">
            <v>G240501I1</v>
          </cell>
          <cell r="J14285">
            <v>45481</v>
          </cell>
          <cell r="K14285">
            <v>4</v>
          </cell>
        </row>
        <row r="14286">
          <cell r="C14286" t="str">
            <v>李育儒</v>
          </cell>
          <cell r="F14286" t="str">
            <v>G240501I1</v>
          </cell>
          <cell r="J14286">
            <v>45481</v>
          </cell>
          <cell r="K14286">
            <v>4</v>
          </cell>
        </row>
        <row r="14287">
          <cell r="C14287" t="str">
            <v>李育儒</v>
          </cell>
          <cell r="F14287" t="str">
            <v>G231201I1</v>
          </cell>
          <cell r="J14287">
            <v>45482</v>
          </cell>
          <cell r="K14287">
            <v>2</v>
          </cell>
        </row>
        <row r="14288">
          <cell r="C14288" t="str">
            <v>李育儒</v>
          </cell>
          <cell r="F14288" t="str">
            <v>G240501I1</v>
          </cell>
          <cell r="J14288">
            <v>45482</v>
          </cell>
          <cell r="K14288">
            <v>3</v>
          </cell>
        </row>
        <row r="14289">
          <cell r="C14289" t="str">
            <v>李育儒</v>
          </cell>
          <cell r="F14289" t="str">
            <v>G240501I1</v>
          </cell>
          <cell r="J14289">
            <v>45482</v>
          </cell>
          <cell r="K14289">
            <v>3</v>
          </cell>
        </row>
        <row r="14290">
          <cell r="C14290" t="str">
            <v>李育儒</v>
          </cell>
          <cell r="F14290" t="str">
            <v>G231201I1</v>
          </cell>
          <cell r="J14290">
            <v>45484</v>
          </cell>
          <cell r="K14290">
            <v>8</v>
          </cell>
        </row>
        <row r="14291">
          <cell r="C14291" t="str">
            <v>李育儒</v>
          </cell>
          <cell r="F14291" t="str">
            <v>G240501I1</v>
          </cell>
          <cell r="J14291">
            <v>45485</v>
          </cell>
          <cell r="K14291">
            <v>4</v>
          </cell>
        </row>
        <row r="14292">
          <cell r="C14292" t="str">
            <v>李育儒</v>
          </cell>
          <cell r="F14292" t="str">
            <v>G240501I1</v>
          </cell>
          <cell r="J14292">
            <v>45485</v>
          </cell>
          <cell r="K14292">
            <v>4</v>
          </cell>
        </row>
        <row r="14293">
          <cell r="C14293" t="str">
            <v>李育儒</v>
          </cell>
          <cell r="J14293">
            <v>45486</v>
          </cell>
          <cell r="K14293">
            <v>8</v>
          </cell>
        </row>
        <row r="14294">
          <cell r="C14294" t="str">
            <v>李育儒</v>
          </cell>
          <cell r="F14294" t="str">
            <v>G240501I1</v>
          </cell>
          <cell r="J14294">
            <v>45488</v>
          </cell>
          <cell r="K14294">
            <v>8</v>
          </cell>
        </row>
        <row r="14295">
          <cell r="C14295" t="str">
            <v>李育儒</v>
          </cell>
          <cell r="F14295" t="str">
            <v>G240501I1</v>
          </cell>
          <cell r="J14295">
            <v>45489</v>
          </cell>
          <cell r="K14295">
            <v>8</v>
          </cell>
        </row>
        <row r="14296">
          <cell r="C14296" t="str">
            <v>李育儒</v>
          </cell>
          <cell r="F14296" t="str">
            <v>G240501I1</v>
          </cell>
          <cell r="J14296">
            <v>45490</v>
          </cell>
          <cell r="K14296">
            <v>8</v>
          </cell>
        </row>
        <row r="14297">
          <cell r="C14297" t="str">
            <v>李育儒</v>
          </cell>
          <cell r="F14297" t="str">
            <v>G231201I1</v>
          </cell>
          <cell r="J14297">
            <v>45492</v>
          </cell>
          <cell r="K14297">
            <v>4</v>
          </cell>
        </row>
        <row r="14298">
          <cell r="C14298" t="str">
            <v>李育儒</v>
          </cell>
          <cell r="F14298" t="str">
            <v>G240501I1</v>
          </cell>
          <cell r="J14298">
            <v>45492</v>
          </cell>
          <cell r="K14298">
            <v>4</v>
          </cell>
        </row>
        <row r="14299">
          <cell r="C14299" t="str">
            <v>李育儒</v>
          </cell>
          <cell r="J14299">
            <v>45493</v>
          </cell>
          <cell r="K14299">
            <v>8</v>
          </cell>
        </row>
        <row r="14300">
          <cell r="C14300" t="str">
            <v>李育儒</v>
          </cell>
          <cell r="F14300" t="str">
            <v>G240501I1</v>
          </cell>
          <cell r="J14300">
            <v>45496</v>
          </cell>
          <cell r="K14300">
            <v>8</v>
          </cell>
        </row>
        <row r="14301">
          <cell r="C14301" t="str">
            <v>李育儒</v>
          </cell>
          <cell r="F14301" t="str">
            <v>G240501I1</v>
          </cell>
          <cell r="J14301">
            <v>45499</v>
          </cell>
          <cell r="K14301">
            <v>4</v>
          </cell>
        </row>
        <row r="14302">
          <cell r="C14302" t="str">
            <v>李育儒</v>
          </cell>
          <cell r="F14302" t="str">
            <v>G240501I1</v>
          </cell>
          <cell r="J14302">
            <v>45499</v>
          </cell>
          <cell r="K14302">
            <v>4</v>
          </cell>
        </row>
        <row r="14303">
          <cell r="C14303" t="str">
            <v>李育儒</v>
          </cell>
          <cell r="F14303" t="str">
            <v>G240501I1</v>
          </cell>
          <cell r="J14303">
            <v>45502</v>
          </cell>
          <cell r="K14303">
            <v>8</v>
          </cell>
        </row>
        <row r="14304">
          <cell r="C14304" t="str">
            <v>李育儒</v>
          </cell>
          <cell r="F14304" t="str">
            <v>G240501I1</v>
          </cell>
          <cell r="J14304">
            <v>45504</v>
          </cell>
          <cell r="K14304">
            <v>8</v>
          </cell>
        </row>
        <row r="14305">
          <cell r="C14305" t="str">
            <v>李育儒</v>
          </cell>
          <cell r="J14305">
            <v>45505</v>
          </cell>
          <cell r="K14305">
            <v>2</v>
          </cell>
        </row>
        <row r="14306">
          <cell r="C14306" t="str">
            <v>李育儒</v>
          </cell>
          <cell r="F14306" t="str">
            <v>G240501I1</v>
          </cell>
          <cell r="J14306">
            <v>45505</v>
          </cell>
          <cell r="K14306">
            <v>6</v>
          </cell>
        </row>
        <row r="14307">
          <cell r="C14307" t="str">
            <v>李育儒</v>
          </cell>
          <cell r="F14307" t="str">
            <v>G240501I1</v>
          </cell>
          <cell r="J14307">
            <v>45506</v>
          </cell>
          <cell r="K14307">
            <v>8</v>
          </cell>
        </row>
        <row r="14308">
          <cell r="C14308" t="str">
            <v>李育儒</v>
          </cell>
          <cell r="F14308" t="str">
            <v>G240501I1</v>
          </cell>
          <cell r="J14308">
            <v>45510</v>
          </cell>
          <cell r="K14308">
            <v>8</v>
          </cell>
        </row>
        <row r="14309">
          <cell r="C14309" t="str">
            <v>李育儒</v>
          </cell>
          <cell r="F14309" t="str">
            <v>G240501I1</v>
          </cell>
          <cell r="J14309">
            <v>45512</v>
          </cell>
          <cell r="K14309">
            <v>4</v>
          </cell>
        </row>
        <row r="14310">
          <cell r="C14310" t="str">
            <v>李育儒</v>
          </cell>
          <cell r="F14310" t="str">
            <v>G240501I1</v>
          </cell>
          <cell r="J14310">
            <v>45512</v>
          </cell>
          <cell r="K14310">
            <v>4</v>
          </cell>
        </row>
        <row r="14311">
          <cell r="C14311" t="str">
            <v>李育儒</v>
          </cell>
          <cell r="F14311" t="str">
            <v>G240501I1</v>
          </cell>
          <cell r="J14311">
            <v>45513</v>
          </cell>
          <cell r="K14311">
            <v>4</v>
          </cell>
        </row>
        <row r="14312">
          <cell r="C14312" t="str">
            <v>李育儒</v>
          </cell>
          <cell r="F14312" t="str">
            <v>G240501I1</v>
          </cell>
          <cell r="J14312">
            <v>45513</v>
          </cell>
          <cell r="K14312">
            <v>4</v>
          </cell>
        </row>
        <row r="14313">
          <cell r="C14313" t="str">
            <v>李育儒</v>
          </cell>
          <cell r="J14313">
            <v>45514</v>
          </cell>
          <cell r="K14313">
            <v>8</v>
          </cell>
        </row>
        <row r="14314">
          <cell r="C14314" t="str">
            <v>李育儒</v>
          </cell>
          <cell r="F14314" t="str">
            <v>G240501I1</v>
          </cell>
          <cell r="J14314">
            <v>45516</v>
          </cell>
          <cell r="K14314">
            <v>8</v>
          </cell>
        </row>
        <row r="14315">
          <cell r="C14315" t="str">
            <v>李育儒</v>
          </cell>
          <cell r="F14315" t="str">
            <v>G240501I1</v>
          </cell>
          <cell r="J14315">
            <v>45517</v>
          </cell>
          <cell r="K14315">
            <v>4</v>
          </cell>
        </row>
        <row r="14316">
          <cell r="C14316" t="str">
            <v>李育儒</v>
          </cell>
          <cell r="F14316" t="str">
            <v>G240501I1</v>
          </cell>
          <cell r="J14316">
            <v>45517</v>
          </cell>
          <cell r="K14316">
            <v>2</v>
          </cell>
        </row>
        <row r="14317">
          <cell r="C14317" t="str">
            <v>李育儒</v>
          </cell>
          <cell r="F14317" t="str">
            <v>G240501I1</v>
          </cell>
          <cell r="J14317">
            <v>45517</v>
          </cell>
          <cell r="K14317">
            <v>2</v>
          </cell>
        </row>
        <row r="14318">
          <cell r="C14318" t="str">
            <v>李育儒</v>
          </cell>
          <cell r="F14318" t="str">
            <v>G240501I1</v>
          </cell>
          <cell r="J14318">
            <v>45518</v>
          </cell>
          <cell r="K14318">
            <v>6</v>
          </cell>
        </row>
        <row r="14319">
          <cell r="C14319" t="str">
            <v>李育儒</v>
          </cell>
          <cell r="F14319" t="str">
            <v>G240501I1</v>
          </cell>
          <cell r="J14319">
            <v>45518</v>
          </cell>
          <cell r="K14319">
            <v>2</v>
          </cell>
        </row>
        <row r="14320">
          <cell r="C14320" t="str">
            <v>李育儒</v>
          </cell>
          <cell r="F14320" t="str">
            <v>G240501I1</v>
          </cell>
          <cell r="J14320">
            <v>45519</v>
          </cell>
          <cell r="K14320">
            <v>8</v>
          </cell>
        </row>
        <row r="14321">
          <cell r="C14321" t="str">
            <v>李育儒</v>
          </cell>
          <cell r="F14321" t="str">
            <v>G240501I1</v>
          </cell>
          <cell r="J14321">
            <v>45520</v>
          </cell>
          <cell r="K14321">
            <v>8</v>
          </cell>
        </row>
        <row r="14322">
          <cell r="C14322" t="str">
            <v>李育儒</v>
          </cell>
          <cell r="J14322">
            <v>45521</v>
          </cell>
          <cell r="K14322">
            <v>8</v>
          </cell>
        </row>
        <row r="14323">
          <cell r="C14323" t="str">
            <v>李育儒</v>
          </cell>
          <cell r="F14323" t="str">
            <v>G240501I1</v>
          </cell>
          <cell r="J14323">
            <v>45530</v>
          </cell>
          <cell r="K14323">
            <v>8</v>
          </cell>
        </row>
        <row r="14324">
          <cell r="C14324" t="str">
            <v>李育儒</v>
          </cell>
          <cell r="F14324" t="str">
            <v>G240501I1</v>
          </cell>
          <cell r="J14324">
            <v>45531</v>
          </cell>
          <cell r="K14324">
            <v>8</v>
          </cell>
        </row>
        <row r="14325">
          <cell r="C14325" t="str">
            <v>李育儒</v>
          </cell>
          <cell r="F14325" t="str">
            <v>G240501I1</v>
          </cell>
          <cell r="J14325">
            <v>45532</v>
          </cell>
          <cell r="K14325">
            <v>2</v>
          </cell>
        </row>
        <row r="14326">
          <cell r="C14326" t="str">
            <v>李育儒</v>
          </cell>
          <cell r="F14326" t="str">
            <v>G240501I1</v>
          </cell>
          <cell r="J14326">
            <v>45532</v>
          </cell>
          <cell r="K14326">
            <v>6</v>
          </cell>
        </row>
        <row r="14327">
          <cell r="C14327" t="str">
            <v>李育儒</v>
          </cell>
          <cell r="J14327">
            <v>45533</v>
          </cell>
          <cell r="K14327">
            <v>6</v>
          </cell>
        </row>
        <row r="14328">
          <cell r="C14328" t="str">
            <v>李育儒</v>
          </cell>
          <cell r="J14328">
            <v>45533</v>
          </cell>
          <cell r="K14328">
            <v>2</v>
          </cell>
        </row>
        <row r="14329">
          <cell r="C14329" t="str">
            <v>李育儒</v>
          </cell>
          <cell r="F14329" t="str">
            <v>G240501I1</v>
          </cell>
          <cell r="J14329">
            <v>45534</v>
          </cell>
          <cell r="K14329">
            <v>8</v>
          </cell>
        </row>
        <row r="14330">
          <cell r="C14330" t="str">
            <v>李育儒</v>
          </cell>
          <cell r="F14330" t="str">
            <v>G240501I1</v>
          </cell>
          <cell r="J14330">
            <v>45537</v>
          </cell>
          <cell r="K14330">
            <v>6</v>
          </cell>
        </row>
        <row r="14331">
          <cell r="C14331" t="str">
            <v>李育儒</v>
          </cell>
          <cell r="F14331" t="str">
            <v>G240901I1</v>
          </cell>
          <cell r="J14331">
            <v>45537</v>
          </cell>
          <cell r="K14331">
            <v>2</v>
          </cell>
        </row>
        <row r="14332">
          <cell r="C14332" t="str">
            <v>李育儒</v>
          </cell>
          <cell r="F14332" t="str">
            <v>G240901I1</v>
          </cell>
          <cell r="J14332">
            <v>45538</v>
          </cell>
          <cell r="K14332">
            <v>8</v>
          </cell>
        </row>
        <row r="14333">
          <cell r="C14333" t="str">
            <v>李育儒</v>
          </cell>
          <cell r="F14333" t="str">
            <v>G240901I1</v>
          </cell>
          <cell r="J14333">
            <v>45539</v>
          </cell>
          <cell r="K14333">
            <v>2</v>
          </cell>
        </row>
        <row r="14334">
          <cell r="C14334" t="str">
            <v>李育儒</v>
          </cell>
          <cell r="F14334" t="str">
            <v>G240901I1</v>
          </cell>
          <cell r="J14334">
            <v>45539</v>
          </cell>
          <cell r="K14334">
            <v>6</v>
          </cell>
        </row>
        <row r="14335">
          <cell r="C14335" t="str">
            <v>李育儒</v>
          </cell>
          <cell r="J14335">
            <v>45540</v>
          </cell>
          <cell r="K14335">
            <v>10</v>
          </cell>
        </row>
        <row r="14336">
          <cell r="C14336" t="str">
            <v>李育儒</v>
          </cell>
          <cell r="F14336" t="str">
            <v>G240901I1</v>
          </cell>
          <cell r="J14336">
            <v>45541</v>
          </cell>
          <cell r="K14336">
            <v>8</v>
          </cell>
        </row>
        <row r="14337">
          <cell r="C14337" t="str">
            <v>李育儒</v>
          </cell>
          <cell r="J14337">
            <v>45542</v>
          </cell>
          <cell r="K14337">
            <v>8</v>
          </cell>
        </row>
        <row r="14338">
          <cell r="C14338" t="str">
            <v>李育儒</v>
          </cell>
          <cell r="F14338" t="str">
            <v>G240901I1</v>
          </cell>
          <cell r="J14338">
            <v>45544</v>
          </cell>
          <cell r="K14338">
            <v>4</v>
          </cell>
        </row>
        <row r="14339">
          <cell r="C14339" t="str">
            <v>李育儒</v>
          </cell>
          <cell r="F14339" t="str">
            <v>G240901I1</v>
          </cell>
          <cell r="J14339">
            <v>45544</v>
          </cell>
          <cell r="K14339">
            <v>4</v>
          </cell>
        </row>
        <row r="14340">
          <cell r="C14340" t="str">
            <v>李育儒</v>
          </cell>
          <cell r="F14340" t="str">
            <v>G240901I1</v>
          </cell>
          <cell r="J14340">
            <v>45545</v>
          </cell>
          <cell r="K14340">
            <v>4</v>
          </cell>
        </row>
        <row r="14341">
          <cell r="C14341" t="str">
            <v>李育儒</v>
          </cell>
          <cell r="F14341" t="str">
            <v>G240901I1</v>
          </cell>
          <cell r="J14341">
            <v>45545</v>
          </cell>
          <cell r="K14341">
            <v>3</v>
          </cell>
        </row>
        <row r="14342">
          <cell r="C14342" t="str">
            <v>李育儒</v>
          </cell>
          <cell r="F14342" t="str">
            <v>G240501I1</v>
          </cell>
          <cell r="J14342">
            <v>45545</v>
          </cell>
          <cell r="K14342">
            <v>1</v>
          </cell>
        </row>
        <row r="14343">
          <cell r="C14343" t="str">
            <v>李育儒</v>
          </cell>
          <cell r="F14343" t="str">
            <v>G231201I1</v>
          </cell>
          <cell r="J14343">
            <v>45546</v>
          </cell>
          <cell r="K14343">
            <v>4</v>
          </cell>
        </row>
        <row r="14344">
          <cell r="C14344" t="str">
            <v>李育儒</v>
          </cell>
          <cell r="F14344" t="str">
            <v>G240901I1</v>
          </cell>
          <cell r="J14344">
            <v>45546</v>
          </cell>
          <cell r="K14344">
            <v>4</v>
          </cell>
        </row>
        <row r="14345">
          <cell r="C14345" t="str">
            <v>李育儒</v>
          </cell>
          <cell r="J14345">
            <v>45547</v>
          </cell>
          <cell r="K14345">
            <v>10</v>
          </cell>
        </row>
        <row r="14346">
          <cell r="C14346" t="str">
            <v>李育儒</v>
          </cell>
          <cell r="F14346" t="str">
            <v>G240901I1</v>
          </cell>
          <cell r="J14346">
            <v>45548</v>
          </cell>
          <cell r="K14346">
            <v>8</v>
          </cell>
        </row>
        <row r="14347">
          <cell r="C14347" t="str">
            <v>李育儒</v>
          </cell>
          <cell r="J14347">
            <v>45549</v>
          </cell>
          <cell r="K14347">
            <v>8</v>
          </cell>
        </row>
        <row r="14348">
          <cell r="C14348" t="str">
            <v>李育儒</v>
          </cell>
          <cell r="J14348">
            <v>45554</v>
          </cell>
          <cell r="K14348">
            <v>6</v>
          </cell>
        </row>
        <row r="14349">
          <cell r="C14349" t="str">
            <v>李育儒</v>
          </cell>
          <cell r="F14349" t="str">
            <v>G240901I1</v>
          </cell>
          <cell r="J14349">
            <v>45554</v>
          </cell>
          <cell r="K14349">
            <v>2</v>
          </cell>
        </row>
        <row r="14350">
          <cell r="C14350" t="str">
            <v>李育儒</v>
          </cell>
          <cell r="J14350">
            <v>45555</v>
          </cell>
          <cell r="K14350">
            <v>5</v>
          </cell>
        </row>
        <row r="14351">
          <cell r="C14351" t="str">
            <v>李育儒</v>
          </cell>
          <cell r="F14351" t="str">
            <v>G240901I1</v>
          </cell>
          <cell r="J14351">
            <v>45555</v>
          </cell>
          <cell r="K14351">
            <v>3</v>
          </cell>
        </row>
        <row r="14352">
          <cell r="C14352" t="str">
            <v>李育儒</v>
          </cell>
          <cell r="J14352">
            <v>45558</v>
          </cell>
          <cell r="K14352">
            <v>1</v>
          </cell>
        </row>
        <row r="14353">
          <cell r="C14353" t="str">
            <v>李育儒</v>
          </cell>
          <cell r="F14353" t="str">
            <v>G240901I1</v>
          </cell>
          <cell r="J14353">
            <v>45558</v>
          </cell>
          <cell r="K14353">
            <v>6</v>
          </cell>
        </row>
        <row r="14354">
          <cell r="C14354" t="str">
            <v>李育儒</v>
          </cell>
          <cell r="F14354" t="str">
            <v>G240901I1</v>
          </cell>
          <cell r="J14354">
            <v>45558</v>
          </cell>
          <cell r="K14354">
            <v>1</v>
          </cell>
        </row>
        <row r="14355">
          <cell r="C14355" t="str">
            <v>李育儒</v>
          </cell>
          <cell r="F14355" t="str">
            <v>G240901I1</v>
          </cell>
          <cell r="J14355">
            <v>45559</v>
          </cell>
          <cell r="K14355">
            <v>4</v>
          </cell>
        </row>
        <row r="14356">
          <cell r="C14356" t="str">
            <v>李育儒</v>
          </cell>
          <cell r="J14356">
            <v>45560</v>
          </cell>
          <cell r="K14356">
            <v>1</v>
          </cell>
        </row>
        <row r="14357">
          <cell r="C14357" t="str">
            <v>李育儒</v>
          </cell>
          <cell r="F14357" t="str">
            <v>G240901I1</v>
          </cell>
          <cell r="J14357">
            <v>45560</v>
          </cell>
          <cell r="K14357">
            <v>5</v>
          </cell>
        </row>
        <row r="14358">
          <cell r="C14358" t="str">
            <v>李育儒</v>
          </cell>
          <cell r="F14358" t="str">
            <v>G240901I1</v>
          </cell>
          <cell r="J14358">
            <v>45560</v>
          </cell>
          <cell r="K14358">
            <v>2</v>
          </cell>
        </row>
        <row r="14359">
          <cell r="C14359" t="str">
            <v>李育儒</v>
          </cell>
          <cell r="F14359" t="str">
            <v>G240901I1</v>
          </cell>
          <cell r="J14359">
            <v>45569</v>
          </cell>
          <cell r="K14359">
            <v>4</v>
          </cell>
        </row>
        <row r="14360">
          <cell r="C14360" t="str">
            <v>李育儒</v>
          </cell>
          <cell r="F14360" t="str">
            <v>G240901I1</v>
          </cell>
          <cell r="J14360">
            <v>45569</v>
          </cell>
          <cell r="K14360">
            <v>4</v>
          </cell>
        </row>
        <row r="14361">
          <cell r="C14361" t="str">
            <v>李育儒</v>
          </cell>
          <cell r="F14361" t="str">
            <v>G231201I1</v>
          </cell>
          <cell r="J14361">
            <v>45572</v>
          </cell>
          <cell r="K14361">
            <v>1</v>
          </cell>
        </row>
        <row r="14362">
          <cell r="C14362" t="str">
            <v>李育儒</v>
          </cell>
          <cell r="F14362" t="str">
            <v>G240901I1</v>
          </cell>
          <cell r="J14362">
            <v>45572</v>
          </cell>
          <cell r="K14362">
            <v>7</v>
          </cell>
        </row>
        <row r="14363">
          <cell r="C14363" t="str">
            <v>李育儒</v>
          </cell>
          <cell r="J14363">
            <v>45573</v>
          </cell>
          <cell r="K14363">
            <v>1</v>
          </cell>
        </row>
        <row r="14364">
          <cell r="C14364" t="str">
            <v>李育儒</v>
          </cell>
          <cell r="F14364" t="str">
            <v>G231201I1</v>
          </cell>
          <cell r="J14364">
            <v>45573</v>
          </cell>
          <cell r="K14364">
            <v>3</v>
          </cell>
        </row>
        <row r="14365">
          <cell r="C14365" t="str">
            <v>李育儒</v>
          </cell>
          <cell r="F14365" t="str">
            <v>G240901I1</v>
          </cell>
          <cell r="J14365">
            <v>45573</v>
          </cell>
          <cell r="K14365">
            <v>4</v>
          </cell>
        </row>
        <row r="14366">
          <cell r="C14366" t="str">
            <v>李育儒</v>
          </cell>
          <cell r="F14366" t="str">
            <v>G231201I1</v>
          </cell>
          <cell r="J14366">
            <v>45574</v>
          </cell>
          <cell r="K14366">
            <v>12</v>
          </cell>
        </row>
        <row r="14367">
          <cell r="C14367" t="str">
            <v>李育儒</v>
          </cell>
          <cell r="F14367" t="str">
            <v>G240901I1</v>
          </cell>
          <cell r="J14367">
            <v>45576</v>
          </cell>
          <cell r="K14367">
            <v>8</v>
          </cell>
        </row>
        <row r="14368">
          <cell r="C14368" t="str">
            <v>李育儒</v>
          </cell>
          <cell r="J14368">
            <v>45577</v>
          </cell>
          <cell r="K14368">
            <v>8</v>
          </cell>
        </row>
        <row r="14369">
          <cell r="C14369" t="str">
            <v>李育儒</v>
          </cell>
          <cell r="F14369" t="str">
            <v>G231201I1</v>
          </cell>
          <cell r="J14369">
            <v>45579</v>
          </cell>
          <cell r="K14369">
            <v>2</v>
          </cell>
        </row>
        <row r="14370">
          <cell r="C14370" t="str">
            <v>李育儒</v>
          </cell>
          <cell r="F14370" t="str">
            <v>G240901I1</v>
          </cell>
          <cell r="J14370">
            <v>45579</v>
          </cell>
          <cell r="K14370">
            <v>4</v>
          </cell>
        </row>
        <row r="14371">
          <cell r="C14371" t="str">
            <v>李育儒</v>
          </cell>
          <cell r="F14371" t="str">
            <v>G240901I1</v>
          </cell>
          <cell r="J14371">
            <v>45579</v>
          </cell>
          <cell r="K14371">
            <v>2</v>
          </cell>
        </row>
        <row r="14372">
          <cell r="C14372" t="str">
            <v>李育儒</v>
          </cell>
          <cell r="F14372" t="str">
            <v>G231201I1</v>
          </cell>
          <cell r="J14372">
            <v>45580</v>
          </cell>
          <cell r="K14372">
            <v>4</v>
          </cell>
        </row>
        <row r="14373">
          <cell r="C14373" t="str">
            <v>李育儒</v>
          </cell>
          <cell r="F14373" t="str">
            <v>G240901I1</v>
          </cell>
          <cell r="J14373">
            <v>45580</v>
          </cell>
          <cell r="K14373">
            <v>4</v>
          </cell>
        </row>
        <row r="14374">
          <cell r="C14374" t="str">
            <v>李育儒</v>
          </cell>
          <cell r="J14374">
            <v>45582</v>
          </cell>
          <cell r="K14374">
            <v>2</v>
          </cell>
        </row>
        <row r="14375">
          <cell r="C14375" t="str">
            <v>李育儒</v>
          </cell>
          <cell r="J14375">
            <v>45582</v>
          </cell>
          <cell r="K14375">
            <v>1</v>
          </cell>
        </row>
        <row r="14376">
          <cell r="C14376" t="str">
            <v>李育儒</v>
          </cell>
          <cell r="F14376" t="str">
            <v>G240901I1</v>
          </cell>
          <cell r="J14376">
            <v>45582</v>
          </cell>
          <cell r="K14376">
            <v>7</v>
          </cell>
        </row>
        <row r="14377">
          <cell r="C14377" t="str">
            <v>李育儒</v>
          </cell>
          <cell r="F14377" t="str">
            <v>G240901I1</v>
          </cell>
          <cell r="J14377">
            <v>45583</v>
          </cell>
          <cell r="K14377">
            <v>9</v>
          </cell>
        </row>
        <row r="14378">
          <cell r="C14378" t="str">
            <v>李育儒</v>
          </cell>
          <cell r="J14378">
            <v>45584</v>
          </cell>
          <cell r="K14378">
            <v>8</v>
          </cell>
        </row>
        <row r="14379">
          <cell r="C14379" t="str">
            <v>李育儒</v>
          </cell>
          <cell r="J14379">
            <v>45586</v>
          </cell>
          <cell r="K14379">
            <v>2</v>
          </cell>
        </row>
        <row r="14380">
          <cell r="C14380" t="str">
            <v>李育儒</v>
          </cell>
          <cell r="F14380" t="str">
            <v>G240901I1</v>
          </cell>
          <cell r="J14380">
            <v>45586</v>
          </cell>
          <cell r="K14380">
            <v>4</v>
          </cell>
        </row>
        <row r="14381">
          <cell r="C14381" t="str">
            <v>李育儒</v>
          </cell>
          <cell r="F14381" t="str">
            <v>G240901I1</v>
          </cell>
          <cell r="J14381">
            <v>45586</v>
          </cell>
          <cell r="K14381">
            <v>2</v>
          </cell>
        </row>
        <row r="14382">
          <cell r="C14382" t="str">
            <v>李育儒</v>
          </cell>
          <cell r="F14382" t="str">
            <v>G240901I1</v>
          </cell>
          <cell r="J14382">
            <v>45587</v>
          </cell>
          <cell r="K14382">
            <v>8</v>
          </cell>
        </row>
        <row r="14383">
          <cell r="C14383" t="str">
            <v>李育儒</v>
          </cell>
          <cell r="J14383">
            <v>45588</v>
          </cell>
          <cell r="K14383">
            <v>1</v>
          </cell>
        </row>
        <row r="14384">
          <cell r="C14384" t="str">
            <v>李育儒</v>
          </cell>
          <cell r="F14384" t="str">
            <v>G240901I1</v>
          </cell>
          <cell r="J14384">
            <v>45588</v>
          </cell>
          <cell r="K14384">
            <v>7</v>
          </cell>
        </row>
        <row r="14385">
          <cell r="C14385" t="str">
            <v>李育儒</v>
          </cell>
          <cell r="J14385">
            <v>45589</v>
          </cell>
          <cell r="K14385">
            <v>1.5</v>
          </cell>
        </row>
        <row r="14386">
          <cell r="C14386" t="str">
            <v>李育儒</v>
          </cell>
          <cell r="F14386" t="str">
            <v>G240901I1</v>
          </cell>
          <cell r="J14386">
            <v>45589</v>
          </cell>
          <cell r="K14386">
            <v>4</v>
          </cell>
        </row>
        <row r="14387">
          <cell r="C14387" t="str">
            <v>李育儒</v>
          </cell>
          <cell r="F14387" t="str">
            <v>G240901I1</v>
          </cell>
          <cell r="J14387">
            <v>45589</v>
          </cell>
          <cell r="K14387">
            <v>4</v>
          </cell>
        </row>
        <row r="14388">
          <cell r="C14388" t="str">
            <v>李育儒</v>
          </cell>
          <cell r="F14388" t="str">
            <v>G231201I1</v>
          </cell>
          <cell r="J14388">
            <v>45590</v>
          </cell>
          <cell r="K14388">
            <v>7</v>
          </cell>
        </row>
        <row r="14389">
          <cell r="C14389" t="str">
            <v>李育儒</v>
          </cell>
          <cell r="F14389" t="str">
            <v>G240901I1</v>
          </cell>
          <cell r="J14389">
            <v>45590</v>
          </cell>
          <cell r="K14389">
            <v>1</v>
          </cell>
        </row>
        <row r="14390">
          <cell r="C14390" t="str">
            <v>李育儒</v>
          </cell>
          <cell r="F14390" t="str">
            <v>G240901I1</v>
          </cell>
          <cell r="J14390">
            <v>45594</v>
          </cell>
          <cell r="K14390">
            <v>4</v>
          </cell>
        </row>
        <row r="14391">
          <cell r="C14391" t="str">
            <v>李育儒</v>
          </cell>
          <cell r="F14391" t="str">
            <v>G240901I1</v>
          </cell>
          <cell r="J14391">
            <v>45594</v>
          </cell>
          <cell r="K14391">
            <v>4</v>
          </cell>
        </row>
        <row r="14392">
          <cell r="C14392" t="str">
            <v>李育儒</v>
          </cell>
          <cell r="F14392" t="str">
            <v>G231201I1</v>
          </cell>
          <cell r="J14392">
            <v>45595</v>
          </cell>
          <cell r="K14392">
            <v>3</v>
          </cell>
        </row>
        <row r="14393">
          <cell r="C14393" t="str">
            <v>李育儒</v>
          </cell>
          <cell r="F14393" t="str">
            <v>G240901I1</v>
          </cell>
          <cell r="J14393">
            <v>45595</v>
          </cell>
          <cell r="K14393">
            <v>4</v>
          </cell>
        </row>
        <row r="14394">
          <cell r="C14394" t="str">
            <v>李育儒</v>
          </cell>
          <cell r="F14394" t="str">
            <v>G240901I1</v>
          </cell>
          <cell r="J14394">
            <v>45595</v>
          </cell>
          <cell r="K14394">
            <v>1</v>
          </cell>
        </row>
        <row r="14395">
          <cell r="C14395" t="str">
            <v>李育儒</v>
          </cell>
          <cell r="F14395" t="str">
            <v>G240901I1</v>
          </cell>
          <cell r="J14395">
            <v>45597</v>
          </cell>
          <cell r="K14395">
            <v>1</v>
          </cell>
        </row>
        <row r="14396">
          <cell r="C14396" t="str">
            <v>李育儒</v>
          </cell>
          <cell r="F14396" t="str">
            <v>G240901I1</v>
          </cell>
          <cell r="J14396">
            <v>45597</v>
          </cell>
          <cell r="K14396">
            <v>7</v>
          </cell>
        </row>
        <row r="14397">
          <cell r="C14397" t="str">
            <v>李育儒</v>
          </cell>
          <cell r="J14397">
            <v>45600</v>
          </cell>
          <cell r="K14397">
            <v>1</v>
          </cell>
        </row>
        <row r="14398">
          <cell r="C14398" t="str">
            <v>李育儒</v>
          </cell>
          <cell r="F14398" t="str">
            <v>G231201I1</v>
          </cell>
          <cell r="J14398">
            <v>45600</v>
          </cell>
          <cell r="K14398">
            <v>7</v>
          </cell>
        </row>
        <row r="14399">
          <cell r="C14399" t="str">
            <v>李育儒</v>
          </cell>
          <cell r="F14399" t="str">
            <v>G231201I1</v>
          </cell>
          <cell r="J14399">
            <v>45601</v>
          </cell>
          <cell r="K14399">
            <v>8</v>
          </cell>
        </row>
        <row r="14400">
          <cell r="C14400" t="str">
            <v>李育儒</v>
          </cell>
          <cell r="F14400" t="str">
            <v>G240901I1</v>
          </cell>
          <cell r="J14400">
            <v>45602</v>
          </cell>
          <cell r="K14400">
            <v>8</v>
          </cell>
        </row>
        <row r="14401">
          <cell r="C14401" t="str">
            <v>李育儒</v>
          </cell>
          <cell r="F14401" t="str">
            <v>G240901I1</v>
          </cell>
          <cell r="J14401">
            <v>45604</v>
          </cell>
          <cell r="K14401">
            <v>6</v>
          </cell>
        </row>
        <row r="14402">
          <cell r="C14402" t="str">
            <v>李育儒</v>
          </cell>
          <cell r="F14402" t="str">
            <v>G231201I1</v>
          </cell>
          <cell r="J14402">
            <v>45607</v>
          </cell>
          <cell r="K14402">
            <v>6</v>
          </cell>
        </row>
        <row r="14403">
          <cell r="C14403" t="str">
            <v>李育儒</v>
          </cell>
          <cell r="F14403" t="str">
            <v>G240901I1</v>
          </cell>
          <cell r="J14403">
            <v>45607</v>
          </cell>
          <cell r="K14403">
            <v>4</v>
          </cell>
        </row>
        <row r="14404">
          <cell r="C14404" t="str">
            <v>李育儒</v>
          </cell>
          <cell r="F14404" t="str">
            <v>G240901I1</v>
          </cell>
          <cell r="J14404">
            <v>45607</v>
          </cell>
          <cell r="K14404">
            <v>4</v>
          </cell>
        </row>
        <row r="14405">
          <cell r="C14405" t="str">
            <v>李育儒</v>
          </cell>
          <cell r="F14405" t="str">
            <v>G240901I1</v>
          </cell>
          <cell r="J14405">
            <v>45609</v>
          </cell>
          <cell r="K14405">
            <v>8</v>
          </cell>
        </row>
        <row r="14406">
          <cell r="C14406" t="str">
            <v>李育儒</v>
          </cell>
          <cell r="J14406">
            <v>45610</v>
          </cell>
          <cell r="K14406">
            <v>1</v>
          </cell>
        </row>
        <row r="14407">
          <cell r="C14407" t="str">
            <v>李育儒</v>
          </cell>
          <cell r="F14407" t="str">
            <v>G240901I1</v>
          </cell>
          <cell r="J14407">
            <v>45610</v>
          </cell>
          <cell r="K14407">
            <v>7</v>
          </cell>
        </row>
        <row r="14408">
          <cell r="C14408" t="str">
            <v>李育儒</v>
          </cell>
          <cell r="F14408" t="str">
            <v>G240901I1</v>
          </cell>
          <cell r="J14408">
            <v>45611</v>
          </cell>
          <cell r="K14408">
            <v>8</v>
          </cell>
        </row>
        <row r="14409">
          <cell r="C14409" t="str">
            <v>李育儒</v>
          </cell>
          <cell r="J14409">
            <v>45615</v>
          </cell>
          <cell r="K14409">
            <v>1</v>
          </cell>
        </row>
        <row r="14410">
          <cell r="C14410" t="str">
            <v>李育儒</v>
          </cell>
          <cell r="F14410" t="str">
            <v>G240901I1</v>
          </cell>
          <cell r="J14410">
            <v>45615</v>
          </cell>
          <cell r="K14410">
            <v>7</v>
          </cell>
        </row>
        <row r="14411">
          <cell r="C14411" t="str">
            <v>李育儒</v>
          </cell>
          <cell r="F14411" t="str">
            <v>G240901I1</v>
          </cell>
          <cell r="J14411">
            <v>45616</v>
          </cell>
          <cell r="K14411">
            <v>1</v>
          </cell>
        </row>
        <row r="14412">
          <cell r="C14412" t="str">
            <v>李育儒</v>
          </cell>
          <cell r="F14412" t="str">
            <v>G240901I1</v>
          </cell>
          <cell r="J14412">
            <v>45616</v>
          </cell>
          <cell r="K14412">
            <v>2</v>
          </cell>
        </row>
        <row r="14413">
          <cell r="C14413" t="str">
            <v>李育儒</v>
          </cell>
          <cell r="F14413" t="str">
            <v>G240901I1</v>
          </cell>
          <cell r="J14413">
            <v>45616</v>
          </cell>
          <cell r="K14413">
            <v>5</v>
          </cell>
        </row>
        <row r="14414">
          <cell r="C14414" t="str">
            <v>李育儒</v>
          </cell>
          <cell r="J14414">
            <v>45617</v>
          </cell>
          <cell r="K14414">
            <v>1</v>
          </cell>
        </row>
        <row r="14415">
          <cell r="C14415" t="str">
            <v>李育儒</v>
          </cell>
          <cell r="F14415" t="str">
            <v>G240901I1</v>
          </cell>
          <cell r="J14415">
            <v>45617</v>
          </cell>
          <cell r="K14415">
            <v>5</v>
          </cell>
        </row>
        <row r="14416">
          <cell r="C14416" t="str">
            <v>李育儒</v>
          </cell>
          <cell r="F14416" t="str">
            <v>G240901I1</v>
          </cell>
          <cell r="J14416">
            <v>45617</v>
          </cell>
          <cell r="K14416">
            <v>2</v>
          </cell>
        </row>
        <row r="14417">
          <cell r="C14417" t="str">
            <v>李育儒</v>
          </cell>
          <cell r="F14417" t="str">
            <v>G240901I1</v>
          </cell>
          <cell r="J14417">
            <v>45618</v>
          </cell>
          <cell r="K14417">
            <v>2</v>
          </cell>
        </row>
        <row r="14418">
          <cell r="C14418" t="str">
            <v>李育儒</v>
          </cell>
          <cell r="F14418" t="str">
            <v>G240901I1</v>
          </cell>
          <cell r="J14418">
            <v>45618</v>
          </cell>
          <cell r="K14418">
            <v>6</v>
          </cell>
        </row>
        <row r="14419">
          <cell r="C14419" t="str">
            <v>李育儒</v>
          </cell>
          <cell r="J14419">
            <v>45621</v>
          </cell>
          <cell r="K14419">
            <v>4</v>
          </cell>
        </row>
        <row r="14420">
          <cell r="C14420" t="str">
            <v>李育儒</v>
          </cell>
          <cell r="F14420" t="str">
            <v>G240901I1</v>
          </cell>
          <cell r="J14420">
            <v>45621</v>
          </cell>
          <cell r="K14420">
            <v>4</v>
          </cell>
        </row>
        <row r="14421">
          <cell r="C14421" t="str">
            <v>李育儒</v>
          </cell>
          <cell r="F14421" t="str">
            <v>G240901I1</v>
          </cell>
          <cell r="J14421">
            <v>45622</v>
          </cell>
          <cell r="K14421">
            <v>8</v>
          </cell>
        </row>
        <row r="14422">
          <cell r="C14422" t="str">
            <v>李育儒</v>
          </cell>
          <cell r="J14422">
            <v>45623</v>
          </cell>
          <cell r="K14422">
            <v>1</v>
          </cell>
        </row>
        <row r="14423">
          <cell r="C14423" t="str">
            <v>李育儒</v>
          </cell>
          <cell r="F14423" t="str">
            <v>G240901I1</v>
          </cell>
          <cell r="J14423">
            <v>45623</v>
          </cell>
          <cell r="K14423">
            <v>1</v>
          </cell>
        </row>
        <row r="14424">
          <cell r="C14424" t="str">
            <v>李育儒</v>
          </cell>
          <cell r="F14424" t="str">
            <v>G240901I1</v>
          </cell>
          <cell r="J14424">
            <v>45623</v>
          </cell>
          <cell r="K14424">
            <v>1</v>
          </cell>
        </row>
        <row r="14425">
          <cell r="C14425" t="str">
            <v>李育儒</v>
          </cell>
          <cell r="F14425" t="str">
            <v>G240901I1</v>
          </cell>
          <cell r="J14425">
            <v>45623</v>
          </cell>
          <cell r="K14425">
            <v>4</v>
          </cell>
        </row>
        <row r="14426">
          <cell r="C14426" t="str">
            <v>李育儒</v>
          </cell>
          <cell r="F14426" t="str">
            <v>G240901I1</v>
          </cell>
          <cell r="J14426">
            <v>45623</v>
          </cell>
          <cell r="K14426">
            <v>1</v>
          </cell>
        </row>
        <row r="14427">
          <cell r="C14427" t="str">
            <v>李育儒</v>
          </cell>
          <cell r="J14427">
            <v>45624</v>
          </cell>
          <cell r="K14427">
            <v>2</v>
          </cell>
        </row>
        <row r="14428">
          <cell r="C14428" t="str">
            <v>李育儒</v>
          </cell>
          <cell r="J14428">
            <v>45624</v>
          </cell>
          <cell r="K14428">
            <v>1</v>
          </cell>
        </row>
        <row r="14429">
          <cell r="C14429" t="str">
            <v>李育儒</v>
          </cell>
          <cell r="F14429" t="str">
            <v>G240901I1</v>
          </cell>
          <cell r="J14429">
            <v>45624</v>
          </cell>
          <cell r="K14429">
            <v>7</v>
          </cell>
        </row>
        <row r="14430">
          <cell r="C14430" t="str">
            <v>李育儒</v>
          </cell>
          <cell r="F14430" t="str">
            <v>G240901I1</v>
          </cell>
          <cell r="J14430">
            <v>45625</v>
          </cell>
          <cell r="K14430">
            <v>4</v>
          </cell>
        </row>
        <row r="14431">
          <cell r="C14431" t="str">
            <v>李育儒</v>
          </cell>
          <cell r="F14431" t="str">
            <v>G240901I1</v>
          </cell>
          <cell r="J14431">
            <v>45625</v>
          </cell>
          <cell r="K14431">
            <v>2</v>
          </cell>
        </row>
        <row r="14432">
          <cell r="C14432" t="str">
            <v>李育儒</v>
          </cell>
          <cell r="F14432" t="str">
            <v>G240901I1</v>
          </cell>
          <cell r="J14432">
            <v>45625</v>
          </cell>
          <cell r="K14432">
            <v>2</v>
          </cell>
        </row>
        <row r="14433">
          <cell r="C14433" t="str">
            <v>李育儒</v>
          </cell>
          <cell r="J14433">
            <v>45626</v>
          </cell>
          <cell r="K14433">
            <v>8</v>
          </cell>
        </row>
        <row r="14434">
          <cell r="C14434" t="str">
            <v>李育儒</v>
          </cell>
          <cell r="J14434">
            <v>45628</v>
          </cell>
          <cell r="K14434">
            <v>9</v>
          </cell>
        </row>
        <row r="14435">
          <cell r="C14435" t="str">
            <v>李育儒</v>
          </cell>
          <cell r="F14435" t="str">
            <v>G240901I1</v>
          </cell>
          <cell r="J14435">
            <v>45629</v>
          </cell>
          <cell r="K14435">
            <v>4</v>
          </cell>
        </row>
        <row r="14436">
          <cell r="C14436" t="str">
            <v>李育儒</v>
          </cell>
          <cell r="F14436" t="str">
            <v>G240901I1</v>
          </cell>
          <cell r="J14436">
            <v>45629</v>
          </cell>
          <cell r="K14436">
            <v>4</v>
          </cell>
        </row>
        <row r="14437">
          <cell r="C14437" t="str">
            <v>李育儒</v>
          </cell>
          <cell r="F14437" t="str">
            <v>G240901I1</v>
          </cell>
          <cell r="J14437">
            <v>45630</v>
          </cell>
          <cell r="K14437">
            <v>10</v>
          </cell>
        </row>
        <row r="14438">
          <cell r="C14438" t="str">
            <v>李育儒</v>
          </cell>
          <cell r="J14438">
            <v>45631</v>
          </cell>
          <cell r="K14438">
            <v>1</v>
          </cell>
        </row>
        <row r="14439">
          <cell r="C14439" t="str">
            <v>李育儒</v>
          </cell>
          <cell r="F14439" t="str">
            <v>G240901I1</v>
          </cell>
          <cell r="J14439">
            <v>45631</v>
          </cell>
          <cell r="K14439">
            <v>4</v>
          </cell>
        </row>
        <row r="14440">
          <cell r="C14440" t="str">
            <v>李育儒</v>
          </cell>
          <cell r="F14440" t="str">
            <v>G240901I1</v>
          </cell>
          <cell r="J14440">
            <v>45631</v>
          </cell>
          <cell r="K14440">
            <v>3</v>
          </cell>
        </row>
        <row r="14441">
          <cell r="C14441" t="str">
            <v>李育儒</v>
          </cell>
          <cell r="F14441" t="str">
            <v>G240901I1</v>
          </cell>
          <cell r="J14441">
            <v>45632</v>
          </cell>
          <cell r="K14441">
            <v>4</v>
          </cell>
        </row>
        <row r="14442">
          <cell r="C14442" t="str">
            <v>李育儒</v>
          </cell>
          <cell r="F14442" t="str">
            <v>G240901I1</v>
          </cell>
          <cell r="J14442">
            <v>45632</v>
          </cell>
          <cell r="K14442">
            <v>4</v>
          </cell>
        </row>
        <row r="14443">
          <cell r="C14443" t="str">
            <v>李育儒</v>
          </cell>
          <cell r="F14443" t="str">
            <v>G240901I1</v>
          </cell>
          <cell r="J14443">
            <v>45636</v>
          </cell>
          <cell r="K14443">
            <v>8</v>
          </cell>
        </row>
        <row r="14444">
          <cell r="C14444" t="str">
            <v>李育儒</v>
          </cell>
          <cell r="F14444" t="str">
            <v>G240901I1</v>
          </cell>
          <cell r="J14444">
            <v>45637</v>
          </cell>
          <cell r="K14444">
            <v>8</v>
          </cell>
        </row>
        <row r="14445">
          <cell r="C14445" t="str">
            <v>李育儒</v>
          </cell>
          <cell r="J14445">
            <v>45638</v>
          </cell>
          <cell r="K14445">
            <v>2</v>
          </cell>
        </row>
        <row r="14446">
          <cell r="C14446" t="str">
            <v>李育儒</v>
          </cell>
          <cell r="F14446" t="str">
            <v>G240901I1</v>
          </cell>
          <cell r="J14446">
            <v>45638</v>
          </cell>
          <cell r="K14446">
            <v>6</v>
          </cell>
        </row>
        <row r="14447">
          <cell r="C14447" t="str">
            <v>李育儒</v>
          </cell>
          <cell r="F14447" t="str">
            <v>G240901I1</v>
          </cell>
          <cell r="J14447">
            <v>45639</v>
          </cell>
          <cell r="K14447">
            <v>3</v>
          </cell>
        </row>
        <row r="14448">
          <cell r="C14448" t="str">
            <v>李育儒</v>
          </cell>
          <cell r="F14448" t="str">
            <v>G240901I1</v>
          </cell>
          <cell r="J14448">
            <v>45639</v>
          </cell>
          <cell r="K14448">
            <v>2</v>
          </cell>
        </row>
        <row r="14449">
          <cell r="C14449" t="str">
            <v>李育儒</v>
          </cell>
          <cell r="F14449" t="str">
            <v>G240901I1</v>
          </cell>
          <cell r="J14449">
            <v>45639</v>
          </cell>
          <cell r="K14449">
            <v>3</v>
          </cell>
        </row>
        <row r="14450">
          <cell r="C14450" t="str">
            <v>李育儒</v>
          </cell>
          <cell r="F14450" t="str">
            <v>G240901I1</v>
          </cell>
          <cell r="J14450">
            <v>45642</v>
          </cell>
          <cell r="K14450">
            <v>3</v>
          </cell>
        </row>
        <row r="14451">
          <cell r="C14451" t="str">
            <v>李育儒</v>
          </cell>
          <cell r="F14451" t="str">
            <v>G240901I1</v>
          </cell>
          <cell r="J14451">
            <v>45642</v>
          </cell>
          <cell r="K14451">
            <v>3</v>
          </cell>
        </row>
        <row r="14452">
          <cell r="C14452" t="str">
            <v>李育儒</v>
          </cell>
          <cell r="F14452" t="str">
            <v>G240901I1</v>
          </cell>
          <cell r="J14452">
            <v>45642</v>
          </cell>
          <cell r="K14452">
            <v>2</v>
          </cell>
        </row>
        <row r="14453">
          <cell r="C14453" t="str">
            <v>李育儒</v>
          </cell>
          <cell r="F14453" t="str">
            <v>G240901I1</v>
          </cell>
          <cell r="J14453">
            <v>45643</v>
          </cell>
          <cell r="K14453">
            <v>3</v>
          </cell>
        </row>
        <row r="14454">
          <cell r="C14454" t="str">
            <v>李育儒</v>
          </cell>
          <cell r="F14454" t="str">
            <v>G240901I1</v>
          </cell>
          <cell r="J14454">
            <v>45643</v>
          </cell>
          <cell r="K14454">
            <v>3</v>
          </cell>
        </row>
        <row r="14455">
          <cell r="C14455" t="str">
            <v>李育儒</v>
          </cell>
          <cell r="F14455" t="str">
            <v>G240901I1</v>
          </cell>
          <cell r="J14455">
            <v>45643</v>
          </cell>
          <cell r="K14455">
            <v>2</v>
          </cell>
        </row>
        <row r="14456">
          <cell r="C14456" t="str">
            <v>李育儒</v>
          </cell>
          <cell r="F14456" t="str">
            <v>G240901I1</v>
          </cell>
          <cell r="J14456">
            <v>45644</v>
          </cell>
          <cell r="K14456">
            <v>8</v>
          </cell>
        </row>
        <row r="14457">
          <cell r="C14457" t="str">
            <v>李育儒</v>
          </cell>
          <cell r="J14457">
            <v>45645</v>
          </cell>
          <cell r="K14457">
            <v>8</v>
          </cell>
        </row>
        <row r="14458">
          <cell r="C14458" t="str">
            <v>李育儒</v>
          </cell>
          <cell r="J14458">
            <v>45646</v>
          </cell>
          <cell r="K14458">
            <v>8</v>
          </cell>
        </row>
        <row r="14459">
          <cell r="C14459" t="str">
            <v>李育儒</v>
          </cell>
          <cell r="J14459">
            <v>45650</v>
          </cell>
          <cell r="K14459">
            <v>5</v>
          </cell>
        </row>
        <row r="14460">
          <cell r="C14460" t="str">
            <v>李育儒</v>
          </cell>
          <cell r="F14460" t="str">
            <v>G240901I1</v>
          </cell>
          <cell r="J14460">
            <v>45650</v>
          </cell>
          <cell r="K14460">
            <v>3</v>
          </cell>
        </row>
        <row r="14461">
          <cell r="C14461" t="str">
            <v>李育儒</v>
          </cell>
          <cell r="J14461">
            <v>45651</v>
          </cell>
          <cell r="K14461">
            <v>3</v>
          </cell>
        </row>
        <row r="14462">
          <cell r="C14462" t="str">
            <v>李育儒</v>
          </cell>
          <cell r="J14462">
            <v>45651</v>
          </cell>
          <cell r="K14462">
            <v>2</v>
          </cell>
        </row>
        <row r="14463">
          <cell r="C14463" t="str">
            <v>李育儒</v>
          </cell>
          <cell r="F14463" t="str">
            <v>G240901I1</v>
          </cell>
          <cell r="J14463">
            <v>45651</v>
          </cell>
          <cell r="K14463">
            <v>3</v>
          </cell>
        </row>
        <row r="14464">
          <cell r="C14464" t="str">
            <v>李育儒</v>
          </cell>
          <cell r="J14464">
            <v>45652</v>
          </cell>
          <cell r="K14464">
            <v>1</v>
          </cell>
        </row>
        <row r="14465">
          <cell r="C14465" t="str">
            <v>李育儒</v>
          </cell>
          <cell r="F14465" t="str">
            <v>G240901I1</v>
          </cell>
          <cell r="J14465">
            <v>45652</v>
          </cell>
          <cell r="K14465">
            <v>7</v>
          </cell>
        </row>
        <row r="14466">
          <cell r="C14466" t="str">
            <v>李育儒</v>
          </cell>
          <cell r="F14466" t="str">
            <v>G240901I1</v>
          </cell>
          <cell r="J14466">
            <v>45653</v>
          </cell>
          <cell r="K14466">
            <v>8</v>
          </cell>
        </row>
        <row r="14467">
          <cell r="C14467" t="str">
            <v>李育儒</v>
          </cell>
          <cell r="F14467" t="str">
            <v>G240901I1</v>
          </cell>
          <cell r="J14467">
            <v>45656</v>
          </cell>
          <cell r="K14467">
            <v>8</v>
          </cell>
        </row>
        <row r="14468">
          <cell r="C14468" t="str">
            <v>李育儒</v>
          </cell>
          <cell r="J14468">
            <v>45659</v>
          </cell>
          <cell r="K14468">
            <v>1</v>
          </cell>
        </row>
        <row r="14469">
          <cell r="C14469" t="str">
            <v>李育儒</v>
          </cell>
          <cell r="F14469" t="str">
            <v>G240901I1</v>
          </cell>
          <cell r="J14469">
            <v>45659</v>
          </cell>
          <cell r="K14469">
            <v>7</v>
          </cell>
        </row>
        <row r="14470">
          <cell r="C14470" t="str">
            <v>李育儒</v>
          </cell>
          <cell r="F14470" t="str">
            <v>G240901I1</v>
          </cell>
          <cell r="J14470">
            <v>45660</v>
          </cell>
          <cell r="K14470">
            <v>2</v>
          </cell>
        </row>
        <row r="14471">
          <cell r="C14471" t="str">
            <v>李育儒</v>
          </cell>
          <cell r="F14471" t="str">
            <v>G240901I1</v>
          </cell>
          <cell r="J14471">
            <v>45660</v>
          </cell>
          <cell r="K14471">
            <v>6</v>
          </cell>
        </row>
        <row r="14472">
          <cell r="C14472" t="str">
            <v>李育儒</v>
          </cell>
          <cell r="F14472" t="str">
            <v>G240901I1</v>
          </cell>
          <cell r="J14472">
            <v>45663</v>
          </cell>
          <cell r="K14472">
            <v>6</v>
          </cell>
        </row>
        <row r="14473">
          <cell r="C14473" t="str">
            <v>李育儒</v>
          </cell>
          <cell r="F14473" t="str">
            <v>G240901I1</v>
          </cell>
          <cell r="J14473">
            <v>45663</v>
          </cell>
          <cell r="K14473">
            <v>2</v>
          </cell>
        </row>
        <row r="14474">
          <cell r="C14474" t="str">
            <v>李育儒</v>
          </cell>
          <cell r="F14474" t="str">
            <v>G240901I1</v>
          </cell>
          <cell r="J14474">
            <v>45664</v>
          </cell>
          <cell r="K14474">
            <v>4</v>
          </cell>
        </row>
        <row r="14475">
          <cell r="C14475" t="str">
            <v>李育儒</v>
          </cell>
          <cell r="F14475" t="str">
            <v>G240901I1</v>
          </cell>
          <cell r="J14475">
            <v>45664</v>
          </cell>
          <cell r="K14475">
            <v>4</v>
          </cell>
        </row>
        <row r="14476">
          <cell r="C14476" t="str">
            <v>李育儒</v>
          </cell>
          <cell r="F14476" t="str">
            <v>G240901I1</v>
          </cell>
          <cell r="J14476">
            <v>45665</v>
          </cell>
          <cell r="K14476">
            <v>4</v>
          </cell>
        </row>
        <row r="14477">
          <cell r="C14477" t="str">
            <v>李育儒</v>
          </cell>
          <cell r="F14477" t="str">
            <v>G240901I1</v>
          </cell>
          <cell r="J14477">
            <v>45665</v>
          </cell>
          <cell r="K14477">
            <v>4</v>
          </cell>
        </row>
        <row r="14478">
          <cell r="C14478" t="str">
            <v>李育儒</v>
          </cell>
          <cell r="J14478">
            <v>45666</v>
          </cell>
          <cell r="K14478">
            <v>1</v>
          </cell>
        </row>
        <row r="14479">
          <cell r="C14479" t="str">
            <v>李育儒</v>
          </cell>
          <cell r="F14479" t="str">
            <v>G240901I1</v>
          </cell>
          <cell r="J14479">
            <v>45666</v>
          </cell>
          <cell r="K14479">
            <v>7</v>
          </cell>
        </row>
        <row r="14480">
          <cell r="C14480" t="str">
            <v>李育儒</v>
          </cell>
          <cell r="J14480">
            <v>45667</v>
          </cell>
          <cell r="K14480">
            <v>1</v>
          </cell>
        </row>
        <row r="14481">
          <cell r="C14481" t="str">
            <v>李育儒</v>
          </cell>
          <cell r="F14481" t="str">
            <v>G240901I1</v>
          </cell>
          <cell r="J14481">
            <v>45667</v>
          </cell>
          <cell r="K14481">
            <v>6</v>
          </cell>
        </row>
        <row r="14482">
          <cell r="C14482" t="str">
            <v>李育儒</v>
          </cell>
          <cell r="J14482">
            <v>45670</v>
          </cell>
          <cell r="K14482">
            <v>2</v>
          </cell>
        </row>
        <row r="14483">
          <cell r="C14483" t="str">
            <v>李育儒</v>
          </cell>
          <cell r="F14483" t="str">
            <v>G240901I1</v>
          </cell>
          <cell r="J14483">
            <v>45670</v>
          </cell>
          <cell r="K14483">
            <v>6</v>
          </cell>
        </row>
        <row r="14484">
          <cell r="C14484" t="str">
            <v>李育儒</v>
          </cell>
          <cell r="J14484">
            <v>45671</v>
          </cell>
          <cell r="K14484">
            <v>1</v>
          </cell>
        </row>
        <row r="14485">
          <cell r="C14485" t="str">
            <v>李育儒</v>
          </cell>
          <cell r="F14485" t="str">
            <v>G240901I1</v>
          </cell>
          <cell r="J14485">
            <v>45671</v>
          </cell>
          <cell r="K14485">
            <v>7</v>
          </cell>
        </row>
        <row r="14486">
          <cell r="C14486" t="str">
            <v>李育儒</v>
          </cell>
          <cell r="F14486" t="str">
            <v>G240901I1</v>
          </cell>
          <cell r="J14486">
            <v>45672</v>
          </cell>
          <cell r="K14486">
            <v>4</v>
          </cell>
        </row>
        <row r="14487">
          <cell r="C14487" t="str">
            <v>李育儒</v>
          </cell>
          <cell r="J14487">
            <v>45673</v>
          </cell>
          <cell r="K14487">
            <v>3</v>
          </cell>
        </row>
        <row r="14488">
          <cell r="C14488" t="str">
            <v>李育儒</v>
          </cell>
          <cell r="J14488">
            <v>45673</v>
          </cell>
          <cell r="K14488">
            <v>1</v>
          </cell>
        </row>
        <row r="14489">
          <cell r="C14489" t="str">
            <v>李育儒</v>
          </cell>
          <cell r="F14489" t="str">
            <v>G240901I1</v>
          </cell>
          <cell r="J14489">
            <v>45673</v>
          </cell>
          <cell r="K14489">
            <v>4</v>
          </cell>
        </row>
        <row r="14490">
          <cell r="C14490" t="str">
            <v>李育儒</v>
          </cell>
          <cell r="J14490">
            <v>45674</v>
          </cell>
          <cell r="K14490">
            <v>2</v>
          </cell>
        </row>
        <row r="14491">
          <cell r="C14491" t="str">
            <v>李育儒</v>
          </cell>
          <cell r="J14491">
            <v>45674</v>
          </cell>
          <cell r="K14491">
            <v>2</v>
          </cell>
        </row>
        <row r="14492">
          <cell r="C14492" t="str">
            <v>李育儒</v>
          </cell>
          <cell r="F14492" t="str">
            <v>G240901I1</v>
          </cell>
          <cell r="J14492">
            <v>45674</v>
          </cell>
          <cell r="K14492">
            <v>4</v>
          </cell>
        </row>
        <row r="14493">
          <cell r="C14493" t="str">
            <v>李育儒</v>
          </cell>
          <cell r="J14493">
            <v>45677</v>
          </cell>
          <cell r="K14493">
            <v>2</v>
          </cell>
        </row>
        <row r="14494">
          <cell r="C14494" t="str">
            <v>李育儒</v>
          </cell>
          <cell r="F14494" t="str">
            <v>G240901I1</v>
          </cell>
          <cell r="J14494">
            <v>45677</v>
          </cell>
          <cell r="K14494">
            <v>6</v>
          </cell>
        </row>
        <row r="14495">
          <cell r="C14495" t="str">
            <v>李育儒</v>
          </cell>
          <cell r="J14495">
            <v>45678</v>
          </cell>
          <cell r="K14495">
            <v>2</v>
          </cell>
        </row>
        <row r="14496">
          <cell r="C14496" t="str">
            <v>李育儒</v>
          </cell>
          <cell r="J14496">
            <v>45678</v>
          </cell>
          <cell r="K14496">
            <v>2</v>
          </cell>
        </row>
        <row r="14497">
          <cell r="C14497" t="str">
            <v>李育儒</v>
          </cell>
          <cell r="F14497" t="str">
            <v>G240901I1</v>
          </cell>
          <cell r="J14497">
            <v>45678</v>
          </cell>
          <cell r="K14497">
            <v>4</v>
          </cell>
        </row>
        <row r="14498">
          <cell r="C14498" t="str">
            <v>李育儒</v>
          </cell>
          <cell r="J14498">
            <v>45679</v>
          </cell>
          <cell r="K14498">
            <v>2</v>
          </cell>
        </row>
        <row r="14499">
          <cell r="C14499" t="str">
            <v>李育儒</v>
          </cell>
          <cell r="F14499" t="str">
            <v>G240901I1</v>
          </cell>
          <cell r="J14499">
            <v>45679</v>
          </cell>
          <cell r="K14499">
            <v>6</v>
          </cell>
        </row>
        <row r="14500">
          <cell r="C14500" t="str">
            <v>李育儒</v>
          </cell>
          <cell r="J14500">
            <v>45680</v>
          </cell>
          <cell r="K14500">
            <v>4</v>
          </cell>
        </row>
        <row r="14501">
          <cell r="C14501" t="str">
            <v>李育儒</v>
          </cell>
          <cell r="J14501">
            <v>45680</v>
          </cell>
          <cell r="K14501">
            <v>4</v>
          </cell>
        </row>
        <row r="14502">
          <cell r="C14502" t="str">
            <v>李育儒</v>
          </cell>
          <cell r="J14502">
            <v>45691</v>
          </cell>
          <cell r="K14502">
            <v>3</v>
          </cell>
        </row>
        <row r="14503">
          <cell r="C14503" t="str">
            <v>李育儒</v>
          </cell>
          <cell r="F14503" t="str">
            <v>G240901I1</v>
          </cell>
          <cell r="J14503">
            <v>45691</v>
          </cell>
          <cell r="K14503">
            <v>2</v>
          </cell>
        </row>
        <row r="14504">
          <cell r="C14504" t="str">
            <v>李育儒</v>
          </cell>
          <cell r="J14504">
            <v>45691</v>
          </cell>
          <cell r="K14504">
            <v>3</v>
          </cell>
        </row>
        <row r="14505">
          <cell r="C14505" t="str">
            <v>李育儒</v>
          </cell>
          <cell r="J14505">
            <v>45692</v>
          </cell>
          <cell r="K14505">
            <v>8</v>
          </cell>
        </row>
        <row r="14506">
          <cell r="C14506" t="str">
            <v>李育儒</v>
          </cell>
          <cell r="J14506">
            <v>45693</v>
          </cell>
          <cell r="K14506">
            <v>8</v>
          </cell>
        </row>
        <row r="14507">
          <cell r="C14507" t="str">
            <v>李育儒</v>
          </cell>
          <cell r="J14507">
            <v>45694</v>
          </cell>
          <cell r="K14507">
            <v>1</v>
          </cell>
        </row>
        <row r="14508">
          <cell r="C14508" t="str">
            <v>李育儒</v>
          </cell>
          <cell r="J14508">
            <v>45694</v>
          </cell>
          <cell r="K14508">
            <v>1</v>
          </cell>
        </row>
        <row r="14509">
          <cell r="C14509" t="str">
            <v>李育儒</v>
          </cell>
          <cell r="J14509">
            <v>45694</v>
          </cell>
          <cell r="K14509">
            <v>6</v>
          </cell>
        </row>
        <row r="14510">
          <cell r="C14510" t="str">
            <v>李育儒</v>
          </cell>
          <cell r="J14510">
            <v>45695</v>
          </cell>
          <cell r="K14510">
            <v>4</v>
          </cell>
        </row>
        <row r="14511">
          <cell r="C14511" t="str">
            <v>李育儒</v>
          </cell>
          <cell r="F14511" t="str">
            <v>G240901I1</v>
          </cell>
          <cell r="J14511">
            <v>45695</v>
          </cell>
          <cell r="K14511">
            <v>4</v>
          </cell>
        </row>
        <row r="14512">
          <cell r="C14512" t="str">
            <v>李育儒</v>
          </cell>
          <cell r="F14512" t="str">
            <v>G240901I1</v>
          </cell>
          <cell r="J14512">
            <v>45696</v>
          </cell>
          <cell r="K14512">
            <v>8</v>
          </cell>
        </row>
        <row r="14513">
          <cell r="C14513" t="str">
            <v>李育儒</v>
          </cell>
          <cell r="F14513" t="str">
            <v>G240901I1</v>
          </cell>
          <cell r="J14513">
            <v>45698</v>
          </cell>
          <cell r="K14513">
            <v>8</v>
          </cell>
        </row>
        <row r="14514">
          <cell r="C14514" t="str">
            <v>李育儒</v>
          </cell>
          <cell r="J14514">
            <v>45699</v>
          </cell>
          <cell r="K14514">
            <v>8</v>
          </cell>
        </row>
        <row r="14515">
          <cell r="C14515" t="str">
            <v>李育儒</v>
          </cell>
          <cell r="J14515">
            <v>45700</v>
          </cell>
          <cell r="K14515">
            <v>8</v>
          </cell>
        </row>
        <row r="14516">
          <cell r="C14516" t="str">
            <v>李育儒</v>
          </cell>
          <cell r="J14516">
            <v>45701</v>
          </cell>
          <cell r="K14516">
            <v>1</v>
          </cell>
        </row>
        <row r="14517">
          <cell r="C14517" t="str">
            <v>李育儒</v>
          </cell>
          <cell r="F14517" t="str">
            <v>G240901I1</v>
          </cell>
          <cell r="J14517">
            <v>45701</v>
          </cell>
          <cell r="K14517">
            <v>7</v>
          </cell>
        </row>
        <row r="14518">
          <cell r="C14518" t="str">
            <v>李育儒</v>
          </cell>
          <cell r="J14518">
            <v>45702</v>
          </cell>
          <cell r="K14518">
            <v>2</v>
          </cell>
        </row>
        <row r="14519">
          <cell r="C14519" t="str">
            <v>李育儒</v>
          </cell>
          <cell r="F14519" t="str">
            <v>G240901I1</v>
          </cell>
          <cell r="J14519">
            <v>45702</v>
          </cell>
          <cell r="K14519">
            <v>6</v>
          </cell>
        </row>
        <row r="14520">
          <cell r="C14520" t="str">
            <v>李育儒</v>
          </cell>
          <cell r="J14520">
            <v>45703</v>
          </cell>
          <cell r="K14520">
            <v>8</v>
          </cell>
        </row>
        <row r="14521">
          <cell r="C14521" t="str">
            <v>李育儒</v>
          </cell>
          <cell r="J14521">
            <v>45705</v>
          </cell>
          <cell r="K14521">
            <v>3</v>
          </cell>
        </row>
        <row r="14522">
          <cell r="C14522" t="str">
            <v>李育儒</v>
          </cell>
          <cell r="F14522" t="str">
            <v>G240901I1</v>
          </cell>
          <cell r="J14522">
            <v>45705</v>
          </cell>
          <cell r="K14522">
            <v>5</v>
          </cell>
        </row>
        <row r="14523">
          <cell r="C14523" t="str">
            <v>李育儒</v>
          </cell>
          <cell r="J14523">
            <v>45706</v>
          </cell>
          <cell r="K14523">
            <v>4</v>
          </cell>
        </row>
        <row r="14524">
          <cell r="C14524" t="str">
            <v>李育儒</v>
          </cell>
          <cell r="F14524" t="str">
            <v>G240901I1</v>
          </cell>
          <cell r="J14524">
            <v>45706</v>
          </cell>
          <cell r="K14524">
            <v>4</v>
          </cell>
        </row>
        <row r="14525">
          <cell r="C14525" t="str">
            <v>李育儒</v>
          </cell>
          <cell r="F14525" t="str">
            <v>G240901I1</v>
          </cell>
          <cell r="J14525">
            <v>45707</v>
          </cell>
          <cell r="K14525">
            <v>8</v>
          </cell>
        </row>
        <row r="14526">
          <cell r="C14526" t="str">
            <v>李育儒</v>
          </cell>
          <cell r="J14526">
            <v>45708</v>
          </cell>
          <cell r="K14526">
            <v>1</v>
          </cell>
        </row>
        <row r="14527">
          <cell r="C14527" t="str">
            <v>李育儒</v>
          </cell>
          <cell r="J14527">
            <v>45708</v>
          </cell>
          <cell r="K14527">
            <v>5</v>
          </cell>
        </row>
        <row r="14528">
          <cell r="C14528" t="str">
            <v>李育儒</v>
          </cell>
          <cell r="F14528" t="str">
            <v>G240901I1</v>
          </cell>
          <cell r="J14528">
            <v>45708</v>
          </cell>
          <cell r="K14528">
            <v>2</v>
          </cell>
        </row>
        <row r="14529">
          <cell r="C14529" t="str">
            <v>李育儒</v>
          </cell>
          <cell r="J14529">
            <v>45709</v>
          </cell>
          <cell r="K14529">
            <v>8</v>
          </cell>
        </row>
        <row r="14530">
          <cell r="C14530" t="str">
            <v>李育儒</v>
          </cell>
          <cell r="J14530">
            <v>45710</v>
          </cell>
          <cell r="K14530">
            <v>8</v>
          </cell>
        </row>
        <row r="14531">
          <cell r="C14531" t="str">
            <v>李育儒</v>
          </cell>
          <cell r="J14531">
            <v>45713</v>
          </cell>
          <cell r="K14531">
            <v>8</v>
          </cell>
        </row>
        <row r="14532">
          <cell r="C14532" t="str">
            <v>李育儒</v>
          </cell>
          <cell r="F14532" t="str">
            <v>G240901I1</v>
          </cell>
          <cell r="J14532">
            <v>45714</v>
          </cell>
          <cell r="K14532">
            <v>3</v>
          </cell>
        </row>
        <row r="14533">
          <cell r="C14533" t="str">
            <v>李育儒</v>
          </cell>
          <cell r="J14533">
            <v>45714</v>
          </cell>
          <cell r="K14533">
            <v>4</v>
          </cell>
        </row>
        <row r="14534">
          <cell r="C14534" t="str">
            <v>李育儒</v>
          </cell>
          <cell r="J14534">
            <v>45714</v>
          </cell>
          <cell r="K14534">
            <v>1</v>
          </cell>
        </row>
        <row r="14535">
          <cell r="C14535" t="str">
            <v>李育儒</v>
          </cell>
          <cell r="J14535">
            <v>45715</v>
          </cell>
          <cell r="K14535">
            <v>3</v>
          </cell>
        </row>
        <row r="14536">
          <cell r="C14536" t="str">
            <v>李育儒</v>
          </cell>
          <cell r="J14536">
            <v>45715</v>
          </cell>
          <cell r="K14536">
            <v>1</v>
          </cell>
        </row>
        <row r="14537">
          <cell r="C14537" t="str">
            <v>李育儒</v>
          </cell>
          <cell r="J14537">
            <v>45715</v>
          </cell>
          <cell r="K14537">
            <v>4</v>
          </cell>
        </row>
        <row r="14538">
          <cell r="C14538" t="str">
            <v>李育儒</v>
          </cell>
          <cell r="J14538">
            <v>45720</v>
          </cell>
          <cell r="K14538">
            <v>2</v>
          </cell>
        </row>
        <row r="14539">
          <cell r="C14539" t="str">
            <v>李育儒</v>
          </cell>
          <cell r="J14539">
            <v>45720</v>
          </cell>
          <cell r="K14539">
            <v>6</v>
          </cell>
        </row>
        <row r="14540">
          <cell r="C14540" t="str">
            <v>李育儒</v>
          </cell>
          <cell r="J14540">
            <v>45721</v>
          </cell>
          <cell r="K14540">
            <v>8</v>
          </cell>
        </row>
        <row r="14541">
          <cell r="C14541" t="str">
            <v>李育儒</v>
          </cell>
          <cell r="J14541">
            <v>45722</v>
          </cell>
          <cell r="K14541">
            <v>1</v>
          </cell>
        </row>
        <row r="14542">
          <cell r="C14542" t="str">
            <v>李育儒</v>
          </cell>
          <cell r="J14542">
            <v>45722</v>
          </cell>
          <cell r="K14542">
            <v>7</v>
          </cell>
        </row>
        <row r="14543">
          <cell r="C14543" t="str">
            <v>李育儒</v>
          </cell>
          <cell r="J14543">
            <v>45723</v>
          </cell>
          <cell r="K14543">
            <v>2</v>
          </cell>
        </row>
        <row r="14544">
          <cell r="C14544" t="str">
            <v>李育儒</v>
          </cell>
          <cell r="J14544">
            <v>45723</v>
          </cell>
          <cell r="K14544">
            <v>2</v>
          </cell>
        </row>
        <row r="14545">
          <cell r="C14545" t="str">
            <v>李育儒</v>
          </cell>
          <cell r="J14545">
            <v>45723</v>
          </cell>
          <cell r="K14545">
            <v>2</v>
          </cell>
        </row>
        <row r="14546">
          <cell r="C14546" t="str">
            <v>李育儒</v>
          </cell>
          <cell r="F14546" t="str">
            <v>G240901I1</v>
          </cell>
          <cell r="J14546">
            <v>45723</v>
          </cell>
          <cell r="K14546">
            <v>2</v>
          </cell>
        </row>
        <row r="14547">
          <cell r="C14547" t="str">
            <v>李育儒</v>
          </cell>
          <cell r="J14547">
            <v>45726</v>
          </cell>
          <cell r="K14547">
            <v>7</v>
          </cell>
        </row>
        <row r="14548">
          <cell r="C14548" t="str">
            <v>李育儒</v>
          </cell>
          <cell r="J14548">
            <v>45726</v>
          </cell>
          <cell r="K14548">
            <v>1</v>
          </cell>
        </row>
        <row r="14549">
          <cell r="C14549" t="str">
            <v>李育儒</v>
          </cell>
          <cell r="J14549">
            <v>45727</v>
          </cell>
          <cell r="K14549">
            <v>3</v>
          </cell>
        </row>
        <row r="14550">
          <cell r="C14550" t="str">
            <v>李育儒</v>
          </cell>
          <cell r="J14550">
            <v>45727</v>
          </cell>
          <cell r="K14550">
            <v>4</v>
          </cell>
        </row>
        <row r="14551">
          <cell r="C14551" t="str">
            <v>李育儒</v>
          </cell>
          <cell r="F14551" t="str">
            <v>G240901I1</v>
          </cell>
          <cell r="J14551">
            <v>45727</v>
          </cell>
          <cell r="K14551">
            <v>1</v>
          </cell>
        </row>
        <row r="14552">
          <cell r="C14552" t="str">
            <v>李育儒</v>
          </cell>
          <cell r="F14552" t="str">
            <v>G240901I1</v>
          </cell>
          <cell r="J14552">
            <v>45728</v>
          </cell>
          <cell r="K14552">
            <v>8</v>
          </cell>
        </row>
        <row r="14553">
          <cell r="C14553" t="str">
            <v>李育儒</v>
          </cell>
          <cell r="J14553">
            <v>45729</v>
          </cell>
          <cell r="K14553">
            <v>1</v>
          </cell>
        </row>
        <row r="14554">
          <cell r="C14554" t="str">
            <v>李育儒</v>
          </cell>
          <cell r="J14554">
            <v>45729</v>
          </cell>
          <cell r="K14554">
            <v>1</v>
          </cell>
        </row>
        <row r="14555">
          <cell r="C14555" t="str">
            <v>李育儒</v>
          </cell>
          <cell r="J14555">
            <v>45729</v>
          </cell>
          <cell r="K14555">
            <v>4</v>
          </cell>
        </row>
        <row r="14556">
          <cell r="C14556" t="str">
            <v>李育儒</v>
          </cell>
          <cell r="J14556">
            <v>45729</v>
          </cell>
          <cell r="K14556">
            <v>2</v>
          </cell>
        </row>
        <row r="14557">
          <cell r="C14557" t="str">
            <v>李育儒</v>
          </cell>
          <cell r="J14557">
            <v>45730</v>
          </cell>
          <cell r="K14557">
            <v>8</v>
          </cell>
        </row>
        <row r="14558">
          <cell r="C14558" t="str">
            <v>李育儒</v>
          </cell>
          <cell r="J14558">
            <v>45733</v>
          </cell>
          <cell r="K14558">
            <v>4</v>
          </cell>
        </row>
        <row r="14559">
          <cell r="C14559" t="str">
            <v>李育儒</v>
          </cell>
          <cell r="J14559">
            <v>45733</v>
          </cell>
          <cell r="K14559">
            <v>2</v>
          </cell>
        </row>
        <row r="14560">
          <cell r="C14560" t="str">
            <v>李育儒</v>
          </cell>
          <cell r="J14560">
            <v>45733</v>
          </cell>
          <cell r="K14560">
            <v>2</v>
          </cell>
        </row>
        <row r="14561">
          <cell r="C14561" t="str">
            <v>李育儒</v>
          </cell>
          <cell r="J14561">
            <v>45734</v>
          </cell>
          <cell r="K14561">
            <v>5</v>
          </cell>
        </row>
        <row r="14562">
          <cell r="C14562" t="str">
            <v>李育儒</v>
          </cell>
          <cell r="J14562">
            <v>45734</v>
          </cell>
          <cell r="K14562">
            <v>3</v>
          </cell>
        </row>
        <row r="14563">
          <cell r="C14563" t="str">
            <v>李育儒</v>
          </cell>
          <cell r="J14563">
            <v>45735</v>
          </cell>
          <cell r="K14563">
            <v>4</v>
          </cell>
        </row>
        <row r="14564">
          <cell r="C14564" t="str">
            <v>李育儒</v>
          </cell>
          <cell r="J14564">
            <v>45735</v>
          </cell>
          <cell r="K14564">
            <v>4</v>
          </cell>
        </row>
        <row r="14565">
          <cell r="C14565" t="str">
            <v>李育儒</v>
          </cell>
          <cell r="J14565">
            <v>45736</v>
          </cell>
          <cell r="K14565">
            <v>1</v>
          </cell>
        </row>
        <row r="14566">
          <cell r="C14566" t="str">
            <v>李育儒</v>
          </cell>
          <cell r="J14566">
            <v>45736</v>
          </cell>
          <cell r="K14566">
            <v>7</v>
          </cell>
        </row>
        <row r="14567">
          <cell r="C14567" t="str">
            <v>李育儒</v>
          </cell>
          <cell r="J14567">
            <v>45737</v>
          </cell>
          <cell r="K14567">
            <v>8</v>
          </cell>
        </row>
        <row r="14568">
          <cell r="C14568" t="str">
            <v>李育儒</v>
          </cell>
          <cell r="J14568">
            <v>45740</v>
          </cell>
          <cell r="K14568">
            <v>1</v>
          </cell>
        </row>
        <row r="14569">
          <cell r="C14569" t="str">
            <v>李育儒</v>
          </cell>
          <cell r="J14569">
            <v>45740</v>
          </cell>
          <cell r="K14569">
            <v>7</v>
          </cell>
        </row>
        <row r="14570">
          <cell r="C14570" t="str">
            <v>李育儒</v>
          </cell>
          <cell r="J14570">
            <v>45741</v>
          </cell>
          <cell r="K14570">
            <v>8</v>
          </cell>
        </row>
        <row r="14571">
          <cell r="C14571" t="str">
            <v>李育儒</v>
          </cell>
          <cell r="J14571">
            <v>45742</v>
          </cell>
          <cell r="K14571">
            <v>4</v>
          </cell>
        </row>
        <row r="14572">
          <cell r="C14572" t="str">
            <v>李育儒</v>
          </cell>
          <cell r="J14572">
            <v>45742</v>
          </cell>
          <cell r="K14572">
            <v>4</v>
          </cell>
        </row>
        <row r="14573">
          <cell r="C14573" t="str">
            <v>李育儒</v>
          </cell>
          <cell r="J14573">
            <v>45743</v>
          </cell>
          <cell r="K14573">
            <v>3</v>
          </cell>
        </row>
        <row r="14574">
          <cell r="C14574" t="str">
            <v>李育儒</v>
          </cell>
          <cell r="J14574">
            <v>45743</v>
          </cell>
          <cell r="K14574">
            <v>1</v>
          </cell>
        </row>
        <row r="14575">
          <cell r="C14575" t="str">
            <v>李育儒</v>
          </cell>
          <cell r="J14575">
            <v>45743</v>
          </cell>
          <cell r="K14575">
            <v>4</v>
          </cell>
        </row>
        <row r="14576">
          <cell r="C14576" t="str">
            <v>李育儒</v>
          </cell>
          <cell r="J14576">
            <v>45744</v>
          </cell>
          <cell r="K14576">
            <v>8</v>
          </cell>
        </row>
        <row r="14577">
          <cell r="C14577" t="str">
            <v>李育儒</v>
          </cell>
          <cell r="J14577">
            <v>45747</v>
          </cell>
          <cell r="K14577">
            <v>8</v>
          </cell>
        </row>
        <row r="14578">
          <cell r="C14578" t="str">
            <v>李育儒</v>
          </cell>
          <cell r="J14578">
            <v>45748</v>
          </cell>
          <cell r="K14578">
            <v>4</v>
          </cell>
        </row>
        <row r="14579">
          <cell r="C14579" t="str">
            <v>李育儒</v>
          </cell>
          <cell r="J14579">
            <v>45748</v>
          </cell>
          <cell r="K14579">
            <v>4</v>
          </cell>
        </row>
        <row r="14580">
          <cell r="C14580" t="str">
            <v>李育儒</v>
          </cell>
          <cell r="J14580">
            <v>45749</v>
          </cell>
          <cell r="K14580">
            <v>4</v>
          </cell>
        </row>
        <row r="14581">
          <cell r="C14581" t="str">
            <v>李育儒</v>
          </cell>
          <cell r="J14581">
            <v>45749</v>
          </cell>
          <cell r="K14581">
            <v>4</v>
          </cell>
        </row>
        <row r="14582">
          <cell r="C14582" t="str">
            <v>李育儒</v>
          </cell>
          <cell r="J14582">
            <v>45754</v>
          </cell>
          <cell r="K14582">
            <v>6</v>
          </cell>
        </row>
        <row r="14583">
          <cell r="C14583" t="str">
            <v>李育儒</v>
          </cell>
          <cell r="J14583">
            <v>45754</v>
          </cell>
          <cell r="K14583">
            <v>2</v>
          </cell>
        </row>
        <row r="14584">
          <cell r="C14584" t="str">
            <v>李育儒</v>
          </cell>
          <cell r="J14584">
            <v>45755</v>
          </cell>
          <cell r="K14584">
            <v>7</v>
          </cell>
        </row>
        <row r="14585">
          <cell r="C14585" t="str">
            <v>李育儒</v>
          </cell>
          <cell r="J14585">
            <v>45755</v>
          </cell>
          <cell r="K14585">
            <v>1</v>
          </cell>
        </row>
        <row r="14586">
          <cell r="C14586" t="str">
            <v>李育儒</v>
          </cell>
          <cell r="J14586">
            <v>45756</v>
          </cell>
          <cell r="K14586">
            <v>8</v>
          </cell>
        </row>
        <row r="14587">
          <cell r="C14587" t="str">
            <v>李育儒</v>
          </cell>
          <cell r="J14587">
            <v>45758</v>
          </cell>
          <cell r="K14587">
            <v>8</v>
          </cell>
        </row>
        <row r="14588">
          <cell r="C14588" t="str">
            <v>李育儒</v>
          </cell>
          <cell r="J14588">
            <v>45761</v>
          </cell>
          <cell r="K14588">
            <v>8</v>
          </cell>
        </row>
        <row r="14589">
          <cell r="C14589" t="str">
            <v>李育儒</v>
          </cell>
          <cell r="J14589">
            <v>45762</v>
          </cell>
          <cell r="K14589">
            <v>8</v>
          </cell>
        </row>
        <row r="14590">
          <cell r="C14590" t="str">
            <v>李育儒</v>
          </cell>
          <cell r="J14590">
            <v>45763</v>
          </cell>
          <cell r="K14590">
            <v>8</v>
          </cell>
        </row>
        <row r="14591">
          <cell r="C14591" t="str">
            <v>李育儒</v>
          </cell>
          <cell r="J14591">
            <v>45764</v>
          </cell>
          <cell r="K14591">
            <v>1</v>
          </cell>
        </row>
        <row r="14592">
          <cell r="C14592" t="str">
            <v>李育儒</v>
          </cell>
          <cell r="J14592">
            <v>45764</v>
          </cell>
          <cell r="K14592">
            <v>7</v>
          </cell>
        </row>
        <row r="14593">
          <cell r="C14593" t="str">
            <v>李育儒</v>
          </cell>
          <cell r="J14593">
            <v>45765</v>
          </cell>
          <cell r="K14593">
            <v>8</v>
          </cell>
        </row>
        <row r="14594">
          <cell r="C14594" t="str">
            <v>李育儒</v>
          </cell>
          <cell r="J14594">
            <v>45768</v>
          </cell>
          <cell r="K14594">
            <v>8</v>
          </cell>
        </row>
        <row r="14595">
          <cell r="C14595" t="str">
            <v>李育儒</v>
          </cell>
          <cell r="J14595">
            <v>45769</v>
          </cell>
          <cell r="K14595">
            <v>8</v>
          </cell>
        </row>
        <row r="14596">
          <cell r="C14596" t="str">
            <v>李育儒</v>
          </cell>
          <cell r="J14596">
            <v>45770</v>
          </cell>
          <cell r="K14596">
            <v>4</v>
          </cell>
        </row>
        <row r="14597">
          <cell r="C14597" t="str">
            <v>李育儒</v>
          </cell>
          <cell r="J14597">
            <v>45770</v>
          </cell>
          <cell r="K14597">
            <v>4</v>
          </cell>
        </row>
        <row r="14598">
          <cell r="C14598" t="str">
            <v>李育儒</v>
          </cell>
          <cell r="J14598">
            <v>45771</v>
          </cell>
          <cell r="K14598">
            <v>1</v>
          </cell>
        </row>
        <row r="14599">
          <cell r="C14599" t="str">
            <v>李育儒</v>
          </cell>
          <cell r="J14599">
            <v>45771</v>
          </cell>
          <cell r="K14599">
            <v>1</v>
          </cell>
        </row>
        <row r="14600">
          <cell r="C14600" t="str">
            <v>李育儒</v>
          </cell>
          <cell r="F14600" t="str">
            <v>E250102I1</v>
          </cell>
          <cell r="J14600">
            <v>45771</v>
          </cell>
          <cell r="K14600">
            <v>2</v>
          </cell>
        </row>
        <row r="14601">
          <cell r="C14601" t="str">
            <v>李育儒</v>
          </cell>
          <cell r="F14601" t="str">
            <v>E250301I1</v>
          </cell>
          <cell r="J14601">
            <v>45771</v>
          </cell>
          <cell r="K14601">
            <v>5</v>
          </cell>
        </row>
        <row r="14602">
          <cell r="C14602" t="str">
            <v>李育儒</v>
          </cell>
          <cell r="F14602" t="str">
            <v>E250102I1</v>
          </cell>
          <cell r="J14602">
            <v>45772</v>
          </cell>
          <cell r="K14602">
            <v>1</v>
          </cell>
        </row>
        <row r="14603">
          <cell r="C14603" t="str">
            <v>李育儒</v>
          </cell>
          <cell r="F14603" t="str">
            <v>E250301I1</v>
          </cell>
          <cell r="J14603">
            <v>45772</v>
          </cell>
          <cell r="K14603">
            <v>7</v>
          </cell>
        </row>
        <row r="14604">
          <cell r="C14604" t="str">
            <v>李育儒</v>
          </cell>
          <cell r="J14604">
            <v>45775</v>
          </cell>
          <cell r="K14604">
            <v>4</v>
          </cell>
        </row>
        <row r="14605">
          <cell r="C14605" t="str">
            <v>李育儒</v>
          </cell>
          <cell r="J14605">
            <v>45775</v>
          </cell>
          <cell r="K14605">
            <v>2</v>
          </cell>
        </row>
        <row r="14606">
          <cell r="C14606" t="str">
            <v>李育儒</v>
          </cell>
          <cell r="J14606">
            <v>45775</v>
          </cell>
          <cell r="K14606">
            <v>1</v>
          </cell>
        </row>
        <row r="14607">
          <cell r="C14607" t="str">
            <v>李育儒</v>
          </cell>
          <cell r="F14607" t="str">
            <v>E250301I1</v>
          </cell>
          <cell r="J14607">
            <v>45775</v>
          </cell>
          <cell r="K14607">
            <v>1</v>
          </cell>
        </row>
        <row r="14608">
          <cell r="C14608" t="str">
            <v>李育儒</v>
          </cell>
          <cell r="J14608">
            <v>45776</v>
          </cell>
          <cell r="K14608">
            <v>2</v>
          </cell>
        </row>
        <row r="14609">
          <cell r="C14609" t="str">
            <v>李育儒</v>
          </cell>
          <cell r="F14609" t="str">
            <v>E250102I1</v>
          </cell>
          <cell r="J14609">
            <v>45776</v>
          </cell>
          <cell r="K14609">
            <v>4</v>
          </cell>
        </row>
        <row r="14610">
          <cell r="C14610" t="str">
            <v>李育儒</v>
          </cell>
          <cell r="F14610" t="str">
            <v>E250301I1</v>
          </cell>
          <cell r="J14610">
            <v>45776</v>
          </cell>
          <cell r="K14610">
            <v>2</v>
          </cell>
        </row>
        <row r="14611">
          <cell r="C14611" t="str">
            <v>李育儒</v>
          </cell>
          <cell r="J14611">
            <v>45777</v>
          </cell>
          <cell r="K14611">
            <v>3</v>
          </cell>
        </row>
        <row r="14612">
          <cell r="C14612" t="str">
            <v>李育儒</v>
          </cell>
          <cell r="F14612" t="str">
            <v>E250102I1</v>
          </cell>
          <cell r="J14612">
            <v>45777</v>
          </cell>
          <cell r="K14612">
            <v>3</v>
          </cell>
        </row>
        <row r="14613">
          <cell r="C14613" t="str">
            <v>李育儒</v>
          </cell>
          <cell r="F14613" t="str">
            <v>E250301I1</v>
          </cell>
          <cell r="J14613">
            <v>45777</v>
          </cell>
          <cell r="K14613">
            <v>2</v>
          </cell>
        </row>
        <row r="14614">
          <cell r="C14614" t="str">
            <v>李育儒</v>
          </cell>
          <cell r="J14614">
            <v>45779</v>
          </cell>
          <cell r="K14614">
            <v>3</v>
          </cell>
        </row>
        <row r="14615">
          <cell r="C14615" t="str">
            <v>李育儒</v>
          </cell>
          <cell r="J14615">
            <v>45779</v>
          </cell>
          <cell r="K14615">
            <v>5</v>
          </cell>
        </row>
        <row r="14616">
          <cell r="C14616" t="str">
            <v>李育儒</v>
          </cell>
          <cell r="J14616">
            <v>45782</v>
          </cell>
          <cell r="K14616">
            <v>8</v>
          </cell>
        </row>
        <row r="14617">
          <cell r="C14617" t="str">
            <v>李育儒</v>
          </cell>
          <cell r="J14617">
            <v>45783</v>
          </cell>
          <cell r="K14617">
            <v>3</v>
          </cell>
        </row>
        <row r="14618">
          <cell r="C14618" t="str">
            <v>李育儒</v>
          </cell>
          <cell r="J14618">
            <v>45783</v>
          </cell>
          <cell r="K14618">
            <v>3</v>
          </cell>
        </row>
        <row r="14619">
          <cell r="C14619" t="str">
            <v>李育儒</v>
          </cell>
          <cell r="F14619" t="str">
            <v>E250102I1</v>
          </cell>
          <cell r="J14619">
            <v>45783</v>
          </cell>
          <cell r="K14619">
            <v>2</v>
          </cell>
        </row>
        <row r="14620">
          <cell r="C14620" t="str">
            <v>李育儒</v>
          </cell>
          <cell r="J14620">
            <v>45784</v>
          </cell>
          <cell r="K14620">
            <v>4</v>
          </cell>
        </row>
        <row r="14621">
          <cell r="C14621" t="str">
            <v>李育儒</v>
          </cell>
          <cell r="J14621">
            <v>45784</v>
          </cell>
          <cell r="K14621">
            <v>2</v>
          </cell>
        </row>
        <row r="14622">
          <cell r="C14622" t="str">
            <v>李育儒</v>
          </cell>
          <cell r="J14622">
            <v>45784</v>
          </cell>
          <cell r="K14622">
            <v>2</v>
          </cell>
        </row>
        <row r="14623">
          <cell r="C14623" t="str">
            <v>李育儒</v>
          </cell>
          <cell r="J14623">
            <v>45785</v>
          </cell>
          <cell r="K14623">
            <v>1</v>
          </cell>
        </row>
        <row r="14624">
          <cell r="C14624" t="str">
            <v>李育儒</v>
          </cell>
          <cell r="J14624">
            <v>45785</v>
          </cell>
          <cell r="K14624">
            <v>3</v>
          </cell>
        </row>
        <row r="14625">
          <cell r="C14625" t="str">
            <v>李育儒</v>
          </cell>
          <cell r="J14625">
            <v>45785</v>
          </cell>
          <cell r="K14625">
            <v>4</v>
          </cell>
        </row>
        <row r="14626">
          <cell r="C14626" t="str">
            <v>李育儒</v>
          </cell>
          <cell r="J14626">
            <v>45786</v>
          </cell>
          <cell r="K14626">
            <v>3</v>
          </cell>
        </row>
        <row r="14627">
          <cell r="C14627" t="str">
            <v>李育儒</v>
          </cell>
          <cell r="J14627">
            <v>45786</v>
          </cell>
          <cell r="K14627">
            <v>3</v>
          </cell>
        </row>
        <row r="14628">
          <cell r="C14628" t="str">
            <v>李育儒</v>
          </cell>
          <cell r="F14628" t="str">
            <v>E250102I1</v>
          </cell>
          <cell r="J14628">
            <v>45786</v>
          </cell>
          <cell r="K14628">
            <v>2</v>
          </cell>
        </row>
        <row r="14629">
          <cell r="C14629" t="str">
            <v>李育儒</v>
          </cell>
          <cell r="F14629" t="str">
            <v>E250201I1</v>
          </cell>
          <cell r="J14629">
            <v>45789</v>
          </cell>
          <cell r="K14629">
            <v>4</v>
          </cell>
        </row>
        <row r="14630">
          <cell r="C14630" t="str">
            <v>李育儒</v>
          </cell>
          <cell r="F14630" t="str">
            <v>E250102I1</v>
          </cell>
          <cell r="J14630">
            <v>45789</v>
          </cell>
          <cell r="K14630">
            <v>4</v>
          </cell>
        </row>
        <row r="14631">
          <cell r="C14631" t="str">
            <v>李育儒</v>
          </cell>
          <cell r="F14631" t="str">
            <v>E250201I1</v>
          </cell>
          <cell r="J14631">
            <v>45790</v>
          </cell>
          <cell r="K14631">
            <v>8</v>
          </cell>
        </row>
        <row r="14632">
          <cell r="C14632" t="str">
            <v>李育儒</v>
          </cell>
          <cell r="J14632">
            <v>45791</v>
          </cell>
          <cell r="K14632">
            <v>2</v>
          </cell>
        </row>
        <row r="14633">
          <cell r="C14633" t="str">
            <v>李育儒</v>
          </cell>
          <cell r="J14633">
            <v>45791</v>
          </cell>
          <cell r="K14633">
            <v>2</v>
          </cell>
        </row>
        <row r="14634">
          <cell r="C14634" t="str">
            <v>李育儒</v>
          </cell>
          <cell r="F14634" t="str">
            <v>E250301I1</v>
          </cell>
          <cell r="J14634">
            <v>45791</v>
          </cell>
          <cell r="K14634">
            <v>4</v>
          </cell>
        </row>
        <row r="14635">
          <cell r="C14635" t="str">
            <v>李育儒</v>
          </cell>
          <cell r="J14635">
            <v>45796</v>
          </cell>
          <cell r="K14635">
            <v>1</v>
          </cell>
        </row>
        <row r="14636">
          <cell r="C14636" t="str">
            <v>李育儒</v>
          </cell>
          <cell r="F14636" t="str">
            <v>E250201I1</v>
          </cell>
          <cell r="J14636">
            <v>45796</v>
          </cell>
          <cell r="K14636">
            <v>3</v>
          </cell>
        </row>
        <row r="14637">
          <cell r="C14637" t="str">
            <v>李育儒</v>
          </cell>
          <cell r="F14637" t="str">
            <v>E250301I1</v>
          </cell>
          <cell r="J14637">
            <v>45796</v>
          </cell>
          <cell r="K14637">
            <v>4</v>
          </cell>
        </row>
        <row r="14638">
          <cell r="C14638" t="str">
            <v>李育儒</v>
          </cell>
          <cell r="F14638" t="str">
            <v>E250201I1</v>
          </cell>
          <cell r="J14638">
            <v>45797</v>
          </cell>
          <cell r="K14638">
            <v>4</v>
          </cell>
        </row>
        <row r="14639">
          <cell r="C14639" t="str">
            <v>李育儒</v>
          </cell>
          <cell r="F14639" t="str">
            <v>E250301I1</v>
          </cell>
          <cell r="J14639">
            <v>45797</v>
          </cell>
          <cell r="K14639">
            <v>4</v>
          </cell>
        </row>
        <row r="14640">
          <cell r="C14640" t="str">
            <v>李育儒</v>
          </cell>
          <cell r="J14640">
            <v>45798</v>
          </cell>
          <cell r="K14640">
            <v>6</v>
          </cell>
        </row>
        <row r="14641">
          <cell r="C14641" t="str">
            <v>李育儒</v>
          </cell>
          <cell r="F14641" t="str">
            <v>E250201I1</v>
          </cell>
          <cell r="J14641">
            <v>45798</v>
          </cell>
          <cell r="K14641">
            <v>2</v>
          </cell>
        </row>
        <row r="14642">
          <cell r="C14642" t="str">
            <v>李育儒</v>
          </cell>
          <cell r="J14642">
            <v>45799</v>
          </cell>
          <cell r="K14642">
            <v>7</v>
          </cell>
        </row>
        <row r="14643">
          <cell r="C14643" t="str">
            <v>李育儒</v>
          </cell>
          <cell r="J14643">
            <v>45799</v>
          </cell>
          <cell r="K14643">
            <v>1</v>
          </cell>
        </row>
        <row r="14644">
          <cell r="C14644" t="str">
            <v>李育儒</v>
          </cell>
          <cell r="J14644">
            <v>45800</v>
          </cell>
          <cell r="K14644">
            <v>8</v>
          </cell>
        </row>
        <row r="14645">
          <cell r="C14645" t="str">
            <v>李育儒</v>
          </cell>
          <cell r="J14645">
            <v>45803</v>
          </cell>
          <cell r="K14645">
            <v>8</v>
          </cell>
        </row>
        <row r="14646">
          <cell r="C14646" t="str">
            <v>李育儒</v>
          </cell>
          <cell r="J14646">
            <v>45804</v>
          </cell>
          <cell r="K14646">
            <v>4</v>
          </cell>
        </row>
        <row r="14647">
          <cell r="C14647" t="str">
            <v>李育儒</v>
          </cell>
          <cell r="F14647" t="str">
            <v>E250101I1</v>
          </cell>
          <cell r="J14647">
            <v>45804</v>
          </cell>
          <cell r="K14647">
            <v>2</v>
          </cell>
        </row>
        <row r="14648">
          <cell r="C14648" t="str">
            <v>李育儒</v>
          </cell>
          <cell r="F14648" t="str">
            <v>E250301I1</v>
          </cell>
          <cell r="J14648">
            <v>45804</v>
          </cell>
          <cell r="K14648">
            <v>2</v>
          </cell>
        </row>
        <row r="14649">
          <cell r="C14649" t="str">
            <v>李育儒</v>
          </cell>
          <cell r="J14649">
            <v>45805</v>
          </cell>
          <cell r="K14649">
            <v>2</v>
          </cell>
        </row>
        <row r="14650">
          <cell r="C14650" t="str">
            <v>李育儒</v>
          </cell>
          <cell r="F14650" t="str">
            <v>E250301I1</v>
          </cell>
          <cell r="J14650">
            <v>45805</v>
          </cell>
          <cell r="K14650">
            <v>6</v>
          </cell>
        </row>
        <row r="14651">
          <cell r="C14651" t="str">
            <v>李育儒</v>
          </cell>
          <cell r="J14651">
            <v>45806</v>
          </cell>
          <cell r="K14651">
            <v>4</v>
          </cell>
        </row>
        <row r="14652">
          <cell r="C14652" t="str">
            <v>李育儒</v>
          </cell>
          <cell r="J14652">
            <v>45806</v>
          </cell>
          <cell r="K14652">
            <v>1</v>
          </cell>
        </row>
        <row r="14653">
          <cell r="C14653" t="str">
            <v>李育儒</v>
          </cell>
          <cell r="F14653" t="str">
            <v>E250301I1</v>
          </cell>
          <cell r="J14653">
            <v>45806</v>
          </cell>
          <cell r="K14653">
            <v>3</v>
          </cell>
        </row>
        <row r="14654">
          <cell r="C14654" t="str">
            <v>李育儒</v>
          </cell>
          <cell r="J14654">
            <v>45810</v>
          </cell>
          <cell r="K14654">
            <v>2</v>
          </cell>
        </row>
        <row r="14655">
          <cell r="C14655" t="str">
            <v>李育儒</v>
          </cell>
          <cell r="F14655" t="str">
            <v>E250301I1</v>
          </cell>
          <cell r="J14655">
            <v>45810</v>
          </cell>
          <cell r="K14655">
            <v>6</v>
          </cell>
        </row>
        <row r="14656">
          <cell r="C14656" t="str">
            <v>李育儒</v>
          </cell>
          <cell r="J14656">
            <v>45811</v>
          </cell>
          <cell r="K14656">
            <v>4</v>
          </cell>
        </row>
        <row r="14657">
          <cell r="C14657" t="str">
            <v>李育儒</v>
          </cell>
          <cell r="F14657" t="str">
            <v>E250301I1</v>
          </cell>
          <cell r="J14657">
            <v>45811</v>
          </cell>
          <cell r="K14657">
            <v>4</v>
          </cell>
        </row>
        <row r="14658">
          <cell r="C14658" t="str">
            <v>李育儒</v>
          </cell>
          <cell r="F14658" t="str">
            <v>E250301I1</v>
          </cell>
          <cell r="J14658">
            <v>45812</v>
          </cell>
          <cell r="K14658">
            <v>8</v>
          </cell>
        </row>
        <row r="14659">
          <cell r="C14659" t="str">
            <v>李育儒</v>
          </cell>
          <cell r="J14659">
            <v>45813</v>
          </cell>
          <cell r="K14659">
            <v>1</v>
          </cell>
        </row>
        <row r="14660">
          <cell r="C14660" t="str">
            <v>李育儒</v>
          </cell>
          <cell r="J14660">
            <v>45813</v>
          </cell>
          <cell r="K14660">
            <v>3</v>
          </cell>
        </row>
        <row r="14661">
          <cell r="C14661" t="str">
            <v>李育儒</v>
          </cell>
          <cell r="F14661" t="str">
            <v>E250301I1</v>
          </cell>
          <cell r="J14661">
            <v>45813</v>
          </cell>
          <cell r="K14661">
            <v>4</v>
          </cell>
        </row>
        <row r="14662">
          <cell r="C14662" t="str">
            <v>李育儒</v>
          </cell>
          <cell r="J14662">
            <v>45814</v>
          </cell>
          <cell r="K14662">
            <v>4</v>
          </cell>
        </row>
        <row r="14663">
          <cell r="C14663" t="str">
            <v>李育儒</v>
          </cell>
          <cell r="F14663" t="str">
            <v>E250301I1</v>
          </cell>
          <cell r="J14663">
            <v>45814</v>
          </cell>
          <cell r="K14663">
            <v>4</v>
          </cell>
        </row>
        <row r="14664">
          <cell r="C14664" t="str">
            <v>李育儒</v>
          </cell>
          <cell r="J14664">
            <v>45817</v>
          </cell>
          <cell r="K14664">
            <v>1</v>
          </cell>
        </row>
        <row r="14665">
          <cell r="C14665" t="str">
            <v>李育儒</v>
          </cell>
          <cell r="F14665" t="str">
            <v>E250301I1</v>
          </cell>
          <cell r="J14665">
            <v>45817</v>
          </cell>
          <cell r="K14665">
            <v>7</v>
          </cell>
        </row>
        <row r="14666">
          <cell r="C14666" t="str">
            <v>李育儒</v>
          </cell>
          <cell r="J14666">
            <v>45818</v>
          </cell>
          <cell r="K14666">
            <v>2</v>
          </cell>
        </row>
        <row r="14667">
          <cell r="C14667" t="str">
            <v>李育儒</v>
          </cell>
          <cell r="F14667" t="str">
            <v>E250301I1</v>
          </cell>
          <cell r="J14667">
            <v>45818</v>
          </cell>
          <cell r="K14667">
            <v>6</v>
          </cell>
        </row>
        <row r="14668">
          <cell r="C14668" t="str">
            <v>李育儒</v>
          </cell>
          <cell r="F14668" t="str">
            <v>E250301I1</v>
          </cell>
          <cell r="J14668">
            <v>45819</v>
          </cell>
          <cell r="K14668">
            <v>8</v>
          </cell>
        </row>
        <row r="14669">
          <cell r="C14669" t="str">
            <v>李育儒</v>
          </cell>
          <cell r="J14669">
            <v>45820</v>
          </cell>
          <cell r="K14669">
            <v>1</v>
          </cell>
        </row>
        <row r="14670">
          <cell r="C14670" t="str">
            <v>李育儒</v>
          </cell>
          <cell r="F14670" t="str">
            <v>E250301I1</v>
          </cell>
          <cell r="J14670">
            <v>45820</v>
          </cell>
          <cell r="K14670">
            <v>7</v>
          </cell>
        </row>
        <row r="14671">
          <cell r="C14671" t="str">
            <v>李育儒</v>
          </cell>
          <cell r="F14671" t="str">
            <v>E250301I1</v>
          </cell>
          <cell r="J14671">
            <v>45821</v>
          </cell>
          <cell r="K14671">
            <v>8</v>
          </cell>
        </row>
        <row r="14672">
          <cell r="C14672" t="str">
            <v>李育儒</v>
          </cell>
          <cell r="F14672" t="str">
            <v>E250301I1</v>
          </cell>
          <cell r="J14672">
            <v>45824</v>
          </cell>
          <cell r="K14672">
            <v>8</v>
          </cell>
        </row>
        <row r="14673">
          <cell r="C14673" t="str">
            <v>李育儒</v>
          </cell>
          <cell r="F14673" t="str">
            <v>E250301I1</v>
          </cell>
          <cell r="J14673">
            <v>45825</v>
          </cell>
          <cell r="K14673">
            <v>8</v>
          </cell>
        </row>
        <row r="14674">
          <cell r="C14674" t="str">
            <v>李育儒</v>
          </cell>
          <cell r="F14674" t="str">
            <v>E250301I1</v>
          </cell>
          <cell r="J14674">
            <v>45826</v>
          </cell>
          <cell r="K14674">
            <v>8</v>
          </cell>
        </row>
        <row r="14675">
          <cell r="C14675" t="str">
            <v>李育儒</v>
          </cell>
          <cell r="J14675">
            <v>45827</v>
          </cell>
          <cell r="K14675">
            <v>1</v>
          </cell>
        </row>
        <row r="14676">
          <cell r="C14676" t="str">
            <v>李育儒</v>
          </cell>
          <cell r="F14676" t="str">
            <v>E250301I1</v>
          </cell>
          <cell r="J14676">
            <v>45827</v>
          </cell>
          <cell r="K14676">
            <v>7</v>
          </cell>
        </row>
        <row r="14677">
          <cell r="C14677" t="str">
            <v>李育儒</v>
          </cell>
          <cell r="F14677" t="str">
            <v>E250301I1</v>
          </cell>
          <cell r="J14677">
            <v>45831</v>
          </cell>
          <cell r="K14677">
            <v>8</v>
          </cell>
        </row>
        <row r="14678">
          <cell r="C14678" t="str">
            <v>李育儒</v>
          </cell>
          <cell r="J14678">
            <v>45832</v>
          </cell>
          <cell r="K14678">
            <v>4</v>
          </cell>
        </row>
        <row r="14679">
          <cell r="C14679" t="str">
            <v>李育儒</v>
          </cell>
          <cell r="F14679" t="str">
            <v>E250301I1</v>
          </cell>
          <cell r="J14679">
            <v>45832</v>
          </cell>
          <cell r="K14679">
            <v>4</v>
          </cell>
        </row>
        <row r="14680">
          <cell r="C14680" t="str">
            <v>李育儒</v>
          </cell>
          <cell r="J14680">
            <v>45833</v>
          </cell>
          <cell r="K14680">
            <v>8</v>
          </cell>
        </row>
        <row r="14681">
          <cell r="C14681" t="str">
            <v>李育儒</v>
          </cell>
          <cell r="J14681">
            <v>45834</v>
          </cell>
          <cell r="K14681">
            <v>1</v>
          </cell>
        </row>
        <row r="14682">
          <cell r="C14682" t="str">
            <v>李育儒</v>
          </cell>
          <cell r="J14682">
            <v>45834</v>
          </cell>
          <cell r="K14682">
            <v>2</v>
          </cell>
        </row>
        <row r="14683">
          <cell r="C14683" t="str">
            <v>李育儒</v>
          </cell>
          <cell r="J14683">
            <v>45834</v>
          </cell>
          <cell r="K14683">
            <v>2</v>
          </cell>
        </row>
        <row r="14684">
          <cell r="C14684" t="str">
            <v>李育儒</v>
          </cell>
          <cell r="F14684" t="str">
            <v>E250301I1</v>
          </cell>
          <cell r="J14684">
            <v>45834</v>
          </cell>
          <cell r="K14684">
            <v>3</v>
          </cell>
        </row>
        <row r="14685">
          <cell r="C14685" t="str">
            <v>李育儒</v>
          </cell>
          <cell r="J14685">
            <v>45835</v>
          </cell>
          <cell r="K14685">
            <v>8</v>
          </cell>
        </row>
        <row r="14686">
          <cell r="C14686" t="str">
            <v>李育儒</v>
          </cell>
          <cell r="J14686">
            <v>45838</v>
          </cell>
          <cell r="K14686">
            <v>8</v>
          </cell>
        </row>
        <row r="14687">
          <cell r="C14687" t="str">
            <v>李育儒</v>
          </cell>
          <cell r="J14687">
            <v>45839</v>
          </cell>
          <cell r="K14687">
            <v>6</v>
          </cell>
        </row>
        <row r="14688">
          <cell r="C14688" t="str">
            <v>李育儒</v>
          </cell>
          <cell r="F14688" t="str">
            <v>E250301I1</v>
          </cell>
          <cell r="J14688">
            <v>45839</v>
          </cell>
          <cell r="K14688">
            <v>2</v>
          </cell>
        </row>
        <row r="14689">
          <cell r="C14689" t="str">
            <v>李育儒</v>
          </cell>
          <cell r="J14689">
            <v>45840</v>
          </cell>
          <cell r="K14689">
            <v>2</v>
          </cell>
        </row>
        <row r="14690">
          <cell r="C14690" t="str">
            <v>李育儒</v>
          </cell>
          <cell r="F14690" t="str">
            <v>E250301I1</v>
          </cell>
          <cell r="J14690">
            <v>45840</v>
          </cell>
          <cell r="K14690">
            <v>6</v>
          </cell>
        </row>
        <row r="14691">
          <cell r="C14691" t="str">
            <v>李育儒</v>
          </cell>
          <cell r="J14691">
            <v>45841</v>
          </cell>
          <cell r="K14691">
            <v>3</v>
          </cell>
        </row>
        <row r="14692">
          <cell r="C14692" t="str">
            <v>李育儒</v>
          </cell>
          <cell r="J14692">
            <v>45841</v>
          </cell>
          <cell r="K14692">
            <v>1</v>
          </cell>
        </row>
        <row r="14693">
          <cell r="C14693" t="str">
            <v>李育儒</v>
          </cell>
          <cell r="J14693">
            <v>45841</v>
          </cell>
          <cell r="K14693">
            <v>4</v>
          </cell>
        </row>
        <row r="14694">
          <cell r="C14694" t="str">
            <v>李育儒</v>
          </cell>
          <cell r="J14694">
            <v>45842</v>
          </cell>
          <cell r="K14694">
            <v>6</v>
          </cell>
        </row>
        <row r="14695">
          <cell r="C14695" t="str">
            <v>李育儒</v>
          </cell>
          <cell r="J14695">
            <v>45842</v>
          </cell>
          <cell r="K14695">
            <v>2</v>
          </cell>
        </row>
        <row r="14696">
          <cell r="C14696" t="str">
            <v>李育儒</v>
          </cell>
          <cell r="J14696">
            <v>45845</v>
          </cell>
          <cell r="K14696">
            <v>6</v>
          </cell>
        </row>
        <row r="14697">
          <cell r="C14697" t="str">
            <v>李育儒</v>
          </cell>
          <cell r="F14697" t="str">
            <v>E250101I1</v>
          </cell>
          <cell r="J14697">
            <v>45845</v>
          </cell>
          <cell r="K14697">
            <v>2</v>
          </cell>
        </row>
        <row r="14698">
          <cell r="C14698" t="str">
            <v>李育儒</v>
          </cell>
          <cell r="J14698">
            <v>45846</v>
          </cell>
          <cell r="K14698">
            <v>8</v>
          </cell>
        </row>
        <row r="14699">
          <cell r="C14699" t="str">
            <v>李育儒</v>
          </cell>
          <cell r="J14699">
            <v>45847</v>
          </cell>
          <cell r="K14699">
            <v>1</v>
          </cell>
        </row>
        <row r="14700">
          <cell r="C14700" t="str">
            <v>李育儒</v>
          </cell>
          <cell r="J14700">
            <v>45847</v>
          </cell>
          <cell r="K14700">
            <v>7</v>
          </cell>
        </row>
        <row r="14701">
          <cell r="C14701" t="str">
            <v>李育儒</v>
          </cell>
          <cell r="J14701">
            <v>45853</v>
          </cell>
          <cell r="K14701">
            <v>4</v>
          </cell>
        </row>
        <row r="14702">
          <cell r="C14702" t="str">
            <v>李育儒</v>
          </cell>
          <cell r="F14702" t="str">
            <v>E250301I1</v>
          </cell>
          <cell r="J14702">
            <v>45853</v>
          </cell>
          <cell r="K14702">
            <v>4</v>
          </cell>
        </row>
        <row r="14703">
          <cell r="C14703" t="str">
            <v>李育儒</v>
          </cell>
          <cell r="F14703" t="str">
            <v>E250101I1</v>
          </cell>
          <cell r="J14703">
            <v>45854</v>
          </cell>
          <cell r="K14703">
            <v>4</v>
          </cell>
        </row>
        <row r="14704">
          <cell r="C14704" t="str">
            <v>李育儒</v>
          </cell>
          <cell r="F14704" t="str">
            <v>E250301I1</v>
          </cell>
          <cell r="J14704">
            <v>45854</v>
          </cell>
          <cell r="K14704">
            <v>4</v>
          </cell>
        </row>
        <row r="14705">
          <cell r="C14705" t="str">
            <v>李育儒</v>
          </cell>
          <cell r="J14705">
            <v>45855</v>
          </cell>
          <cell r="K14705">
            <v>1</v>
          </cell>
        </row>
        <row r="14706">
          <cell r="C14706" t="str">
            <v>李育儒</v>
          </cell>
          <cell r="F14706" t="str">
            <v>E250101I1</v>
          </cell>
          <cell r="J14706">
            <v>45855</v>
          </cell>
          <cell r="K14706">
            <v>7</v>
          </cell>
        </row>
        <row r="14707">
          <cell r="C14707" t="str">
            <v>李育儒</v>
          </cell>
          <cell r="F14707" t="str">
            <v>E250101I1</v>
          </cell>
          <cell r="J14707">
            <v>45856</v>
          </cell>
          <cell r="K14707">
            <v>8</v>
          </cell>
        </row>
        <row r="14708">
          <cell r="C14708" t="str">
            <v>李育儒</v>
          </cell>
          <cell r="J14708">
            <v>45859</v>
          </cell>
          <cell r="K14708">
            <v>4</v>
          </cell>
        </row>
        <row r="14709">
          <cell r="C14709" t="str">
            <v>李育儒</v>
          </cell>
          <cell r="F14709" t="str">
            <v>E250101I1</v>
          </cell>
          <cell r="J14709">
            <v>45859</v>
          </cell>
          <cell r="K14709">
            <v>4</v>
          </cell>
        </row>
        <row r="14710">
          <cell r="C14710" t="str">
            <v>李育儒</v>
          </cell>
          <cell r="J14710">
            <v>45860</v>
          </cell>
          <cell r="K14710">
            <v>1</v>
          </cell>
        </row>
        <row r="14711">
          <cell r="C14711" t="str">
            <v>李育儒</v>
          </cell>
          <cell r="F14711" t="str">
            <v>E250301I1</v>
          </cell>
          <cell r="J14711">
            <v>45860</v>
          </cell>
          <cell r="K14711">
            <v>2</v>
          </cell>
        </row>
        <row r="14712">
          <cell r="C14712" t="str">
            <v>李育儒</v>
          </cell>
          <cell r="F14712" t="str">
            <v>E250101I1</v>
          </cell>
          <cell r="J14712">
            <v>45860</v>
          </cell>
          <cell r="K14712">
            <v>1</v>
          </cell>
        </row>
        <row r="14713">
          <cell r="C14713" t="str">
            <v>李育儒</v>
          </cell>
          <cell r="J14713">
            <v>45861</v>
          </cell>
          <cell r="K14713">
            <v>8</v>
          </cell>
        </row>
        <row r="14714">
          <cell r="C14714" t="str">
            <v>李育儒</v>
          </cell>
          <cell r="J14714">
            <v>45862</v>
          </cell>
          <cell r="K14714">
            <v>1</v>
          </cell>
        </row>
        <row r="14715">
          <cell r="C14715" t="str">
            <v>李育儒</v>
          </cell>
          <cell r="J14715">
            <v>45862</v>
          </cell>
          <cell r="K14715">
            <v>7</v>
          </cell>
        </row>
        <row r="14716">
          <cell r="C14716" t="str">
            <v>李育儒</v>
          </cell>
          <cell r="J14716">
            <v>45863</v>
          </cell>
          <cell r="K14716">
            <v>4</v>
          </cell>
        </row>
        <row r="14717">
          <cell r="C14717" t="str">
            <v>李育儒</v>
          </cell>
          <cell r="J14717">
            <v>45866</v>
          </cell>
          <cell r="K14717">
            <v>7</v>
          </cell>
        </row>
        <row r="14718">
          <cell r="C14718" t="str">
            <v>李育儒</v>
          </cell>
          <cell r="J14718">
            <v>45866</v>
          </cell>
          <cell r="K14718">
            <v>1</v>
          </cell>
        </row>
        <row r="14719">
          <cell r="C14719" t="str">
            <v>李育儒</v>
          </cell>
          <cell r="J14719">
            <v>45867</v>
          </cell>
          <cell r="K14719">
            <v>8</v>
          </cell>
        </row>
        <row r="14720">
          <cell r="C14720" t="str">
            <v>李育儒</v>
          </cell>
          <cell r="J14720">
            <v>45868</v>
          </cell>
          <cell r="K14720">
            <v>4</v>
          </cell>
        </row>
        <row r="14721">
          <cell r="C14721" t="str">
            <v>李育儒</v>
          </cell>
          <cell r="J14721">
            <v>45868</v>
          </cell>
          <cell r="K14721">
            <v>3</v>
          </cell>
        </row>
        <row r="14722">
          <cell r="C14722" t="str">
            <v>李育儒</v>
          </cell>
          <cell r="J14722">
            <v>45868</v>
          </cell>
          <cell r="K14722">
            <v>1</v>
          </cell>
        </row>
        <row r="14723">
          <cell r="C14723" t="str">
            <v>李育儒</v>
          </cell>
          <cell r="J14723">
            <v>45869</v>
          </cell>
          <cell r="K14723">
            <v>6</v>
          </cell>
        </row>
        <row r="14724">
          <cell r="C14724" t="str">
            <v>李育儒</v>
          </cell>
          <cell r="J14724">
            <v>45869</v>
          </cell>
          <cell r="K14724">
            <v>1</v>
          </cell>
        </row>
        <row r="14725">
          <cell r="C14725" t="str">
            <v>李育儒</v>
          </cell>
          <cell r="J14725">
            <v>45869</v>
          </cell>
          <cell r="K14725">
            <v>1</v>
          </cell>
        </row>
        <row r="14726">
          <cell r="C14726" t="str">
            <v>李育儒</v>
          </cell>
          <cell r="J14726">
            <v>45870</v>
          </cell>
          <cell r="K14726">
            <v>8</v>
          </cell>
        </row>
        <row r="14727">
          <cell r="C14727" t="str">
            <v>李育儒</v>
          </cell>
          <cell r="J14727">
            <v>45873</v>
          </cell>
          <cell r="K14727">
            <v>8</v>
          </cell>
        </row>
        <row r="14728">
          <cell r="C14728" t="str">
            <v>李育儒</v>
          </cell>
          <cell r="J14728">
            <v>45873</v>
          </cell>
          <cell r="K14728">
            <v>1</v>
          </cell>
        </row>
        <row r="14729">
          <cell r="C14729" t="str">
            <v>李育儒</v>
          </cell>
          <cell r="J14729">
            <v>45874</v>
          </cell>
          <cell r="K14729">
            <v>3</v>
          </cell>
        </row>
        <row r="14730">
          <cell r="C14730" t="str">
            <v>李育儒</v>
          </cell>
          <cell r="J14730">
            <v>45874</v>
          </cell>
          <cell r="K14730">
            <v>3</v>
          </cell>
        </row>
        <row r="14731">
          <cell r="C14731" t="str">
            <v>李育儒</v>
          </cell>
          <cell r="J14731">
            <v>45874</v>
          </cell>
          <cell r="K14731">
            <v>1</v>
          </cell>
        </row>
        <row r="14732">
          <cell r="C14732" t="str">
            <v>李育儒</v>
          </cell>
          <cell r="J14732">
            <v>45874</v>
          </cell>
          <cell r="K14732">
            <v>1</v>
          </cell>
        </row>
        <row r="14733">
          <cell r="C14733" t="str">
            <v>李育儒</v>
          </cell>
          <cell r="F14733" t="str">
            <v>E250201I1</v>
          </cell>
          <cell r="J14733">
            <v>45875</v>
          </cell>
          <cell r="K14733">
            <v>8</v>
          </cell>
        </row>
        <row r="14734">
          <cell r="C14734" t="str">
            <v>李育儒</v>
          </cell>
          <cell r="J14734">
            <v>45876</v>
          </cell>
          <cell r="K14734">
            <v>7</v>
          </cell>
        </row>
        <row r="14735">
          <cell r="C14735" t="str">
            <v>李育儒</v>
          </cell>
          <cell r="J14735">
            <v>45876</v>
          </cell>
          <cell r="K14735">
            <v>1</v>
          </cell>
        </row>
        <row r="14736">
          <cell r="C14736" t="str">
            <v>李育儒</v>
          </cell>
          <cell r="J14736">
            <v>45880</v>
          </cell>
          <cell r="K14736">
            <v>1</v>
          </cell>
        </row>
        <row r="14737">
          <cell r="C14737" t="str">
            <v>李育儒</v>
          </cell>
          <cell r="F14737" t="str">
            <v>E250201I1</v>
          </cell>
          <cell r="J14737">
            <v>45880</v>
          </cell>
          <cell r="K14737">
            <v>3</v>
          </cell>
        </row>
        <row r="14738">
          <cell r="C14738" t="str">
            <v>李育儒</v>
          </cell>
          <cell r="F14738" t="str">
            <v>E250101I1</v>
          </cell>
          <cell r="J14738">
            <v>45880</v>
          </cell>
          <cell r="K14738">
            <v>4</v>
          </cell>
        </row>
        <row r="14739">
          <cell r="C14739" t="str">
            <v>李育儒</v>
          </cell>
          <cell r="J14739">
            <v>45881</v>
          </cell>
          <cell r="K14739">
            <v>4</v>
          </cell>
        </row>
        <row r="14740">
          <cell r="C14740" t="str">
            <v>李育儒</v>
          </cell>
          <cell r="J14740">
            <v>45881</v>
          </cell>
          <cell r="K14740">
            <v>4</v>
          </cell>
        </row>
        <row r="14741">
          <cell r="C14741" t="str">
            <v>李育儒</v>
          </cell>
          <cell r="J14741">
            <v>45882</v>
          </cell>
          <cell r="K14741">
            <v>2</v>
          </cell>
        </row>
        <row r="14742">
          <cell r="C14742" t="str">
            <v>李育儒</v>
          </cell>
          <cell r="J14742">
            <v>45882</v>
          </cell>
          <cell r="K14742">
            <v>2</v>
          </cell>
        </row>
        <row r="14743">
          <cell r="C14743" t="str">
            <v>李育儒</v>
          </cell>
          <cell r="F14743" t="str">
            <v>E250201I1</v>
          </cell>
          <cell r="J14743">
            <v>45882</v>
          </cell>
          <cell r="K14743">
            <v>4</v>
          </cell>
        </row>
        <row r="14744">
          <cell r="C14744" t="str">
            <v>李育儒</v>
          </cell>
          <cell r="J14744">
            <v>45883</v>
          </cell>
          <cell r="K14744">
            <v>4</v>
          </cell>
        </row>
        <row r="14745">
          <cell r="C14745" t="str">
            <v>李育儒</v>
          </cell>
          <cell r="J14745">
            <v>45883</v>
          </cell>
          <cell r="K14745">
            <v>1</v>
          </cell>
        </row>
        <row r="14746">
          <cell r="C14746" t="str">
            <v>李育儒</v>
          </cell>
          <cell r="F14746" t="str">
            <v>E250201I1</v>
          </cell>
          <cell r="J14746">
            <v>45883</v>
          </cell>
          <cell r="K14746">
            <v>3</v>
          </cell>
        </row>
        <row r="14747">
          <cell r="C14747" t="str">
            <v>李育儒</v>
          </cell>
          <cell r="J14747">
            <v>45884</v>
          </cell>
          <cell r="K14747">
            <v>8</v>
          </cell>
        </row>
        <row r="14748">
          <cell r="C14748" t="str">
            <v>李育儒</v>
          </cell>
          <cell r="J14748">
            <v>45887</v>
          </cell>
          <cell r="K14748">
            <v>2</v>
          </cell>
        </row>
        <row r="14749">
          <cell r="C14749" t="str">
            <v>李育儒</v>
          </cell>
          <cell r="F14749" t="str">
            <v>E250201I1</v>
          </cell>
          <cell r="J14749">
            <v>45887</v>
          </cell>
          <cell r="K14749">
            <v>6</v>
          </cell>
        </row>
        <row r="14750">
          <cell r="C14750" t="str">
            <v>李育儒</v>
          </cell>
          <cell r="F14750" t="str">
            <v>E250201I1</v>
          </cell>
          <cell r="J14750">
            <v>45888</v>
          </cell>
          <cell r="K14750">
            <v>8</v>
          </cell>
        </row>
        <row r="14751">
          <cell r="C14751" t="str">
            <v>李育儒</v>
          </cell>
          <cell r="J14751">
            <v>45890</v>
          </cell>
          <cell r="K14751">
            <v>3</v>
          </cell>
        </row>
        <row r="14752">
          <cell r="C14752" t="str">
            <v>李育儒</v>
          </cell>
          <cell r="J14752">
            <v>45890</v>
          </cell>
          <cell r="K14752">
            <v>1</v>
          </cell>
        </row>
        <row r="14753">
          <cell r="C14753" t="str">
            <v>李育儒</v>
          </cell>
          <cell r="F14753" t="str">
            <v>E250201I1</v>
          </cell>
          <cell r="J14753">
            <v>45890</v>
          </cell>
          <cell r="K14753">
            <v>4</v>
          </cell>
        </row>
        <row r="14754">
          <cell r="C14754" t="str">
            <v>李育儒</v>
          </cell>
          <cell r="J14754">
            <v>45891</v>
          </cell>
          <cell r="K14754">
            <v>1</v>
          </cell>
        </row>
        <row r="14755">
          <cell r="C14755" t="str">
            <v>李育儒</v>
          </cell>
          <cell r="J14755">
            <v>45891</v>
          </cell>
          <cell r="K14755">
            <v>4</v>
          </cell>
        </row>
        <row r="14756">
          <cell r="C14756" t="str">
            <v>李育儒</v>
          </cell>
          <cell r="J14756">
            <v>45891</v>
          </cell>
          <cell r="K14756">
            <v>1</v>
          </cell>
        </row>
        <row r="14757">
          <cell r="C14757" t="str">
            <v>李育儒</v>
          </cell>
          <cell r="F14757" t="str">
            <v>E250201I1</v>
          </cell>
          <cell r="J14757">
            <v>45891</v>
          </cell>
          <cell r="K14757">
            <v>2</v>
          </cell>
        </row>
        <row r="14758">
          <cell r="C14758" t="str">
            <v>李育儒</v>
          </cell>
          <cell r="J14758">
            <v>45894</v>
          </cell>
          <cell r="K14758">
            <v>2</v>
          </cell>
        </row>
        <row r="14759">
          <cell r="C14759" t="str">
            <v>李育儒</v>
          </cell>
          <cell r="F14759" t="str">
            <v>E250201I1</v>
          </cell>
          <cell r="J14759">
            <v>45894</v>
          </cell>
          <cell r="K14759">
            <v>6</v>
          </cell>
        </row>
        <row r="14760">
          <cell r="C14760" t="str">
            <v>李育儒</v>
          </cell>
          <cell r="J14760">
            <v>45895</v>
          </cell>
          <cell r="K14760">
            <v>8</v>
          </cell>
        </row>
        <row r="14761">
          <cell r="C14761" t="str">
            <v>李育儒</v>
          </cell>
          <cell r="J14761">
            <v>45896</v>
          </cell>
          <cell r="K14761">
            <v>6</v>
          </cell>
        </row>
        <row r="14762">
          <cell r="C14762" t="str">
            <v>李育儒</v>
          </cell>
          <cell r="F14762" t="str">
            <v>E250201I1</v>
          </cell>
          <cell r="J14762">
            <v>45896</v>
          </cell>
          <cell r="K14762">
            <v>2</v>
          </cell>
        </row>
        <row r="14763">
          <cell r="C14763" t="str">
            <v>李育儒</v>
          </cell>
          <cell r="J14763">
            <v>45897</v>
          </cell>
          <cell r="K14763">
            <v>1</v>
          </cell>
        </row>
        <row r="14764">
          <cell r="C14764" t="str">
            <v>李育儒</v>
          </cell>
          <cell r="J14764">
            <v>45897</v>
          </cell>
          <cell r="K14764">
            <v>1</v>
          </cell>
        </row>
        <row r="14765">
          <cell r="C14765" t="str">
            <v>李育儒</v>
          </cell>
          <cell r="J14765">
            <v>45897</v>
          </cell>
          <cell r="K14765">
            <v>6</v>
          </cell>
        </row>
        <row r="14766">
          <cell r="C14766" t="str">
            <v>李育儒</v>
          </cell>
          <cell r="J14766">
            <v>45898</v>
          </cell>
          <cell r="K14766">
            <v>3</v>
          </cell>
        </row>
        <row r="14767">
          <cell r="C14767" t="str">
            <v>李育儒</v>
          </cell>
          <cell r="J14767">
            <v>45898</v>
          </cell>
          <cell r="K14767">
            <v>2</v>
          </cell>
        </row>
        <row r="14768">
          <cell r="C14768" t="str">
            <v>李育儒</v>
          </cell>
          <cell r="J14768">
            <v>45898</v>
          </cell>
          <cell r="K14768">
            <v>3</v>
          </cell>
        </row>
        <row r="14769">
          <cell r="C14769" t="str">
            <v>李育儒</v>
          </cell>
          <cell r="J14769">
            <v>45901</v>
          </cell>
          <cell r="K14769">
            <v>7</v>
          </cell>
        </row>
        <row r="14770">
          <cell r="C14770" t="str">
            <v>李育儒</v>
          </cell>
          <cell r="J14770">
            <v>45901</v>
          </cell>
          <cell r="K14770">
            <v>1</v>
          </cell>
        </row>
        <row r="14771">
          <cell r="C14771" t="str">
            <v>李育儒</v>
          </cell>
          <cell r="F14771" t="str">
            <v>E250201I1</v>
          </cell>
          <cell r="J14771">
            <v>45902</v>
          </cell>
          <cell r="K14771">
            <v>8</v>
          </cell>
        </row>
        <row r="14772">
          <cell r="C14772" t="str">
            <v>李育儒</v>
          </cell>
          <cell r="J14772">
            <v>45903</v>
          </cell>
          <cell r="K14772">
            <v>3</v>
          </cell>
        </row>
        <row r="14773">
          <cell r="C14773" t="str">
            <v>李育儒</v>
          </cell>
          <cell r="F14773" t="str">
            <v>E250201I1</v>
          </cell>
          <cell r="J14773">
            <v>45903</v>
          </cell>
          <cell r="K14773">
            <v>6</v>
          </cell>
        </row>
        <row r="14774">
          <cell r="C14774" t="str">
            <v>李育儒</v>
          </cell>
          <cell r="J14774">
            <v>45904</v>
          </cell>
          <cell r="K14774">
            <v>2</v>
          </cell>
        </row>
        <row r="14775">
          <cell r="C14775" t="str">
            <v>李育儒</v>
          </cell>
          <cell r="J14775">
            <v>45904</v>
          </cell>
          <cell r="K14775">
            <v>1</v>
          </cell>
        </row>
        <row r="14776">
          <cell r="C14776" t="str">
            <v>李育儒</v>
          </cell>
          <cell r="J14776">
            <v>45904</v>
          </cell>
          <cell r="K14776">
            <v>1</v>
          </cell>
        </row>
        <row r="14777">
          <cell r="C14777" t="str">
            <v>李育儒</v>
          </cell>
          <cell r="J14777">
            <v>45904</v>
          </cell>
          <cell r="K14777">
            <v>1</v>
          </cell>
        </row>
        <row r="14778">
          <cell r="C14778" t="str">
            <v>李育儒</v>
          </cell>
          <cell r="F14778" t="str">
            <v>E250201I1</v>
          </cell>
          <cell r="J14778">
            <v>45904</v>
          </cell>
          <cell r="K14778">
            <v>3</v>
          </cell>
        </row>
        <row r="14779">
          <cell r="C14779" t="str">
            <v>李育儒</v>
          </cell>
          <cell r="J14779">
            <v>45908</v>
          </cell>
          <cell r="K14779">
            <v>1</v>
          </cell>
        </row>
        <row r="14780">
          <cell r="C14780" t="str">
            <v>李育儒</v>
          </cell>
          <cell r="J14780">
            <v>45908</v>
          </cell>
          <cell r="K14780">
            <v>1</v>
          </cell>
        </row>
        <row r="14781">
          <cell r="C14781" t="str">
            <v>李育儒</v>
          </cell>
          <cell r="J14781">
            <v>45908</v>
          </cell>
          <cell r="K14781">
            <v>3</v>
          </cell>
        </row>
        <row r="14782">
          <cell r="C14782" t="str">
            <v>李育儒</v>
          </cell>
          <cell r="F14782" t="str">
            <v>E250201I1</v>
          </cell>
          <cell r="J14782">
            <v>45908</v>
          </cell>
          <cell r="K14782">
            <v>3</v>
          </cell>
        </row>
        <row r="14783">
          <cell r="C14783" t="str">
            <v>李育儒</v>
          </cell>
          <cell r="J14783">
            <v>45909</v>
          </cell>
          <cell r="K14783">
            <v>4</v>
          </cell>
        </row>
        <row r="14784">
          <cell r="C14784" t="str">
            <v>李育儒</v>
          </cell>
          <cell r="F14784" t="str">
            <v>E250201I1</v>
          </cell>
          <cell r="J14784">
            <v>45909</v>
          </cell>
          <cell r="K14784">
            <v>4</v>
          </cell>
        </row>
        <row r="14785">
          <cell r="C14785" t="str">
            <v>李育儒</v>
          </cell>
          <cell r="J14785">
            <v>45910</v>
          </cell>
          <cell r="K14785">
            <v>2</v>
          </cell>
        </row>
        <row r="14786">
          <cell r="C14786" t="str">
            <v>李育儒</v>
          </cell>
          <cell r="F14786" t="str">
            <v>E250201I1</v>
          </cell>
          <cell r="J14786">
            <v>45910</v>
          </cell>
          <cell r="K14786">
            <v>6</v>
          </cell>
        </row>
        <row r="14787">
          <cell r="C14787" t="str">
            <v>李育儒</v>
          </cell>
          <cell r="J14787">
            <v>45911</v>
          </cell>
          <cell r="K14787">
            <v>1</v>
          </cell>
        </row>
        <row r="14788">
          <cell r="C14788" t="str">
            <v>李育儒</v>
          </cell>
          <cell r="J14788">
            <v>45911</v>
          </cell>
          <cell r="K14788">
            <v>1</v>
          </cell>
        </row>
        <row r="14789">
          <cell r="C14789" t="str">
            <v>李育儒</v>
          </cell>
          <cell r="J14789">
            <v>45911</v>
          </cell>
          <cell r="K14789">
            <v>1</v>
          </cell>
        </row>
        <row r="14790">
          <cell r="C14790" t="str">
            <v>李育儒</v>
          </cell>
          <cell r="F14790" t="str">
            <v>E250201I1</v>
          </cell>
          <cell r="J14790">
            <v>45911</v>
          </cell>
          <cell r="K14790">
            <v>5</v>
          </cell>
        </row>
        <row r="14791">
          <cell r="C14791" t="str">
            <v>李育儒</v>
          </cell>
          <cell r="F14791" t="str">
            <v>E250201I1</v>
          </cell>
          <cell r="J14791">
            <v>45912</v>
          </cell>
          <cell r="K14791">
            <v>8</v>
          </cell>
        </row>
        <row r="14792">
          <cell r="C14792" t="str">
            <v>李育儒</v>
          </cell>
          <cell r="F14792" t="str">
            <v>E250201I1</v>
          </cell>
          <cell r="J14792">
            <v>45915</v>
          </cell>
          <cell r="K14792">
            <v>6</v>
          </cell>
        </row>
        <row r="14793">
          <cell r="C14793" t="str">
            <v>李育儒</v>
          </cell>
          <cell r="F14793" t="str">
            <v>E250102I1</v>
          </cell>
          <cell r="J14793">
            <v>45915</v>
          </cell>
          <cell r="K14793">
            <v>2</v>
          </cell>
        </row>
        <row r="14794">
          <cell r="C14794" t="str">
            <v>李育儒</v>
          </cell>
          <cell r="F14794" t="str">
            <v>E250201I1</v>
          </cell>
          <cell r="J14794">
            <v>45916</v>
          </cell>
          <cell r="K14794">
            <v>4</v>
          </cell>
        </row>
        <row r="14795">
          <cell r="C14795" t="str">
            <v>李育儒</v>
          </cell>
          <cell r="F14795" t="str">
            <v>E250102I1</v>
          </cell>
          <cell r="J14795">
            <v>45916</v>
          </cell>
          <cell r="K14795">
            <v>4</v>
          </cell>
        </row>
        <row r="14796">
          <cell r="C14796" t="str">
            <v>李育儒</v>
          </cell>
          <cell r="F14796" t="str">
            <v>E250201I1</v>
          </cell>
          <cell r="J14796">
            <v>45917</v>
          </cell>
          <cell r="K14796">
            <v>8</v>
          </cell>
        </row>
        <row r="14797">
          <cell r="C14797" t="str">
            <v>李育儒</v>
          </cell>
          <cell r="J14797">
            <v>45918</v>
          </cell>
          <cell r="K14797">
            <v>1</v>
          </cell>
        </row>
        <row r="14798">
          <cell r="C14798" t="str">
            <v>李育儒</v>
          </cell>
          <cell r="J14798">
            <v>45918</v>
          </cell>
          <cell r="K14798">
            <v>4</v>
          </cell>
        </row>
        <row r="14799">
          <cell r="C14799" t="str">
            <v>李育儒</v>
          </cell>
          <cell r="F14799" t="str">
            <v>E250201I1</v>
          </cell>
          <cell r="J14799">
            <v>45918</v>
          </cell>
          <cell r="K14799">
            <v>3</v>
          </cell>
        </row>
        <row r="14800">
          <cell r="C14800" t="str">
            <v>李育儒</v>
          </cell>
          <cell r="J14800">
            <v>45919</v>
          </cell>
          <cell r="K14800">
            <v>5</v>
          </cell>
        </row>
        <row r="14801">
          <cell r="C14801" t="str">
            <v>李育儒</v>
          </cell>
          <cell r="J14801">
            <v>45919</v>
          </cell>
          <cell r="K14801">
            <v>3</v>
          </cell>
        </row>
        <row r="14802">
          <cell r="C14802" t="str">
            <v>李育儒</v>
          </cell>
          <cell r="J14802">
            <v>45922</v>
          </cell>
          <cell r="K14802">
            <v>5</v>
          </cell>
        </row>
        <row r="14803">
          <cell r="C14803" t="str">
            <v>李育儒</v>
          </cell>
          <cell r="J14803">
            <v>45922</v>
          </cell>
          <cell r="K14803">
            <v>2</v>
          </cell>
        </row>
        <row r="14804">
          <cell r="C14804" t="str">
            <v>李育儒</v>
          </cell>
          <cell r="F14804" t="str">
            <v>E250201I1</v>
          </cell>
          <cell r="J14804">
            <v>45922</v>
          </cell>
          <cell r="K14804">
            <v>1</v>
          </cell>
        </row>
        <row r="14805">
          <cell r="C14805" t="str">
            <v>李育儒</v>
          </cell>
          <cell r="F14805" t="str">
            <v>E250201I1</v>
          </cell>
          <cell r="J14805">
            <v>45923</v>
          </cell>
          <cell r="K14805">
            <v>8</v>
          </cell>
        </row>
        <row r="14806">
          <cell r="C14806" t="str">
            <v>李育儒</v>
          </cell>
          <cell r="J14806">
            <v>45924</v>
          </cell>
          <cell r="K14806">
            <v>4</v>
          </cell>
        </row>
        <row r="14807">
          <cell r="C14807" t="str">
            <v>李育儒</v>
          </cell>
          <cell r="F14807" t="str">
            <v>E250201I1</v>
          </cell>
          <cell r="J14807">
            <v>45924</v>
          </cell>
          <cell r="K14807">
            <v>4</v>
          </cell>
        </row>
        <row r="14808">
          <cell r="C14808" t="str">
            <v>李育儒</v>
          </cell>
          <cell r="J14808">
            <v>45925</v>
          </cell>
          <cell r="K14808">
            <v>1</v>
          </cell>
        </row>
        <row r="14809">
          <cell r="C14809" t="str">
            <v>李育儒</v>
          </cell>
          <cell r="F14809" t="str">
            <v>E250102I1</v>
          </cell>
          <cell r="J14809">
            <v>45925</v>
          </cell>
          <cell r="K14809">
            <v>7</v>
          </cell>
        </row>
        <row r="14810">
          <cell r="C14810" t="str">
            <v>李育儒</v>
          </cell>
          <cell r="F14810" t="str">
            <v>E250102I1</v>
          </cell>
          <cell r="J14810">
            <v>45926</v>
          </cell>
          <cell r="K14810">
            <v>8</v>
          </cell>
        </row>
        <row r="14811">
          <cell r="C14811" t="str">
            <v>李育儒</v>
          </cell>
          <cell r="F14811" t="str">
            <v>E250102I1</v>
          </cell>
          <cell r="J14811">
            <v>45930</v>
          </cell>
          <cell r="K14811">
            <v>4</v>
          </cell>
        </row>
        <row r="14812">
          <cell r="C14812" t="str">
            <v>李育儒</v>
          </cell>
          <cell r="F14812" t="str">
            <v>E250102I1</v>
          </cell>
          <cell r="J14812">
            <v>45931</v>
          </cell>
          <cell r="K14812">
            <v>8</v>
          </cell>
        </row>
        <row r="14813">
          <cell r="C14813" t="str">
            <v>李育儒</v>
          </cell>
          <cell r="J14813">
            <v>45932</v>
          </cell>
          <cell r="K14813">
            <v>1</v>
          </cell>
        </row>
        <row r="14814">
          <cell r="C14814" t="str">
            <v>李育儒</v>
          </cell>
          <cell r="F14814" t="str">
            <v>E250102I1</v>
          </cell>
          <cell r="J14814">
            <v>45932</v>
          </cell>
          <cell r="K14814">
            <v>7</v>
          </cell>
        </row>
        <row r="14815">
          <cell r="C14815" t="str">
            <v>李育儒</v>
          </cell>
          <cell r="J14815">
            <v>45933</v>
          </cell>
          <cell r="K14815">
            <v>6</v>
          </cell>
        </row>
        <row r="14816">
          <cell r="C14816" t="str">
            <v>李育儒</v>
          </cell>
          <cell r="F14816" t="str">
            <v>E250201I1</v>
          </cell>
          <cell r="J14816">
            <v>45933</v>
          </cell>
          <cell r="K14816">
            <v>2</v>
          </cell>
        </row>
        <row r="14817">
          <cell r="C14817" t="str">
            <v>李育儒</v>
          </cell>
          <cell r="J14817">
            <v>45937</v>
          </cell>
          <cell r="K14817">
            <v>4</v>
          </cell>
        </row>
        <row r="14818">
          <cell r="C14818" t="str">
            <v>李育儒</v>
          </cell>
          <cell r="F14818" t="str">
            <v>E250201I1</v>
          </cell>
          <cell r="J14818">
            <v>45937</v>
          </cell>
          <cell r="K14818">
            <v>4</v>
          </cell>
        </row>
        <row r="14819">
          <cell r="C14819" t="str">
            <v>李育儒</v>
          </cell>
          <cell r="J14819">
            <v>45938</v>
          </cell>
          <cell r="K14819">
            <v>2</v>
          </cell>
        </row>
        <row r="14820">
          <cell r="C14820" t="str">
            <v>李育儒</v>
          </cell>
          <cell r="J14820">
            <v>45938</v>
          </cell>
          <cell r="K14820">
            <v>6</v>
          </cell>
        </row>
        <row r="14821">
          <cell r="C14821" t="str">
            <v>李育儒</v>
          </cell>
          <cell r="J14821">
            <v>45939</v>
          </cell>
          <cell r="K14821">
            <v>5</v>
          </cell>
        </row>
        <row r="14822">
          <cell r="C14822" t="str">
            <v>李育儒</v>
          </cell>
          <cell r="J14822">
            <v>45939</v>
          </cell>
          <cell r="K14822">
            <v>3</v>
          </cell>
        </row>
        <row r="14823">
          <cell r="C14823" t="str">
            <v>李育儒</v>
          </cell>
          <cell r="J14823">
            <v>45943</v>
          </cell>
          <cell r="K14823">
            <v>6</v>
          </cell>
        </row>
        <row r="14824">
          <cell r="C14824" t="str">
            <v>李育儒</v>
          </cell>
          <cell r="F14824" t="str">
            <v>E250102I1</v>
          </cell>
          <cell r="J14824">
            <v>45943</v>
          </cell>
          <cell r="K14824">
            <v>2</v>
          </cell>
        </row>
        <row r="14825">
          <cell r="C14825" t="str">
            <v>李育儒</v>
          </cell>
          <cell r="J14825">
            <v>45944</v>
          </cell>
          <cell r="K14825">
            <v>2</v>
          </cell>
        </row>
        <row r="14826">
          <cell r="C14826" t="str">
            <v>李育儒</v>
          </cell>
          <cell r="J14826">
            <v>45944</v>
          </cell>
          <cell r="K14826">
            <v>4</v>
          </cell>
        </row>
        <row r="14827">
          <cell r="C14827" t="str">
            <v>李育儒</v>
          </cell>
          <cell r="F14827" t="str">
            <v>E250102I1</v>
          </cell>
          <cell r="J14827">
            <v>45944</v>
          </cell>
          <cell r="K14827">
            <v>2</v>
          </cell>
        </row>
        <row r="14828">
          <cell r="C14828" t="str">
            <v>李育儒</v>
          </cell>
          <cell r="J14828">
            <v>45945</v>
          </cell>
          <cell r="K14828">
            <v>2</v>
          </cell>
        </row>
        <row r="14829">
          <cell r="C14829" t="str">
            <v>李育儒</v>
          </cell>
          <cell r="F14829" t="str">
            <v>E250102I1</v>
          </cell>
          <cell r="J14829">
            <v>45945</v>
          </cell>
          <cell r="K14829">
            <v>6</v>
          </cell>
        </row>
        <row r="14830">
          <cell r="C14830" t="str">
            <v>李育儒</v>
          </cell>
          <cell r="J14830">
            <v>45946</v>
          </cell>
          <cell r="K14830">
            <v>1</v>
          </cell>
        </row>
        <row r="14831">
          <cell r="C14831" t="str">
            <v>李育儒</v>
          </cell>
          <cell r="F14831" t="str">
            <v>E250102I1</v>
          </cell>
          <cell r="J14831">
            <v>45946</v>
          </cell>
          <cell r="K14831">
            <v>7</v>
          </cell>
        </row>
        <row r="14832">
          <cell r="C14832" t="str">
            <v>李育儒</v>
          </cell>
          <cell r="J14832">
            <v>45947</v>
          </cell>
          <cell r="K14832">
            <v>8</v>
          </cell>
        </row>
        <row r="14833">
          <cell r="C14833" t="str">
            <v>李育儒</v>
          </cell>
          <cell r="J14833">
            <v>45950</v>
          </cell>
          <cell r="K14833">
            <v>2</v>
          </cell>
        </row>
        <row r="14834">
          <cell r="C14834" t="str">
            <v>李育儒</v>
          </cell>
          <cell r="F14834" t="str">
            <v>E250102I1</v>
          </cell>
          <cell r="J14834">
            <v>45950</v>
          </cell>
          <cell r="K14834">
            <v>6</v>
          </cell>
        </row>
        <row r="14835">
          <cell r="C14835" t="str">
            <v>李育儒</v>
          </cell>
          <cell r="F14835" t="str">
            <v>E251001I1</v>
          </cell>
          <cell r="J14835">
            <v>45951</v>
          </cell>
          <cell r="K14835">
            <v>2</v>
          </cell>
        </row>
        <row r="14836">
          <cell r="C14836" t="str">
            <v>李育儒</v>
          </cell>
          <cell r="F14836" t="str">
            <v>E250102I1</v>
          </cell>
          <cell r="J14836">
            <v>45951</v>
          </cell>
          <cell r="K14836">
            <v>6</v>
          </cell>
        </row>
        <row r="14837">
          <cell r="C14837" t="str">
            <v>李育儒</v>
          </cell>
          <cell r="J14837">
            <v>45952</v>
          </cell>
          <cell r="K14837">
            <v>4</v>
          </cell>
        </row>
        <row r="14838">
          <cell r="C14838" t="str">
            <v>李育儒</v>
          </cell>
          <cell r="F14838" t="str">
            <v>E250102I1</v>
          </cell>
          <cell r="J14838">
            <v>45952</v>
          </cell>
          <cell r="K14838">
            <v>4</v>
          </cell>
        </row>
        <row r="14839">
          <cell r="C14839" t="str">
            <v>李育儒</v>
          </cell>
          <cell r="J14839">
            <v>45953</v>
          </cell>
          <cell r="K14839">
            <v>1</v>
          </cell>
        </row>
        <row r="14840">
          <cell r="C14840" t="str">
            <v>李育儒</v>
          </cell>
          <cell r="J14840">
            <v>45953</v>
          </cell>
          <cell r="K14840">
            <v>3</v>
          </cell>
        </row>
        <row r="14841">
          <cell r="C14841" t="str">
            <v>李育儒</v>
          </cell>
          <cell r="J14841">
            <v>45953</v>
          </cell>
          <cell r="K14841">
            <v>4</v>
          </cell>
        </row>
        <row r="14842">
          <cell r="C14842" t="str">
            <v>李育儒</v>
          </cell>
          <cell r="J14842">
            <v>45957</v>
          </cell>
          <cell r="K14842">
            <v>2</v>
          </cell>
        </row>
        <row r="14843">
          <cell r="C14843" t="str">
            <v>李育儒</v>
          </cell>
          <cell r="J14843">
            <v>45957</v>
          </cell>
          <cell r="K14843">
            <v>6</v>
          </cell>
        </row>
        <row r="14844">
          <cell r="C14844" t="str">
            <v>李育儒</v>
          </cell>
          <cell r="J14844">
            <v>45958</v>
          </cell>
          <cell r="K14844">
            <v>8</v>
          </cell>
        </row>
        <row r="14845">
          <cell r="C14845" t="str">
            <v>李育儒</v>
          </cell>
          <cell r="J14845">
            <v>45959</v>
          </cell>
          <cell r="K14845">
            <v>4</v>
          </cell>
        </row>
        <row r="14846">
          <cell r="C14846" t="str">
            <v>李育儒</v>
          </cell>
          <cell r="J14846">
            <v>45959</v>
          </cell>
          <cell r="K14846">
            <v>4</v>
          </cell>
        </row>
        <row r="14847">
          <cell r="C14847" t="str">
            <v>李育儒</v>
          </cell>
          <cell r="J14847">
            <v>45960</v>
          </cell>
          <cell r="K14847">
            <v>1</v>
          </cell>
        </row>
        <row r="14848">
          <cell r="C14848" t="str">
            <v>李育儒</v>
          </cell>
          <cell r="J14848">
            <v>45960</v>
          </cell>
          <cell r="K14848">
            <v>7</v>
          </cell>
        </row>
        <row r="14849">
          <cell r="C14849" t="str">
            <v>李育儒</v>
          </cell>
          <cell r="J14849">
            <v>45961</v>
          </cell>
          <cell r="K14849">
            <v>8</v>
          </cell>
        </row>
        <row r="14850">
          <cell r="C14850" t="str">
            <v>李育儒</v>
          </cell>
          <cell r="J14850">
            <v>45964</v>
          </cell>
          <cell r="K14850">
            <v>6</v>
          </cell>
        </row>
        <row r="14851">
          <cell r="C14851" t="str">
            <v>李育儒</v>
          </cell>
          <cell r="F14851" t="str">
            <v>E251001I1</v>
          </cell>
          <cell r="J14851">
            <v>45964</v>
          </cell>
          <cell r="K14851">
            <v>2</v>
          </cell>
        </row>
        <row r="14852">
          <cell r="C14852" t="str">
            <v>李育儒</v>
          </cell>
          <cell r="F14852" t="str">
            <v>E251001I1</v>
          </cell>
          <cell r="J14852">
            <v>45965</v>
          </cell>
          <cell r="K14852">
            <v>1</v>
          </cell>
        </row>
        <row r="14853">
          <cell r="C14853" t="str">
            <v>李育儒</v>
          </cell>
          <cell r="F14853" t="str">
            <v>E251002I1</v>
          </cell>
          <cell r="J14853">
            <v>45965</v>
          </cell>
          <cell r="K14853">
            <v>7</v>
          </cell>
        </row>
        <row r="14854">
          <cell r="C14854" t="str">
            <v>李育儒</v>
          </cell>
          <cell r="F14854" t="str">
            <v>E251002I1</v>
          </cell>
          <cell r="J14854">
            <v>45966</v>
          </cell>
          <cell r="K14854">
            <v>6</v>
          </cell>
        </row>
        <row r="14855">
          <cell r="C14855" t="str">
            <v>李育儒</v>
          </cell>
          <cell r="F14855" t="str">
            <v>E251001I1</v>
          </cell>
          <cell r="J14855">
            <v>45966</v>
          </cell>
          <cell r="K14855">
            <v>2</v>
          </cell>
        </row>
        <row r="14856">
          <cell r="C14856" t="str">
            <v>李育儒</v>
          </cell>
          <cell r="J14856">
            <v>45967</v>
          </cell>
          <cell r="K14856">
            <v>1</v>
          </cell>
        </row>
        <row r="14857">
          <cell r="C14857" t="str">
            <v>李育儒</v>
          </cell>
          <cell r="F14857" t="str">
            <v>E251002I1</v>
          </cell>
          <cell r="J14857">
            <v>45967</v>
          </cell>
          <cell r="K14857">
            <v>2</v>
          </cell>
        </row>
        <row r="14858">
          <cell r="C14858" t="str">
            <v>李育儒</v>
          </cell>
          <cell r="F14858" t="str">
            <v>E251001I1</v>
          </cell>
          <cell r="J14858">
            <v>45967</v>
          </cell>
          <cell r="K14858">
            <v>5</v>
          </cell>
        </row>
        <row r="14859">
          <cell r="C14859" t="str">
            <v>李育儒</v>
          </cell>
          <cell r="J14859">
            <v>45968</v>
          </cell>
          <cell r="K14859">
            <v>8</v>
          </cell>
        </row>
        <row r="14860">
          <cell r="C14860" t="str">
            <v>李育儒</v>
          </cell>
          <cell r="J14860">
            <v>45971</v>
          </cell>
          <cell r="K14860">
            <v>4</v>
          </cell>
        </row>
        <row r="14861">
          <cell r="C14861" t="str">
            <v>李育儒</v>
          </cell>
          <cell r="F14861" t="str">
            <v>E251002I1</v>
          </cell>
          <cell r="J14861">
            <v>45971</v>
          </cell>
          <cell r="K14861">
            <v>2</v>
          </cell>
        </row>
        <row r="14862">
          <cell r="C14862" t="str">
            <v>李育儒</v>
          </cell>
          <cell r="F14862" t="str">
            <v>E251001I1</v>
          </cell>
          <cell r="J14862">
            <v>45971</v>
          </cell>
          <cell r="K14862">
            <v>2</v>
          </cell>
        </row>
        <row r="14863">
          <cell r="C14863" t="str">
            <v>李育儒</v>
          </cell>
          <cell r="F14863" t="str">
            <v>E251002I1</v>
          </cell>
          <cell r="J14863">
            <v>45972</v>
          </cell>
          <cell r="K14863">
            <v>4</v>
          </cell>
        </row>
        <row r="14864">
          <cell r="C14864" t="str">
            <v>李育儒</v>
          </cell>
          <cell r="F14864" t="str">
            <v>E251001I1</v>
          </cell>
          <cell r="J14864">
            <v>45972</v>
          </cell>
          <cell r="K14864">
            <v>4</v>
          </cell>
        </row>
        <row r="14865">
          <cell r="C14865" t="str">
            <v>李育儒</v>
          </cell>
          <cell r="J14865">
            <v>45973</v>
          </cell>
          <cell r="K14865">
            <v>3</v>
          </cell>
        </row>
        <row r="14866">
          <cell r="C14866" t="str">
            <v>李育儒</v>
          </cell>
          <cell r="F14866" t="str">
            <v>E251002I1</v>
          </cell>
          <cell r="J14866">
            <v>45973</v>
          </cell>
          <cell r="K14866">
            <v>1</v>
          </cell>
        </row>
        <row r="14867">
          <cell r="C14867" t="str">
            <v>李育儒</v>
          </cell>
          <cell r="F14867" t="str">
            <v>E251001I1</v>
          </cell>
          <cell r="J14867">
            <v>45973</v>
          </cell>
          <cell r="K14867">
            <v>4</v>
          </cell>
        </row>
        <row r="14868">
          <cell r="C14868" t="str">
            <v>李育儒</v>
          </cell>
          <cell r="J14868">
            <v>45974</v>
          </cell>
          <cell r="K14868">
            <v>4</v>
          </cell>
        </row>
        <row r="14869">
          <cell r="C14869" t="str">
            <v>李育儒</v>
          </cell>
          <cell r="J14869">
            <v>45974</v>
          </cell>
          <cell r="K14869">
            <v>1</v>
          </cell>
        </row>
        <row r="14870">
          <cell r="C14870" t="str">
            <v>李育儒</v>
          </cell>
          <cell r="F14870" t="str">
            <v>E251001I1</v>
          </cell>
          <cell r="J14870">
            <v>45974</v>
          </cell>
          <cell r="K14870">
            <v>3</v>
          </cell>
        </row>
        <row r="14871">
          <cell r="C14871" t="str">
            <v>李育儒</v>
          </cell>
          <cell r="J14871">
            <v>45975</v>
          </cell>
          <cell r="K14871">
            <v>8</v>
          </cell>
        </row>
        <row r="14872">
          <cell r="C14872" t="str">
            <v>李育儒</v>
          </cell>
          <cell r="J14872">
            <v>45978</v>
          </cell>
          <cell r="K14872">
            <v>5</v>
          </cell>
        </row>
        <row r="14873">
          <cell r="C14873" t="str">
            <v>李育儒</v>
          </cell>
          <cell r="J14873">
            <v>45978</v>
          </cell>
          <cell r="K14873">
            <v>3</v>
          </cell>
        </row>
        <row r="14874">
          <cell r="C14874" t="str">
            <v>李育儒</v>
          </cell>
          <cell r="J14874">
            <v>45979</v>
          </cell>
          <cell r="K14874">
            <v>6</v>
          </cell>
        </row>
        <row r="14875">
          <cell r="C14875" t="str">
            <v>李育儒</v>
          </cell>
          <cell r="F14875" t="str">
            <v>E251002I1</v>
          </cell>
          <cell r="J14875">
            <v>45979</v>
          </cell>
          <cell r="K14875">
            <v>3</v>
          </cell>
        </row>
        <row r="14876">
          <cell r="C14876" t="str">
            <v>李育儒</v>
          </cell>
          <cell r="J14876">
            <v>45980</v>
          </cell>
          <cell r="K14876">
            <v>5</v>
          </cell>
        </row>
        <row r="14877">
          <cell r="C14877" t="str">
            <v>李育儒</v>
          </cell>
          <cell r="F14877" t="str">
            <v>E251002I1</v>
          </cell>
          <cell r="J14877">
            <v>45980</v>
          </cell>
          <cell r="K14877">
            <v>2</v>
          </cell>
        </row>
        <row r="14878">
          <cell r="C14878" t="str">
            <v>李育儒</v>
          </cell>
          <cell r="F14878" t="str">
            <v>E251001I1</v>
          </cell>
          <cell r="J14878">
            <v>45980</v>
          </cell>
          <cell r="K14878">
            <v>1</v>
          </cell>
        </row>
        <row r="14879">
          <cell r="C14879" t="str">
            <v>李育儒</v>
          </cell>
          <cell r="F14879" t="str">
            <v>E251001I1</v>
          </cell>
          <cell r="J14879">
            <v>45981</v>
          </cell>
          <cell r="K14879">
            <v>8</v>
          </cell>
        </row>
        <row r="14880">
          <cell r="C14880" t="str">
            <v>李育儒</v>
          </cell>
          <cell r="F14880" t="str">
            <v>E251002I1</v>
          </cell>
          <cell r="J14880">
            <v>45982</v>
          </cell>
          <cell r="K14880">
            <v>8</v>
          </cell>
        </row>
        <row r="14881">
          <cell r="C14881" t="str">
            <v>李育儒</v>
          </cell>
          <cell r="J14881">
            <v>45985</v>
          </cell>
          <cell r="K14881">
            <v>2</v>
          </cell>
        </row>
        <row r="14882">
          <cell r="C14882" t="str">
            <v>李育儒</v>
          </cell>
          <cell r="F14882" t="str">
            <v>E251003I1</v>
          </cell>
          <cell r="J14882">
            <v>45985</v>
          </cell>
          <cell r="K14882">
            <v>6</v>
          </cell>
        </row>
        <row r="14883">
          <cell r="C14883" t="str">
            <v>李育儒</v>
          </cell>
          <cell r="J14883">
            <v>45986</v>
          </cell>
          <cell r="K14883">
            <v>8</v>
          </cell>
        </row>
        <row r="14884">
          <cell r="C14884" t="str">
            <v>李育儒</v>
          </cell>
          <cell r="J14884">
            <v>45987</v>
          </cell>
          <cell r="K14884">
            <v>2</v>
          </cell>
        </row>
        <row r="14885">
          <cell r="C14885" t="str">
            <v>李育儒</v>
          </cell>
          <cell r="J14885">
            <v>45987</v>
          </cell>
          <cell r="K14885">
            <v>1</v>
          </cell>
        </row>
        <row r="14886">
          <cell r="C14886" t="str">
            <v>李育儒</v>
          </cell>
          <cell r="F14886" t="str">
            <v>E251003I1</v>
          </cell>
          <cell r="J14886">
            <v>45987</v>
          </cell>
          <cell r="K14886">
            <v>5</v>
          </cell>
        </row>
        <row r="14887">
          <cell r="C14887" t="str">
            <v>李育儒</v>
          </cell>
          <cell r="J14887">
            <v>45988</v>
          </cell>
          <cell r="K14887">
            <v>1</v>
          </cell>
        </row>
        <row r="14888">
          <cell r="C14888" t="str">
            <v>李育儒</v>
          </cell>
          <cell r="J14888">
            <v>45988</v>
          </cell>
          <cell r="K14888">
            <v>1</v>
          </cell>
        </row>
        <row r="14889">
          <cell r="C14889" t="str">
            <v>李育儒</v>
          </cell>
          <cell r="F14889" t="str">
            <v>E251003I1</v>
          </cell>
          <cell r="J14889">
            <v>45988</v>
          </cell>
          <cell r="K14889">
            <v>6</v>
          </cell>
        </row>
        <row r="14890">
          <cell r="C14890" t="str">
            <v>李育儒</v>
          </cell>
          <cell r="J14890">
            <v>45989</v>
          </cell>
          <cell r="K14890">
            <v>8</v>
          </cell>
        </row>
        <row r="14891">
          <cell r="C14891" t="str">
            <v>李育儒</v>
          </cell>
          <cell r="F14891" t="str">
            <v>E251003I1</v>
          </cell>
          <cell r="J14891">
            <v>45992</v>
          </cell>
          <cell r="K14891">
            <v>6</v>
          </cell>
        </row>
        <row r="14892">
          <cell r="C14892" t="str">
            <v>李育儒</v>
          </cell>
          <cell r="F14892" t="str">
            <v>E251001I1</v>
          </cell>
          <cell r="J14892">
            <v>45992</v>
          </cell>
          <cell r="K14892">
            <v>2</v>
          </cell>
        </row>
        <row r="14893">
          <cell r="C14893" t="str">
            <v>李育儒</v>
          </cell>
          <cell r="F14893" t="str">
            <v>E251001I1</v>
          </cell>
          <cell r="J14893">
            <v>45993</v>
          </cell>
          <cell r="K14893">
            <v>8</v>
          </cell>
        </row>
        <row r="14894">
          <cell r="C14894" t="str">
            <v>李育儒</v>
          </cell>
          <cell r="J14894">
            <v>45994</v>
          </cell>
          <cell r="K14894">
            <v>1</v>
          </cell>
        </row>
        <row r="14895">
          <cell r="C14895" t="str">
            <v>李育儒</v>
          </cell>
          <cell r="F14895" t="str">
            <v>E251003I1</v>
          </cell>
          <cell r="J14895">
            <v>45994</v>
          </cell>
          <cell r="K14895">
            <v>3</v>
          </cell>
        </row>
        <row r="14896">
          <cell r="C14896" t="str">
            <v>李育儒</v>
          </cell>
          <cell r="F14896" t="str">
            <v>E251001I1</v>
          </cell>
          <cell r="J14896">
            <v>45994</v>
          </cell>
          <cell r="K14896">
            <v>4</v>
          </cell>
        </row>
        <row r="14897">
          <cell r="C14897" t="str">
            <v>李育儒</v>
          </cell>
          <cell r="F14897" t="str">
            <v>E251003I1</v>
          </cell>
          <cell r="J14897">
            <v>45995</v>
          </cell>
          <cell r="K14897">
            <v>8</v>
          </cell>
        </row>
        <row r="14898">
          <cell r="C14898" t="str">
            <v>李育儒</v>
          </cell>
          <cell r="F14898" t="str">
            <v>E251003I1</v>
          </cell>
          <cell r="J14898">
            <v>45996</v>
          </cell>
          <cell r="K14898">
            <v>8</v>
          </cell>
        </row>
        <row r="14899">
          <cell r="C14899" t="str">
            <v>李育儒</v>
          </cell>
          <cell r="F14899" t="str">
            <v>E251003I1</v>
          </cell>
          <cell r="J14899">
            <v>45999</v>
          </cell>
          <cell r="K14899">
            <v>8</v>
          </cell>
        </row>
        <row r="14900">
          <cell r="C14900" t="str">
            <v>李育儒</v>
          </cell>
          <cell r="F14900" t="str">
            <v>E251003I1</v>
          </cell>
          <cell r="J14900">
            <v>46000</v>
          </cell>
          <cell r="K14900">
            <v>8</v>
          </cell>
        </row>
        <row r="14901">
          <cell r="C14901" t="str">
            <v>李育儒</v>
          </cell>
          <cell r="F14901" t="str">
            <v>E251003I1</v>
          </cell>
          <cell r="J14901">
            <v>46001</v>
          </cell>
          <cell r="K14901">
            <v>8</v>
          </cell>
        </row>
        <row r="14902">
          <cell r="C14902" t="str">
            <v>李育儒</v>
          </cell>
          <cell r="J14902">
            <v>46002</v>
          </cell>
          <cell r="K14902">
            <v>1</v>
          </cell>
        </row>
        <row r="14903">
          <cell r="C14903" t="str">
            <v>李育儒</v>
          </cell>
          <cell r="F14903" t="str">
            <v>E251003I1</v>
          </cell>
          <cell r="J14903">
            <v>46002</v>
          </cell>
          <cell r="K14903">
            <v>7</v>
          </cell>
        </row>
        <row r="14904">
          <cell r="C14904" t="str">
            <v>李育儒</v>
          </cell>
          <cell r="J14904">
            <v>46003</v>
          </cell>
          <cell r="K14904">
            <v>1</v>
          </cell>
        </row>
        <row r="14905">
          <cell r="C14905" t="str">
            <v>李育儒</v>
          </cell>
          <cell r="F14905" t="str">
            <v>E251003I1</v>
          </cell>
          <cell r="J14905">
            <v>46003</v>
          </cell>
          <cell r="K14905">
            <v>7</v>
          </cell>
        </row>
        <row r="14906">
          <cell r="C14906" t="str">
            <v>李育儒</v>
          </cell>
          <cell r="F14906" t="str">
            <v>E251003I1</v>
          </cell>
          <cell r="J14906">
            <v>46006</v>
          </cell>
          <cell r="K14906">
            <v>8</v>
          </cell>
        </row>
        <row r="14907">
          <cell r="C14907" t="str">
            <v>李育儒</v>
          </cell>
          <cell r="F14907" t="str">
            <v>E251003I1</v>
          </cell>
          <cell r="J14907">
            <v>46007</v>
          </cell>
          <cell r="K14907">
            <v>8</v>
          </cell>
        </row>
        <row r="14908">
          <cell r="C14908" t="str">
            <v>李育儒</v>
          </cell>
          <cell r="J14908">
            <v>46008</v>
          </cell>
          <cell r="K14908">
            <v>4</v>
          </cell>
        </row>
        <row r="14909">
          <cell r="C14909" t="str">
            <v>李育儒</v>
          </cell>
          <cell r="F14909" t="str">
            <v>E251003I1</v>
          </cell>
          <cell r="J14909">
            <v>46008</v>
          </cell>
          <cell r="K14909">
            <v>4</v>
          </cell>
        </row>
        <row r="14910">
          <cell r="C14910" t="str">
            <v>李育儒</v>
          </cell>
          <cell r="J14910">
            <v>46009</v>
          </cell>
          <cell r="K14910">
            <v>1</v>
          </cell>
        </row>
        <row r="14911">
          <cell r="C14911" t="str">
            <v>李育儒</v>
          </cell>
          <cell r="F14911" t="str">
            <v>E251003I1</v>
          </cell>
          <cell r="J14911">
            <v>46009</v>
          </cell>
          <cell r="K14911">
            <v>7</v>
          </cell>
        </row>
        <row r="14912">
          <cell r="C14912" t="str">
            <v>李育儒</v>
          </cell>
          <cell r="J14912">
            <v>46010</v>
          </cell>
          <cell r="K14912">
            <v>8</v>
          </cell>
        </row>
        <row r="14913">
          <cell r="C14913" t="str">
            <v>李育儒</v>
          </cell>
          <cell r="J14913">
            <v>46013</v>
          </cell>
          <cell r="K14913">
            <v>4</v>
          </cell>
        </row>
        <row r="14914">
          <cell r="C14914" t="str">
            <v>李育儒</v>
          </cell>
          <cell r="F14914" t="str">
            <v>E251003I1</v>
          </cell>
          <cell r="J14914">
            <v>46013</v>
          </cell>
          <cell r="K14914">
            <v>4</v>
          </cell>
        </row>
        <row r="14915">
          <cell r="C14915" t="str">
            <v>李育儒</v>
          </cell>
          <cell r="J14915">
            <v>46014</v>
          </cell>
          <cell r="K14915">
            <v>8</v>
          </cell>
        </row>
        <row r="14916">
          <cell r="C14916" t="str">
            <v>李育儒</v>
          </cell>
          <cell r="F14916" t="str">
            <v>E251003I1</v>
          </cell>
          <cell r="J14916">
            <v>46015</v>
          </cell>
          <cell r="K14916">
            <v>8</v>
          </cell>
        </row>
        <row r="14917">
          <cell r="C14917" t="str">
            <v>李育儒</v>
          </cell>
          <cell r="F14917" t="str">
            <v>E251003I1</v>
          </cell>
          <cell r="J14917">
            <v>46017</v>
          </cell>
          <cell r="K14917">
            <v>8</v>
          </cell>
        </row>
        <row r="14918">
          <cell r="C14918" t="str">
            <v>李育儒</v>
          </cell>
          <cell r="F14918" t="str">
            <v>E251003I1</v>
          </cell>
          <cell r="J14918">
            <v>46020</v>
          </cell>
          <cell r="K14918">
            <v>8</v>
          </cell>
        </row>
        <row r="14919">
          <cell r="C14919" t="str">
            <v>李育儒</v>
          </cell>
          <cell r="F14919" t="str">
            <v>E251003I1</v>
          </cell>
          <cell r="J14919">
            <v>46021</v>
          </cell>
          <cell r="K14919">
            <v>8</v>
          </cell>
        </row>
        <row r="14920">
          <cell r="C14920" t="str">
            <v>李育儒</v>
          </cell>
          <cell r="J14920">
            <v>46022</v>
          </cell>
          <cell r="K14920">
            <v>4</v>
          </cell>
        </row>
        <row r="14921">
          <cell r="C14921" t="str">
            <v>李育儒</v>
          </cell>
          <cell r="F14921" t="str">
            <v>E251003I1</v>
          </cell>
          <cell r="J14921">
            <v>46022</v>
          </cell>
          <cell r="K14921">
            <v>4</v>
          </cell>
        </row>
        <row r="14922">
          <cell r="C14922" t="str">
            <v>李育儒</v>
          </cell>
          <cell r="J14922">
            <v>46024</v>
          </cell>
          <cell r="K14922">
            <v>4</v>
          </cell>
        </row>
        <row r="14923">
          <cell r="C14923" t="str">
            <v>李育儒</v>
          </cell>
          <cell r="F14923" t="str">
            <v>E251003I1</v>
          </cell>
          <cell r="J14923">
            <v>46024</v>
          </cell>
          <cell r="K14923">
            <v>4</v>
          </cell>
        </row>
        <row r="14924">
          <cell r="C14924" t="str">
            <v>李育儒</v>
          </cell>
          <cell r="J14924">
            <v>46027</v>
          </cell>
          <cell r="K14924">
            <v>4</v>
          </cell>
        </row>
        <row r="14925">
          <cell r="C14925" t="str">
            <v>李育儒</v>
          </cell>
          <cell r="F14925" t="str">
            <v>E251003I1</v>
          </cell>
          <cell r="J14925">
            <v>46027</v>
          </cell>
          <cell r="K14925">
            <v>4</v>
          </cell>
        </row>
        <row r="14926">
          <cell r="C14926" t="str">
            <v>李育儒</v>
          </cell>
          <cell r="J14926">
            <v>46028</v>
          </cell>
          <cell r="K14926">
            <v>4</v>
          </cell>
        </row>
        <row r="14927">
          <cell r="C14927" t="str">
            <v>李育儒</v>
          </cell>
          <cell r="J14927">
            <v>46028</v>
          </cell>
          <cell r="K14927">
            <v>3</v>
          </cell>
        </row>
        <row r="14928">
          <cell r="C14928" t="str">
            <v>李育儒</v>
          </cell>
          <cell r="F14928" t="str">
            <v>E251003I1</v>
          </cell>
          <cell r="J14928">
            <v>46028</v>
          </cell>
          <cell r="K14928">
            <v>1</v>
          </cell>
        </row>
        <row r="14929">
          <cell r="C14929" t="str">
            <v>李育儒</v>
          </cell>
          <cell r="J14929">
            <v>46029</v>
          </cell>
          <cell r="K14929">
            <v>2</v>
          </cell>
        </row>
        <row r="14930">
          <cell r="C14930" t="str">
            <v>李育儒</v>
          </cell>
          <cell r="F14930" t="str">
            <v>E251003I1</v>
          </cell>
          <cell r="J14930">
            <v>46029</v>
          </cell>
          <cell r="K14930">
            <v>6</v>
          </cell>
        </row>
        <row r="14931">
          <cell r="C14931" t="str">
            <v>李育儒</v>
          </cell>
          <cell r="J14931">
            <v>46030</v>
          </cell>
          <cell r="K14931">
            <v>1</v>
          </cell>
        </row>
        <row r="14932">
          <cell r="C14932" t="str">
            <v>李育儒</v>
          </cell>
          <cell r="F14932" t="str">
            <v>E251002I1</v>
          </cell>
          <cell r="J14932">
            <v>46030</v>
          </cell>
          <cell r="K14932">
            <v>3</v>
          </cell>
        </row>
        <row r="14933">
          <cell r="C14933" t="str">
            <v>李育儒</v>
          </cell>
          <cell r="F14933" t="str">
            <v>E251003I1</v>
          </cell>
          <cell r="J14933">
            <v>46030</v>
          </cell>
          <cell r="K14933">
            <v>4</v>
          </cell>
        </row>
        <row r="14934">
          <cell r="C14934" t="str">
            <v>李育儒</v>
          </cell>
          <cell r="F14934" t="str">
            <v>E251002I1</v>
          </cell>
          <cell r="J14934">
            <v>46031</v>
          </cell>
          <cell r="K14934">
            <v>6</v>
          </cell>
        </row>
        <row r="14935">
          <cell r="C14935" t="str">
            <v>李育儒</v>
          </cell>
          <cell r="F14935" t="str">
            <v>E251003I1</v>
          </cell>
          <cell r="J14935">
            <v>46031</v>
          </cell>
          <cell r="K14935">
            <v>2</v>
          </cell>
        </row>
        <row r="14936">
          <cell r="C14936" t="str">
            <v>李育儒</v>
          </cell>
          <cell r="F14936" t="str">
            <v>E251002I1</v>
          </cell>
          <cell r="J14936">
            <v>46035</v>
          </cell>
          <cell r="K14936">
            <v>8</v>
          </cell>
        </row>
        <row r="14937">
          <cell r="C14937" t="str">
            <v>李育儒</v>
          </cell>
          <cell r="F14937" t="str">
            <v>E251002I1</v>
          </cell>
          <cell r="J14937">
            <v>46036</v>
          </cell>
          <cell r="K14937">
            <v>2</v>
          </cell>
        </row>
        <row r="14938">
          <cell r="C14938" t="str">
            <v>李育儒</v>
          </cell>
          <cell r="F14938" t="str">
            <v>E251001I1</v>
          </cell>
          <cell r="J14938">
            <v>46036</v>
          </cell>
          <cell r="K14938">
            <v>6</v>
          </cell>
        </row>
        <row r="14939">
          <cell r="C14939" t="str">
            <v>李育儒</v>
          </cell>
          <cell r="J14939">
            <v>46037</v>
          </cell>
          <cell r="K14939">
            <v>2</v>
          </cell>
        </row>
        <row r="14940">
          <cell r="C14940" t="str">
            <v>李育儒</v>
          </cell>
          <cell r="J14940">
            <v>46037</v>
          </cell>
          <cell r="K14940">
            <v>1</v>
          </cell>
        </row>
        <row r="14941">
          <cell r="C14941" t="str">
            <v>李育儒</v>
          </cell>
          <cell r="J14941">
            <v>46037</v>
          </cell>
          <cell r="K14941">
            <v>5</v>
          </cell>
        </row>
        <row r="14942">
          <cell r="C14942" t="str">
            <v>李育儒</v>
          </cell>
          <cell r="J14942">
            <v>46038</v>
          </cell>
          <cell r="K14942">
            <v>1</v>
          </cell>
        </row>
        <row r="14943">
          <cell r="C14943" t="str">
            <v>李育儒</v>
          </cell>
          <cell r="J14943">
            <v>46038</v>
          </cell>
          <cell r="K14943">
            <v>7</v>
          </cell>
        </row>
        <row r="14944">
          <cell r="C14944" t="str">
            <v>李育儒</v>
          </cell>
          <cell r="J14944">
            <v>46041</v>
          </cell>
          <cell r="K14944">
            <v>7</v>
          </cell>
        </row>
        <row r="14945">
          <cell r="C14945" t="str">
            <v>李育儒</v>
          </cell>
          <cell r="J14945">
            <v>46041</v>
          </cell>
          <cell r="K14945">
            <v>1</v>
          </cell>
        </row>
        <row r="14946">
          <cell r="C14946" t="str">
            <v>李育儒</v>
          </cell>
          <cell r="J14946">
            <v>46042</v>
          </cell>
          <cell r="K14946">
            <v>8</v>
          </cell>
        </row>
        <row r="14947">
          <cell r="C14947" t="str">
            <v>李育儒</v>
          </cell>
          <cell r="J14947">
            <v>46043</v>
          </cell>
          <cell r="K14947">
            <v>6</v>
          </cell>
        </row>
        <row r="14948">
          <cell r="C14948" t="str">
            <v>李育儒</v>
          </cell>
          <cell r="J14948">
            <v>46043</v>
          </cell>
          <cell r="K14948">
            <v>2</v>
          </cell>
        </row>
        <row r="14949">
          <cell r="C14949" t="str">
            <v>李育儒</v>
          </cell>
          <cell r="J14949">
            <v>46044</v>
          </cell>
          <cell r="K14949">
            <v>1</v>
          </cell>
        </row>
        <row r="14950">
          <cell r="C14950" t="str">
            <v>李育儒</v>
          </cell>
          <cell r="J14950">
            <v>46044</v>
          </cell>
          <cell r="K14950">
            <v>6</v>
          </cell>
        </row>
        <row r="14951">
          <cell r="C14951" t="str">
            <v>李育儒</v>
          </cell>
          <cell r="J14951">
            <v>46044</v>
          </cell>
          <cell r="K14951">
            <v>1</v>
          </cell>
        </row>
        <row r="14952">
          <cell r="C14952" t="str">
            <v>李育儒</v>
          </cell>
          <cell r="J14952">
            <v>46045</v>
          </cell>
          <cell r="K14952">
            <v>8</v>
          </cell>
        </row>
        <row r="14953">
          <cell r="C14953" t="str">
            <v>李育儒</v>
          </cell>
          <cell r="J14953">
            <v>46048</v>
          </cell>
          <cell r="K14953">
            <v>8</v>
          </cell>
        </row>
        <row r="14954">
          <cell r="C14954" t="str">
            <v>李育儒</v>
          </cell>
          <cell r="J14954">
            <v>46049</v>
          </cell>
          <cell r="K14954">
            <v>4</v>
          </cell>
        </row>
        <row r="14955">
          <cell r="C14955" t="str">
            <v>李育儒</v>
          </cell>
          <cell r="J14955">
            <v>46049</v>
          </cell>
          <cell r="K14955">
            <v>3</v>
          </cell>
        </row>
        <row r="14956">
          <cell r="C14956" t="str">
            <v>李育儒</v>
          </cell>
          <cell r="J14956">
            <v>46049</v>
          </cell>
          <cell r="K14956">
            <v>1</v>
          </cell>
        </row>
        <row r="14957">
          <cell r="C14957" t="str">
            <v>李育儒</v>
          </cell>
          <cell r="J14957">
            <v>46050</v>
          </cell>
          <cell r="K14957">
            <v>1</v>
          </cell>
        </row>
        <row r="14958">
          <cell r="C14958" t="str">
            <v>李育儒</v>
          </cell>
          <cell r="J14958">
            <v>46050</v>
          </cell>
          <cell r="K14958">
            <v>4</v>
          </cell>
        </row>
        <row r="14959">
          <cell r="C14959" t="str">
            <v>李育儒</v>
          </cell>
          <cell r="J14959">
            <v>46050</v>
          </cell>
          <cell r="K14959">
            <v>1</v>
          </cell>
        </row>
        <row r="14960">
          <cell r="C14960" t="str">
            <v>李育儒</v>
          </cell>
          <cell r="J14960">
            <v>46050</v>
          </cell>
          <cell r="K14960">
            <v>2</v>
          </cell>
        </row>
        <row r="14961">
          <cell r="C14961" t="str">
            <v>李育儒</v>
          </cell>
          <cell r="J14961">
            <v>46051</v>
          </cell>
          <cell r="K14961">
            <v>1</v>
          </cell>
        </row>
        <row r="14962">
          <cell r="C14962" t="str">
            <v>李育儒</v>
          </cell>
          <cell r="J14962">
            <v>46051</v>
          </cell>
          <cell r="K14962">
            <v>3</v>
          </cell>
        </row>
        <row r="14963">
          <cell r="C14963" t="str">
            <v>李育儒</v>
          </cell>
          <cell r="J14963">
            <v>46051</v>
          </cell>
          <cell r="K14963">
            <v>3</v>
          </cell>
        </row>
        <row r="14964">
          <cell r="C14964" t="str">
            <v>李育儒</v>
          </cell>
          <cell r="J14964">
            <v>46051</v>
          </cell>
          <cell r="K14964">
            <v>1</v>
          </cell>
        </row>
        <row r="14965">
          <cell r="C14965" t="str">
            <v>李育儒</v>
          </cell>
          <cell r="J14965">
            <v>46052</v>
          </cell>
          <cell r="K14965">
            <v>4</v>
          </cell>
        </row>
        <row r="14966">
          <cell r="C14966" t="str">
            <v>李育儒</v>
          </cell>
          <cell r="J14966">
            <v>46052</v>
          </cell>
          <cell r="K14966">
            <v>4</v>
          </cell>
        </row>
        <row r="14967">
          <cell r="C14967" t="str">
            <v>李育儒</v>
          </cell>
          <cell r="J14967">
            <v>46055</v>
          </cell>
          <cell r="K14967">
            <v>7</v>
          </cell>
        </row>
        <row r="14968">
          <cell r="C14968" t="str">
            <v>李育儒</v>
          </cell>
          <cell r="J14968">
            <v>46055</v>
          </cell>
          <cell r="K14968">
            <v>1</v>
          </cell>
        </row>
        <row r="14969">
          <cell r="C14969" t="str">
            <v>李育儒</v>
          </cell>
          <cell r="J14969">
            <v>46056</v>
          </cell>
          <cell r="K14969">
            <v>4</v>
          </cell>
        </row>
        <row r="14970">
          <cell r="C14970" t="str">
            <v>李育儒</v>
          </cell>
          <cell r="J14970">
            <v>46056</v>
          </cell>
          <cell r="K14970">
            <v>4</v>
          </cell>
        </row>
        <row r="14971">
          <cell r="C14971" t="str">
            <v>李育儒</v>
          </cell>
          <cell r="J14971">
            <v>46057</v>
          </cell>
          <cell r="K14971">
            <v>8</v>
          </cell>
        </row>
        <row r="14972">
          <cell r="C14972" t="str">
            <v>李育儒</v>
          </cell>
          <cell r="J14972">
            <v>46058</v>
          </cell>
          <cell r="K14972">
            <v>0.5</v>
          </cell>
        </row>
        <row r="14973">
          <cell r="C14973" t="str">
            <v>李育儒</v>
          </cell>
          <cell r="J14973">
            <v>46058</v>
          </cell>
          <cell r="K14973">
            <v>1</v>
          </cell>
        </row>
        <row r="14974">
          <cell r="C14974" t="str">
            <v>李育儒</v>
          </cell>
          <cell r="J14974">
            <v>46058</v>
          </cell>
          <cell r="K14974">
            <v>5</v>
          </cell>
        </row>
        <row r="14975">
          <cell r="C14975" t="str">
            <v>李育儒</v>
          </cell>
          <cell r="J14975">
            <v>46058</v>
          </cell>
          <cell r="K14975">
            <v>1.5</v>
          </cell>
        </row>
        <row r="14976">
          <cell r="C14976" t="str">
            <v>李育儒</v>
          </cell>
          <cell r="J14976">
            <v>46059</v>
          </cell>
          <cell r="K14976">
            <v>2</v>
          </cell>
        </row>
        <row r="14977">
          <cell r="C14977" t="str">
            <v>李育儒</v>
          </cell>
          <cell r="J14977">
            <v>46059</v>
          </cell>
          <cell r="K14977">
            <v>2</v>
          </cell>
        </row>
        <row r="14978">
          <cell r="C14978" t="str">
            <v>李育儒</v>
          </cell>
          <cell r="J14978">
            <v>46059</v>
          </cell>
          <cell r="K14978">
            <v>2</v>
          </cell>
        </row>
        <row r="14979">
          <cell r="C14979" t="str">
            <v>李育儒</v>
          </cell>
          <cell r="J14979">
            <v>46059</v>
          </cell>
          <cell r="K14979">
            <v>1</v>
          </cell>
        </row>
        <row r="14980">
          <cell r="C14980" t="str">
            <v>李育儒</v>
          </cell>
          <cell r="J14980">
            <v>46062</v>
          </cell>
          <cell r="K14980">
            <v>3</v>
          </cell>
        </row>
        <row r="14981">
          <cell r="C14981" t="str">
            <v>李育儒</v>
          </cell>
          <cell r="J14981">
            <v>46062</v>
          </cell>
          <cell r="K14981">
            <v>5</v>
          </cell>
        </row>
        <row r="14982">
          <cell r="C14982" t="str">
            <v>李育儒</v>
          </cell>
          <cell r="J14982">
            <v>46063</v>
          </cell>
          <cell r="K14982">
            <v>1</v>
          </cell>
        </row>
        <row r="14983">
          <cell r="C14983" t="str">
            <v>李育儒</v>
          </cell>
          <cell r="J14983">
            <v>46063</v>
          </cell>
          <cell r="K14983">
            <v>1</v>
          </cell>
        </row>
        <row r="14984">
          <cell r="C14984" t="str">
            <v>李育儒</v>
          </cell>
          <cell r="J14984">
            <v>46063</v>
          </cell>
          <cell r="K14984">
            <v>6</v>
          </cell>
        </row>
        <row r="14985">
          <cell r="C14985" t="str">
            <v>李育儒</v>
          </cell>
          <cell r="J14985">
            <v>46064</v>
          </cell>
          <cell r="K14985">
            <v>4</v>
          </cell>
        </row>
        <row r="14986">
          <cell r="C14986" t="str">
            <v>李育儒</v>
          </cell>
          <cell r="J14986">
            <v>46064</v>
          </cell>
          <cell r="K14986">
            <v>4</v>
          </cell>
        </row>
        <row r="14987">
          <cell r="C14987" t="str">
            <v>李育儒</v>
          </cell>
          <cell r="J14987">
            <v>46065</v>
          </cell>
          <cell r="K14987">
            <v>3</v>
          </cell>
        </row>
        <row r="14988">
          <cell r="C14988" t="str">
            <v>李育儒</v>
          </cell>
          <cell r="J14988">
            <v>46065</v>
          </cell>
          <cell r="K14988">
            <v>4</v>
          </cell>
        </row>
        <row r="14989">
          <cell r="C14989" t="str">
            <v>李育儒</v>
          </cell>
          <cell r="J14989">
            <v>46065</v>
          </cell>
          <cell r="K14989">
            <v>1</v>
          </cell>
        </row>
        <row r="14990">
          <cell r="C14990" t="str">
            <v>李育儒</v>
          </cell>
          <cell r="J14990">
            <v>46066</v>
          </cell>
          <cell r="K14990">
            <v>4</v>
          </cell>
        </row>
        <row r="14991">
          <cell r="C14991" t="str">
            <v>李育儒</v>
          </cell>
          <cell r="J14991">
            <v>46066</v>
          </cell>
          <cell r="K14991">
            <v>4</v>
          </cell>
        </row>
        <row r="14992">
          <cell r="C14992" t="str">
            <v>李育儒</v>
          </cell>
          <cell r="J14992">
            <v>46076</v>
          </cell>
          <cell r="K14992">
            <v>8</v>
          </cell>
        </row>
        <row r="14993">
          <cell r="C14993" t="str">
            <v>李育儒</v>
          </cell>
          <cell r="J14993">
            <v>46077</v>
          </cell>
          <cell r="K14993">
            <v>5</v>
          </cell>
        </row>
        <row r="14994">
          <cell r="C14994" t="str">
            <v>李育儒</v>
          </cell>
          <cell r="J14994">
            <v>46077</v>
          </cell>
          <cell r="K14994">
            <v>3</v>
          </cell>
        </row>
        <row r="14995">
          <cell r="C14995" t="str">
            <v>李育儒</v>
          </cell>
          <cell r="J14995">
            <v>46078</v>
          </cell>
          <cell r="K14995">
            <v>5</v>
          </cell>
        </row>
        <row r="14996">
          <cell r="C14996" t="str">
            <v>李育儒</v>
          </cell>
          <cell r="J14996">
            <v>46078</v>
          </cell>
          <cell r="K14996">
            <v>2</v>
          </cell>
        </row>
        <row r="14997">
          <cell r="C14997" t="str">
            <v>李育儒</v>
          </cell>
          <cell r="J14997">
            <v>46078</v>
          </cell>
          <cell r="K14997">
            <v>1</v>
          </cell>
        </row>
        <row r="14998">
          <cell r="C14998" t="str">
            <v>李育儒</v>
          </cell>
          <cell r="J14998">
            <v>46079</v>
          </cell>
          <cell r="K14998">
            <v>4</v>
          </cell>
        </row>
        <row r="14999">
          <cell r="C14999" t="str">
            <v>李育儒</v>
          </cell>
          <cell r="J14999">
            <v>46079</v>
          </cell>
          <cell r="K14999">
            <v>3</v>
          </cell>
        </row>
        <row r="15000">
          <cell r="C15000" t="str">
            <v>李育儒</v>
          </cell>
          <cell r="J15000">
            <v>46079</v>
          </cell>
          <cell r="K15000">
            <v>1</v>
          </cell>
        </row>
        <row r="15001">
          <cell r="C15001" t="str">
            <v>李育儒</v>
          </cell>
          <cell r="J15001">
            <v>46083</v>
          </cell>
          <cell r="K15001">
            <v>7</v>
          </cell>
        </row>
        <row r="15002">
          <cell r="C15002" t="str">
            <v>李育儒</v>
          </cell>
          <cell r="J15002">
            <v>46083</v>
          </cell>
          <cell r="K15002">
            <v>1</v>
          </cell>
        </row>
        <row r="15003">
          <cell r="C15003" t="str">
            <v>李育儒</v>
          </cell>
          <cell r="J15003">
            <v>46084</v>
          </cell>
          <cell r="K15003">
            <v>1</v>
          </cell>
        </row>
        <row r="15004">
          <cell r="C15004" t="str">
            <v>李育儒</v>
          </cell>
          <cell r="J15004">
            <v>46084</v>
          </cell>
          <cell r="K15004">
            <v>7</v>
          </cell>
        </row>
        <row r="15005">
          <cell r="C15005" t="str">
            <v>李育儒</v>
          </cell>
          <cell r="J15005">
            <v>46085</v>
          </cell>
          <cell r="K15005">
            <v>3</v>
          </cell>
        </row>
        <row r="15006">
          <cell r="C15006" t="str">
            <v>李育儒</v>
          </cell>
          <cell r="J15006">
            <v>46085</v>
          </cell>
          <cell r="K15006">
            <v>5</v>
          </cell>
        </row>
        <row r="15007">
          <cell r="C15007" t="str">
            <v>李育儒</v>
          </cell>
          <cell r="J15007">
            <v>46086</v>
          </cell>
          <cell r="K15007">
            <v>8</v>
          </cell>
        </row>
        <row r="15008">
          <cell r="C15008" t="str">
            <v>李育儒</v>
          </cell>
          <cell r="J15008">
            <v>46087</v>
          </cell>
          <cell r="K15008">
            <v>5</v>
          </cell>
        </row>
        <row r="15009">
          <cell r="C15009" t="str">
            <v>李育儒</v>
          </cell>
          <cell r="J15009">
            <v>46087</v>
          </cell>
          <cell r="K15009">
            <v>3</v>
          </cell>
        </row>
        <row r="15010">
          <cell r="C15010" t="str">
            <v>李育儒</v>
          </cell>
          <cell r="J15010">
            <v>46090</v>
          </cell>
          <cell r="K15010">
            <v>1</v>
          </cell>
        </row>
        <row r="15011">
          <cell r="C15011" t="str">
            <v>李育儒</v>
          </cell>
          <cell r="J15011">
            <v>46090</v>
          </cell>
          <cell r="K15011">
            <v>1</v>
          </cell>
        </row>
        <row r="15012">
          <cell r="C15012" t="str">
            <v>李育儒</v>
          </cell>
          <cell r="J15012">
            <v>46090</v>
          </cell>
          <cell r="K15012">
            <v>2</v>
          </cell>
        </row>
        <row r="15013">
          <cell r="C15013" t="str">
            <v>李育儒</v>
          </cell>
          <cell r="J15013">
            <v>46090</v>
          </cell>
          <cell r="K15013">
            <v>3</v>
          </cell>
        </row>
        <row r="15014">
          <cell r="C15014" t="str">
            <v>李育儒</v>
          </cell>
          <cell r="J15014">
            <v>46090</v>
          </cell>
          <cell r="K15014">
            <v>1</v>
          </cell>
        </row>
        <row r="15015">
          <cell r="C15015" t="str">
            <v>李育儒</v>
          </cell>
          <cell r="J15015">
            <v>46091</v>
          </cell>
          <cell r="K15015">
            <v>1</v>
          </cell>
        </row>
        <row r="15016">
          <cell r="C15016" t="str">
            <v>李育儒</v>
          </cell>
          <cell r="J15016">
            <v>46091</v>
          </cell>
          <cell r="K15016">
            <v>7</v>
          </cell>
        </row>
        <row r="15017">
          <cell r="C15017" t="str">
            <v>李育儒</v>
          </cell>
          <cell r="J15017">
            <v>46092</v>
          </cell>
          <cell r="K15017">
            <v>5</v>
          </cell>
        </row>
        <row r="15018">
          <cell r="C15018" t="str">
            <v>李育儒</v>
          </cell>
          <cell r="J15018">
            <v>46092</v>
          </cell>
          <cell r="K15018">
            <v>3</v>
          </cell>
        </row>
        <row r="15019">
          <cell r="C15019" t="str">
            <v>李育儒</v>
          </cell>
          <cell r="J15019">
            <v>46093</v>
          </cell>
          <cell r="K15019">
            <v>7</v>
          </cell>
        </row>
        <row r="15020">
          <cell r="C15020" t="str">
            <v>李育儒</v>
          </cell>
          <cell r="J15020">
            <v>46093</v>
          </cell>
          <cell r="K15020">
            <v>1</v>
          </cell>
        </row>
        <row r="15021">
          <cell r="C15021" t="str">
            <v>李育儒</v>
          </cell>
          <cell r="J15021">
            <v>46094</v>
          </cell>
          <cell r="K15021">
            <v>4</v>
          </cell>
        </row>
        <row r="15022">
          <cell r="C15022" t="str">
            <v>李育儒</v>
          </cell>
          <cell r="J15022">
            <v>46094</v>
          </cell>
          <cell r="K15022">
            <v>4</v>
          </cell>
        </row>
        <row r="15023">
          <cell r="C15023" t="str">
            <v>李育儒</v>
          </cell>
          <cell r="J15023">
            <v>46097</v>
          </cell>
          <cell r="K15023">
            <v>6</v>
          </cell>
        </row>
        <row r="15024">
          <cell r="C15024" t="str">
            <v>李育儒</v>
          </cell>
          <cell r="J15024">
            <v>46097</v>
          </cell>
          <cell r="K15024">
            <v>2</v>
          </cell>
        </row>
        <row r="15025">
          <cell r="C15025" t="str">
            <v>李育儒</v>
          </cell>
          <cell r="J15025">
            <v>46098</v>
          </cell>
          <cell r="K15025">
            <v>8</v>
          </cell>
        </row>
        <row r="15026">
          <cell r="C15026" t="str">
            <v>李育儒</v>
          </cell>
          <cell r="J15026">
            <v>46099</v>
          </cell>
          <cell r="K15026">
            <v>8</v>
          </cell>
        </row>
        <row r="15027">
          <cell r="C15027" t="str">
            <v>李育儒</v>
          </cell>
          <cell r="J15027">
            <v>46100</v>
          </cell>
          <cell r="K15027">
            <v>7</v>
          </cell>
        </row>
        <row r="15028">
          <cell r="C15028" t="str">
            <v>李育儒</v>
          </cell>
          <cell r="J15028">
            <v>46100</v>
          </cell>
          <cell r="K15028">
            <v>1</v>
          </cell>
        </row>
        <row r="15029">
          <cell r="C15029" t="str">
            <v>李育儒</v>
          </cell>
          <cell r="J15029">
            <v>46104</v>
          </cell>
          <cell r="K15029">
            <v>1</v>
          </cell>
        </row>
        <row r="15030">
          <cell r="C15030" t="str">
            <v>李育儒</v>
          </cell>
          <cell r="J15030">
            <v>46104</v>
          </cell>
          <cell r="K15030">
            <v>6</v>
          </cell>
        </row>
        <row r="15031">
          <cell r="C15031" t="str">
            <v>李育儒</v>
          </cell>
          <cell r="J15031">
            <v>46104</v>
          </cell>
          <cell r="K15031">
            <v>1</v>
          </cell>
        </row>
        <row r="15032">
          <cell r="C15032" t="str">
            <v>李育儒</v>
          </cell>
          <cell r="J15032">
            <v>46105</v>
          </cell>
          <cell r="K15032">
            <v>1</v>
          </cell>
        </row>
        <row r="15033">
          <cell r="C15033" t="str">
            <v>李育儒</v>
          </cell>
          <cell r="J15033">
            <v>46105</v>
          </cell>
          <cell r="K15033">
            <v>1</v>
          </cell>
        </row>
        <row r="15034">
          <cell r="C15034" t="str">
            <v>李育儒</v>
          </cell>
          <cell r="J15034">
            <v>46105</v>
          </cell>
          <cell r="K15034">
            <v>6</v>
          </cell>
        </row>
        <row r="15035">
          <cell r="C15035" t="str">
            <v>李育儒</v>
          </cell>
          <cell r="J15035">
            <v>46106</v>
          </cell>
          <cell r="K15035">
            <v>8</v>
          </cell>
        </row>
        <row r="15036">
          <cell r="C15036" t="str">
            <v>李育儒</v>
          </cell>
          <cell r="J15036">
            <v>46113</v>
          </cell>
          <cell r="K15036">
            <v>4</v>
          </cell>
        </row>
        <row r="15037">
          <cell r="C15037" t="str">
            <v>李育儒</v>
          </cell>
          <cell r="J15037">
            <v>46113</v>
          </cell>
          <cell r="K15037">
            <v>4</v>
          </cell>
        </row>
        <row r="15038">
          <cell r="C15038" t="str">
            <v>李育儒</v>
          </cell>
          <cell r="J15038">
            <v>46114</v>
          </cell>
          <cell r="K15038">
            <v>3</v>
          </cell>
        </row>
        <row r="15039">
          <cell r="C15039" t="str">
            <v>李育儒</v>
          </cell>
          <cell r="J15039">
            <v>46114</v>
          </cell>
          <cell r="K15039">
            <v>1</v>
          </cell>
        </row>
        <row r="15040">
          <cell r="C15040" t="str">
            <v>李育儒</v>
          </cell>
          <cell r="J15040">
            <v>46114</v>
          </cell>
          <cell r="K15040">
            <v>4</v>
          </cell>
        </row>
        <row r="15041">
          <cell r="C15041" t="str">
            <v>李育儒</v>
          </cell>
          <cell r="J15041">
            <v>46119</v>
          </cell>
          <cell r="K15041">
            <v>6</v>
          </cell>
        </row>
        <row r="15042">
          <cell r="C15042" t="str">
            <v>李育儒</v>
          </cell>
          <cell r="J15042">
            <v>46119</v>
          </cell>
          <cell r="K15042">
            <v>2</v>
          </cell>
        </row>
        <row r="15043">
          <cell r="C15043" t="str">
            <v>李育儒</v>
          </cell>
          <cell r="J15043">
            <v>46120</v>
          </cell>
          <cell r="K15043">
            <v>3</v>
          </cell>
        </row>
        <row r="15044">
          <cell r="C15044" t="str">
            <v>李育儒</v>
          </cell>
          <cell r="J15044">
            <v>46120</v>
          </cell>
          <cell r="K15044">
            <v>5</v>
          </cell>
        </row>
        <row r="15045">
          <cell r="C15045" t="str">
            <v>李育儒</v>
          </cell>
          <cell r="J15045">
            <v>46121</v>
          </cell>
          <cell r="K15045">
            <v>8</v>
          </cell>
        </row>
        <row r="15046">
          <cell r="C15046" t="str">
            <v>李育儒</v>
          </cell>
          <cell r="J15046">
            <v>46122</v>
          </cell>
          <cell r="K15046">
            <v>7</v>
          </cell>
        </row>
        <row r="15047">
          <cell r="C15047" t="str">
            <v>李育儒</v>
          </cell>
          <cell r="J15047">
            <v>46122</v>
          </cell>
          <cell r="K15047">
            <v>1</v>
          </cell>
        </row>
        <row r="15048">
          <cell r="C15048" t="str">
            <v>李育儒</v>
          </cell>
          <cell r="J15048">
            <v>46125</v>
          </cell>
          <cell r="K15048">
            <v>4</v>
          </cell>
        </row>
        <row r="15049">
          <cell r="C15049" t="str">
            <v>李育儒</v>
          </cell>
          <cell r="J15049">
            <v>46125</v>
          </cell>
          <cell r="K15049">
            <v>4</v>
          </cell>
        </row>
        <row r="15050">
          <cell r="C15050" t="str">
            <v>李育儒</v>
          </cell>
          <cell r="J15050">
            <v>46126</v>
          </cell>
          <cell r="K15050">
            <v>6</v>
          </cell>
        </row>
        <row r="15051">
          <cell r="C15051" t="str">
            <v>李育儒</v>
          </cell>
          <cell r="J15051">
            <v>46126</v>
          </cell>
          <cell r="K15051">
            <v>2</v>
          </cell>
        </row>
        <row r="15052">
          <cell r="C15052" t="str">
            <v>李育儒</v>
          </cell>
          <cell r="J15052">
            <v>46127</v>
          </cell>
          <cell r="K15052">
            <v>3</v>
          </cell>
        </row>
        <row r="15053">
          <cell r="C15053" t="str">
            <v>李育儒</v>
          </cell>
          <cell r="J15053">
            <v>46127</v>
          </cell>
          <cell r="K15053">
            <v>4</v>
          </cell>
        </row>
        <row r="15054">
          <cell r="C15054" t="str">
            <v>李育儒</v>
          </cell>
          <cell r="J15054">
            <v>46127</v>
          </cell>
          <cell r="K15054">
            <v>1</v>
          </cell>
        </row>
        <row r="15055">
          <cell r="C15055" t="str">
            <v>李育儒</v>
          </cell>
          <cell r="J15055">
            <v>46128</v>
          </cell>
          <cell r="K15055">
            <v>4</v>
          </cell>
        </row>
        <row r="15056">
          <cell r="C15056" t="str">
            <v>李育儒</v>
          </cell>
          <cell r="J15056">
            <v>46128</v>
          </cell>
          <cell r="K15056">
            <v>4</v>
          </cell>
        </row>
        <row r="15057">
          <cell r="C15057" t="str">
            <v>李育儒</v>
          </cell>
          <cell r="J15057">
            <v>46129</v>
          </cell>
          <cell r="K15057">
            <v>6</v>
          </cell>
        </row>
        <row r="15058">
          <cell r="C15058" t="str">
            <v>李育儒</v>
          </cell>
          <cell r="J15058">
            <v>46129</v>
          </cell>
          <cell r="K15058">
            <v>2</v>
          </cell>
        </row>
        <row r="15059">
          <cell r="C15059" t="str">
            <v>李育儒</v>
          </cell>
          <cell r="J15059">
            <v>46132</v>
          </cell>
          <cell r="K15059">
            <v>8</v>
          </cell>
        </row>
        <row r="15060">
          <cell r="C15060" t="str">
            <v>李育儒</v>
          </cell>
          <cell r="J15060">
            <v>46133</v>
          </cell>
          <cell r="K15060">
            <v>3</v>
          </cell>
        </row>
        <row r="15061">
          <cell r="C15061" t="str">
            <v>李育儒</v>
          </cell>
          <cell r="J15061">
            <v>46133</v>
          </cell>
          <cell r="K15061">
            <v>4</v>
          </cell>
        </row>
        <row r="15062">
          <cell r="C15062" t="str">
            <v>李育儒</v>
          </cell>
          <cell r="J15062">
            <v>46133</v>
          </cell>
          <cell r="K15062">
            <v>1</v>
          </cell>
        </row>
        <row r="15063">
          <cell r="C15063" t="str">
            <v>李育儒</v>
          </cell>
          <cell r="J15063">
            <v>46134</v>
          </cell>
          <cell r="K15063">
            <v>7</v>
          </cell>
        </row>
        <row r="15064">
          <cell r="C15064" t="str">
            <v>李育儒</v>
          </cell>
          <cell r="J15064">
            <v>46134</v>
          </cell>
          <cell r="K15064">
            <v>1</v>
          </cell>
        </row>
        <row r="15065">
          <cell r="C15065" t="str">
            <v>李育儒</v>
          </cell>
          <cell r="J15065">
            <v>46135</v>
          </cell>
          <cell r="K15065">
            <v>1</v>
          </cell>
        </row>
        <row r="15066">
          <cell r="C15066" t="str">
            <v>李育儒</v>
          </cell>
          <cell r="J15066">
            <v>46135</v>
          </cell>
          <cell r="K15066">
            <v>1</v>
          </cell>
        </row>
        <row r="15067">
          <cell r="C15067" t="str">
            <v>李育儒</v>
          </cell>
          <cell r="J15067">
            <v>46135</v>
          </cell>
          <cell r="K15067">
            <v>6</v>
          </cell>
        </row>
        <row r="15068">
          <cell r="C15068" t="str">
            <v>李育儒</v>
          </cell>
          <cell r="J15068">
            <v>46136</v>
          </cell>
          <cell r="K15068">
            <v>8</v>
          </cell>
        </row>
        <row r="15069">
          <cell r="C15069" t="str">
            <v>李育儒</v>
          </cell>
          <cell r="J15069">
            <v>46139</v>
          </cell>
          <cell r="K15069">
            <v>8</v>
          </cell>
        </row>
        <row r="15070">
          <cell r="C15070" t="str">
            <v>李育儒</v>
          </cell>
          <cell r="J15070">
            <v>46140</v>
          </cell>
          <cell r="K15070">
            <v>1</v>
          </cell>
        </row>
        <row r="15071">
          <cell r="C15071" t="str">
            <v>李育儒</v>
          </cell>
          <cell r="J15071">
            <v>46140</v>
          </cell>
          <cell r="K15071">
            <v>7</v>
          </cell>
        </row>
        <row r="15072">
          <cell r="C15072" t="str">
            <v>李育儒</v>
          </cell>
          <cell r="J15072">
            <v>46141</v>
          </cell>
          <cell r="K15072">
            <v>3</v>
          </cell>
        </row>
        <row r="15073">
          <cell r="C15073" t="str">
            <v>李育儒</v>
          </cell>
          <cell r="J15073">
            <v>46141</v>
          </cell>
          <cell r="K15073">
            <v>4</v>
          </cell>
        </row>
        <row r="15074">
          <cell r="C15074" t="str">
            <v>李育儒</v>
          </cell>
          <cell r="J15074">
            <v>46141</v>
          </cell>
          <cell r="K15074">
            <v>1</v>
          </cell>
        </row>
        <row r="15075">
          <cell r="C15075" t="str">
            <v>李育儒</v>
          </cell>
          <cell r="J15075">
            <v>46142</v>
          </cell>
          <cell r="K15075">
            <v>1</v>
          </cell>
        </row>
        <row r="15076">
          <cell r="C15076" t="str">
            <v>李育儒</v>
          </cell>
          <cell r="J15076">
            <v>46142</v>
          </cell>
          <cell r="K15076">
            <v>1</v>
          </cell>
        </row>
        <row r="15077">
          <cell r="C15077" t="str">
            <v>李育儒</v>
          </cell>
          <cell r="J15077">
            <v>46142</v>
          </cell>
          <cell r="K15077">
            <v>6</v>
          </cell>
        </row>
        <row r="15078">
          <cell r="C15078" t="str">
            <v>李育儒</v>
          </cell>
          <cell r="J15078">
            <v>46146</v>
          </cell>
          <cell r="K15078">
            <v>8</v>
          </cell>
        </row>
        <row r="15079">
          <cell r="C15079" t="str">
            <v>李育儒</v>
          </cell>
          <cell r="J15079">
            <v>46147</v>
          </cell>
          <cell r="K15079">
            <v>8</v>
          </cell>
        </row>
        <row r="15080">
          <cell r="C15080" t="str">
            <v>李育儒</v>
          </cell>
          <cell r="J15080">
            <v>46148</v>
          </cell>
          <cell r="K15080">
            <v>8</v>
          </cell>
        </row>
        <row r="15081">
          <cell r="C15081" t="str">
            <v>李育儒</v>
          </cell>
          <cell r="J15081">
            <v>46149</v>
          </cell>
          <cell r="K15081">
            <v>1</v>
          </cell>
        </row>
        <row r="15082">
          <cell r="C15082" t="str">
            <v>李育儒</v>
          </cell>
          <cell r="J15082">
            <v>46149</v>
          </cell>
          <cell r="K15082">
            <v>4</v>
          </cell>
        </row>
        <row r="15083">
          <cell r="C15083" t="str">
            <v>李育儒</v>
          </cell>
          <cell r="J15083">
            <v>46149</v>
          </cell>
          <cell r="K15083">
            <v>3</v>
          </cell>
        </row>
        <row r="15084">
          <cell r="C15084" t="str">
            <v>李育儒</v>
          </cell>
          <cell r="J15084">
            <v>46153</v>
          </cell>
          <cell r="K15084">
            <v>3</v>
          </cell>
        </row>
        <row r="15085">
          <cell r="C15085" t="str">
            <v>李育儒</v>
          </cell>
          <cell r="J15085">
            <v>46153</v>
          </cell>
          <cell r="K15085">
            <v>1</v>
          </cell>
        </row>
        <row r="15086">
          <cell r="C15086" t="str">
            <v>李育儒</v>
          </cell>
          <cell r="J15086">
            <v>46153</v>
          </cell>
          <cell r="K15086">
            <v>4</v>
          </cell>
        </row>
        <row r="15087">
          <cell r="C15087" t="str">
            <v>李育儒</v>
          </cell>
          <cell r="J15087">
            <v>46154</v>
          </cell>
          <cell r="K15087">
            <v>4</v>
          </cell>
        </row>
        <row r="15088">
          <cell r="C15088" t="str">
            <v>李育儒</v>
          </cell>
          <cell r="J15088">
            <v>46155</v>
          </cell>
          <cell r="K15088">
            <v>4</v>
          </cell>
        </row>
        <row r="15089">
          <cell r="C15089" t="str">
            <v>李育儒</v>
          </cell>
          <cell r="J15089">
            <v>46155</v>
          </cell>
          <cell r="K15089">
            <v>4</v>
          </cell>
        </row>
        <row r="15090">
          <cell r="C15090" t="str">
            <v>李育儒</v>
          </cell>
          <cell r="J15090">
            <v>46156</v>
          </cell>
          <cell r="K15090">
            <v>4</v>
          </cell>
        </row>
        <row r="15091">
          <cell r="C15091" t="str">
            <v>李育儒</v>
          </cell>
          <cell r="J15091">
            <v>46156</v>
          </cell>
          <cell r="K15091">
            <v>4</v>
          </cell>
        </row>
        <row r="15092">
          <cell r="C15092" t="str">
            <v>李育儒</v>
          </cell>
          <cell r="J15092">
            <v>46156</v>
          </cell>
          <cell r="K15092">
            <v>4</v>
          </cell>
        </row>
        <row r="15093">
          <cell r="C15093" t="str">
            <v>李育儒</v>
          </cell>
          <cell r="J15093">
            <v>46157</v>
          </cell>
          <cell r="K15093">
            <v>1</v>
          </cell>
        </row>
        <row r="15094">
          <cell r="C15094" t="str">
            <v>李育儒</v>
          </cell>
          <cell r="J15094">
            <v>46157</v>
          </cell>
          <cell r="K15094">
            <v>7</v>
          </cell>
        </row>
        <row r="15095">
          <cell r="C15095" t="str">
            <v>李育儒</v>
          </cell>
          <cell r="J15095">
            <v>46160</v>
          </cell>
          <cell r="K15095">
            <v>4</v>
          </cell>
        </row>
        <row r="15096">
          <cell r="C15096" t="str">
            <v>李育儒</v>
          </cell>
          <cell r="J15096">
            <v>46160</v>
          </cell>
          <cell r="K15096">
            <v>4</v>
          </cell>
        </row>
        <row r="15097">
          <cell r="C15097" t="str">
            <v>李育儒</v>
          </cell>
          <cell r="J15097">
            <v>46161</v>
          </cell>
          <cell r="K15097">
            <v>2</v>
          </cell>
        </row>
        <row r="15098">
          <cell r="C15098" t="str">
            <v>李育儒</v>
          </cell>
          <cell r="J15098">
            <v>46161</v>
          </cell>
          <cell r="K15098">
            <v>6</v>
          </cell>
        </row>
        <row r="15099">
          <cell r="C15099" t="str">
            <v>李育儒</v>
          </cell>
          <cell r="J15099">
            <v>46162</v>
          </cell>
          <cell r="K15099">
            <v>6</v>
          </cell>
        </row>
        <row r="15100">
          <cell r="C15100" t="str">
            <v>李育儒</v>
          </cell>
          <cell r="J15100">
            <v>46162</v>
          </cell>
          <cell r="K15100">
            <v>2</v>
          </cell>
        </row>
        <row r="15101">
          <cell r="C15101" t="str">
            <v>蔡譽麒</v>
          </cell>
          <cell r="J15101">
            <v>45754</v>
          </cell>
          <cell r="K15101">
            <v>8</v>
          </cell>
        </row>
        <row r="15102">
          <cell r="C15102" t="str">
            <v>蔡譽麒</v>
          </cell>
          <cell r="J15102">
            <v>45755</v>
          </cell>
          <cell r="K15102">
            <v>8</v>
          </cell>
        </row>
        <row r="15103">
          <cell r="C15103" t="str">
            <v>蔡譽麒</v>
          </cell>
          <cell r="J15103">
            <v>45756</v>
          </cell>
          <cell r="K15103">
            <v>8</v>
          </cell>
        </row>
        <row r="15104">
          <cell r="C15104" t="str">
            <v>蔡譽麒</v>
          </cell>
          <cell r="J15104">
            <v>45757</v>
          </cell>
          <cell r="K15104">
            <v>8</v>
          </cell>
        </row>
        <row r="15105">
          <cell r="C15105" t="str">
            <v>蔡譽麒</v>
          </cell>
          <cell r="J15105">
            <v>45758</v>
          </cell>
          <cell r="K15105">
            <v>6</v>
          </cell>
        </row>
        <row r="15106">
          <cell r="C15106" t="str">
            <v>蔡譽麒</v>
          </cell>
          <cell r="J15106">
            <v>45758</v>
          </cell>
          <cell r="K15106">
            <v>1</v>
          </cell>
        </row>
        <row r="15107">
          <cell r="C15107" t="str">
            <v>蔡譽麒</v>
          </cell>
          <cell r="J15107">
            <v>45758</v>
          </cell>
          <cell r="K15107">
            <v>1</v>
          </cell>
        </row>
        <row r="15108">
          <cell r="C15108" t="str">
            <v>蔡譽麒</v>
          </cell>
          <cell r="J15108">
            <v>45761</v>
          </cell>
          <cell r="K15108">
            <v>3</v>
          </cell>
        </row>
        <row r="15109">
          <cell r="C15109" t="str">
            <v>蔡譽麒</v>
          </cell>
          <cell r="J15109">
            <v>45761</v>
          </cell>
          <cell r="K15109">
            <v>5</v>
          </cell>
        </row>
        <row r="15110">
          <cell r="C15110" t="str">
            <v>蔡譽麒</v>
          </cell>
          <cell r="J15110">
            <v>45762</v>
          </cell>
          <cell r="K15110">
            <v>8</v>
          </cell>
        </row>
        <row r="15111">
          <cell r="C15111" t="str">
            <v>蔡譽麒</v>
          </cell>
          <cell r="J15111">
            <v>45763</v>
          </cell>
          <cell r="K15111">
            <v>8</v>
          </cell>
        </row>
        <row r="15112">
          <cell r="C15112" t="str">
            <v>蔡譽麒</v>
          </cell>
          <cell r="J15112">
            <v>45764</v>
          </cell>
          <cell r="K15112">
            <v>8</v>
          </cell>
        </row>
        <row r="15113">
          <cell r="C15113" t="str">
            <v>蔡譽麒</v>
          </cell>
          <cell r="J15113">
            <v>45765</v>
          </cell>
          <cell r="K15113">
            <v>8</v>
          </cell>
        </row>
        <row r="15114">
          <cell r="C15114" t="str">
            <v>蔡譽麒</v>
          </cell>
          <cell r="J15114">
            <v>45768</v>
          </cell>
          <cell r="K15114">
            <v>8</v>
          </cell>
        </row>
        <row r="15115">
          <cell r="C15115" t="str">
            <v>蔡譽麒</v>
          </cell>
          <cell r="J15115">
            <v>45769</v>
          </cell>
          <cell r="K15115">
            <v>4</v>
          </cell>
        </row>
        <row r="15116">
          <cell r="C15116" t="str">
            <v>蔡譽麒</v>
          </cell>
          <cell r="J15116">
            <v>45769</v>
          </cell>
          <cell r="K15116">
            <v>4</v>
          </cell>
        </row>
        <row r="15117">
          <cell r="C15117" t="str">
            <v>蔡譽麒</v>
          </cell>
          <cell r="J15117">
            <v>45770</v>
          </cell>
          <cell r="K15117">
            <v>1</v>
          </cell>
        </row>
        <row r="15118">
          <cell r="C15118" t="str">
            <v>蔡譽麒</v>
          </cell>
          <cell r="J15118">
            <v>45770</v>
          </cell>
          <cell r="K15118">
            <v>1</v>
          </cell>
        </row>
        <row r="15119">
          <cell r="C15119" t="str">
            <v>蔡譽麒</v>
          </cell>
          <cell r="J15119">
            <v>45770</v>
          </cell>
          <cell r="K15119">
            <v>6.5</v>
          </cell>
        </row>
        <row r="15120">
          <cell r="C15120" t="str">
            <v>蔡譽麒</v>
          </cell>
          <cell r="J15120">
            <v>45771</v>
          </cell>
          <cell r="K15120">
            <v>0.5</v>
          </cell>
        </row>
        <row r="15121">
          <cell r="C15121" t="str">
            <v>蔡譽麒</v>
          </cell>
          <cell r="J15121">
            <v>45771</v>
          </cell>
          <cell r="K15121">
            <v>5.5</v>
          </cell>
        </row>
        <row r="15122">
          <cell r="C15122" t="str">
            <v>蔡譽麒</v>
          </cell>
          <cell r="J15122">
            <v>45771</v>
          </cell>
          <cell r="K15122">
            <v>2</v>
          </cell>
        </row>
        <row r="15123">
          <cell r="C15123" t="str">
            <v>蔡譽麒</v>
          </cell>
          <cell r="J15123">
            <v>45772</v>
          </cell>
          <cell r="K15123">
            <v>8</v>
          </cell>
        </row>
        <row r="15124">
          <cell r="C15124" t="str">
            <v>蔡譽麒</v>
          </cell>
          <cell r="J15124">
            <v>45775</v>
          </cell>
          <cell r="K15124">
            <v>6</v>
          </cell>
        </row>
        <row r="15125">
          <cell r="C15125" t="str">
            <v>蔡譽麒</v>
          </cell>
          <cell r="J15125">
            <v>45775</v>
          </cell>
          <cell r="K15125">
            <v>1</v>
          </cell>
        </row>
        <row r="15126">
          <cell r="C15126" t="str">
            <v>蔡譽麒</v>
          </cell>
          <cell r="J15126">
            <v>45775</v>
          </cell>
          <cell r="K15126">
            <v>1</v>
          </cell>
        </row>
        <row r="15127">
          <cell r="C15127" t="str">
            <v>蔡譽麒</v>
          </cell>
          <cell r="J15127">
            <v>45776</v>
          </cell>
          <cell r="K15127">
            <v>5</v>
          </cell>
        </row>
        <row r="15128">
          <cell r="C15128" t="str">
            <v>蔡譽麒</v>
          </cell>
          <cell r="J15128">
            <v>45776</v>
          </cell>
          <cell r="K15128">
            <v>2</v>
          </cell>
        </row>
        <row r="15129">
          <cell r="C15129" t="str">
            <v>蔡譽麒</v>
          </cell>
          <cell r="J15129">
            <v>45776</v>
          </cell>
          <cell r="K15129">
            <v>1</v>
          </cell>
        </row>
        <row r="15130">
          <cell r="C15130" t="str">
            <v>蔡譽麒</v>
          </cell>
          <cell r="J15130">
            <v>45777</v>
          </cell>
          <cell r="K15130">
            <v>2</v>
          </cell>
        </row>
        <row r="15131">
          <cell r="C15131" t="str">
            <v>蔡譽麒</v>
          </cell>
          <cell r="J15131">
            <v>45777</v>
          </cell>
          <cell r="K15131">
            <v>2</v>
          </cell>
        </row>
        <row r="15132">
          <cell r="C15132" t="str">
            <v>蔡譽麒</v>
          </cell>
          <cell r="J15132">
            <v>45777</v>
          </cell>
          <cell r="K15132">
            <v>4</v>
          </cell>
        </row>
        <row r="15133">
          <cell r="C15133" t="str">
            <v>蔡譽麒</v>
          </cell>
          <cell r="J15133">
            <v>45779</v>
          </cell>
          <cell r="K15133">
            <v>6</v>
          </cell>
        </row>
        <row r="15134">
          <cell r="C15134" t="str">
            <v>蔡譽麒</v>
          </cell>
          <cell r="J15134">
            <v>45779</v>
          </cell>
          <cell r="K15134">
            <v>2</v>
          </cell>
        </row>
        <row r="15135">
          <cell r="C15135" t="str">
            <v>蔡譽麒</v>
          </cell>
          <cell r="J15135">
            <v>45782</v>
          </cell>
          <cell r="K15135">
            <v>4</v>
          </cell>
        </row>
        <row r="15136">
          <cell r="C15136" t="str">
            <v>蔡譽麒</v>
          </cell>
          <cell r="J15136">
            <v>45782</v>
          </cell>
          <cell r="K15136">
            <v>4</v>
          </cell>
        </row>
        <row r="15137">
          <cell r="C15137" t="str">
            <v>蔡譽麒</v>
          </cell>
          <cell r="J15137">
            <v>45783</v>
          </cell>
          <cell r="K15137">
            <v>6</v>
          </cell>
        </row>
        <row r="15138">
          <cell r="C15138" t="str">
            <v>蔡譽麒</v>
          </cell>
          <cell r="J15138">
            <v>45783</v>
          </cell>
          <cell r="K15138">
            <v>2</v>
          </cell>
        </row>
        <row r="15139">
          <cell r="C15139" t="str">
            <v>蔡譽麒</v>
          </cell>
          <cell r="J15139">
            <v>45784</v>
          </cell>
          <cell r="K15139">
            <v>8</v>
          </cell>
        </row>
        <row r="15140">
          <cell r="C15140" t="str">
            <v>蔡譽麒</v>
          </cell>
          <cell r="J15140">
            <v>45785</v>
          </cell>
          <cell r="K15140">
            <v>3.5</v>
          </cell>
        </row>
        <row r="15141">
          <cell r="C15141" t="str">
            <v>蔡譽麒</v>
          </cell>
          <cell r="J15141">
            <v>45785</v>
          </cell>
          <cell r="K15141">
            <v>0.5</v>
          </cell>
        </row>
        <row r="15142">
          <cell r="C15142" t="str">
            <v>蔡譽麒</v>
          </cell>
          <cell r="J15142">
            <v>45785</v>
          </cell>
          <cell r="K15142">
            <v>4</v>
          </cell>
        </row>
        <row r="15143">
          <cell r="C15143" t="str">
            <v>蔡譽麒</v>
          </cell>
          <cell r="J15143">
            <v>45786</v>
          </cell>
          <cell r="K15143">
            <v>2</v>
          </cell>
        </row>
        <row r="15144">
          <cell r="C15144" t="str">
            <v>蔡譽麒</v>
          </cell>
          <cell r="J15144">
            <v>45786</v>
          </cell>
          <cell r="K15144">
            <v>0.5</v>
          </cell>
        </row>
        <row r="15145">
          <cell r="C15145" t="str">
            <v>蔡譽麒</v>
          </cell>
          <cell r="J15145">
            <v>45786</v>
          </cell>
          <cell r="K15145">
            <v>5</v>
          </cell>
        </row>
        <row r="15146">
          <cell r="C15146" t="str">
            <v>蔡譽麒</v>
          </cell>
          <cell r="J15146">
            <v>45786</v>
          </cell>
          <cell r="K15146">
            <v>0.5</v>
          </cell>
        </row>
        <row r="15147">
          <cell r="C15147" t="str">
            <v>蔡譽麒</v>
          </cell>
          <cell r="J15147">
            <v>45789</v>
          </cell>
          <cell r="K15147">
            <v>4</v>
          </cell>
        </row>
        <row r="15148">
          <cell r="C15148" t="str">
            <v>蔡譽麒</v>
          </cell>
          <cell r="J15148">
            <v>45789</v>
          </cell>
          <cell r="K15148">
            <v>4</v>
          </cell>
        </row>
        <row r="15149">
          <cell r="C15149" t="str">
            <v>蔡譽麒</v>
          </cell>
          <cell r="J15149">
            <v>45790</v>
          </cell>
          <cell r="K15149">
            <v>4</v>
          </cell>
        </row>
        <row r="15150">
          <cell r="C15150" t="str">
            <v>蔡譽麒</v>
          </cell>
          <cell r="J15150">
            <v>45790</v>
          </cell>
          <cell r="K15150">
            <v>4</v>
          </cell>
        </row>
        <row r="15151">
          <cell r="C15151" t="str">
            <v>蔡譽麒</v>
          </cell>
          <cell r="J15151">
            <v>45791</v>
          </cell>
          <cell r="K15151">
            <v>5</v>
          </cell>
        </row>
        <row r="15152">
          <cell r="C15152" t="str">
            <v>蔡譽麒</v>
          </cell>
          <cell r="J15152">
            <v>45791</v>
          </cell>
          <cell r="K15152">
            <v>3</v>
          </cell>
        </row>
        <row r="15153">
          <cell r="C15153" t="str">
            <v>蔡譽麒</v>
          </cell>
          <cell r="J15153">
            <v>45792</v>
          </cell>
          <cell r="K15153">
            <v>5</v>
          </cell>
        </row>
        <row r="15154">
          <cell r="C15154" t="str">
            <v>蔡譽麒</v>
          </cell>
          <cell r="J15154">
            <v>45792</v>
          </cell>
          <cell r="K15154">
            <v>0.5</v>
          </cell>
        </row>
        <row r="15155">
          <cell r="C15155" t="str">
            <v>蔡譽麒</v>
          </cell>
          <cell r="J15155">
            <v>45792</v>
          </cell>
          <cell r="K15155">
            <v>2.5</v>
          </cell>
        </row>
        <row r="15156">
          <cell r="C15156" t="str">
            <v>蔡譽麒</v>
          </cell>
          <cell r="J15156">
            <v>45793</v>
          </cell>
          <cell r="K15156">
            <v>4</v>
          </cell>
        </row>
        <row r="15157">
          <cell r="C15157" t="str">
            <v>蔡譽麒</v>
          </cell>
          <cell r="J15157">
            <v>45793</v>
          </cell>
          <cell r="K15157">
            <v>3</v>
          </cell>
        </row>
        <row r="15158">
          <cell r="C15158" t="str">
            <v>蔡譽麒</v>
          </cell>
          <cell r="J15158">
            <v>45793</v>
          </cell>
          <cell r="K15158">
            <v>1</v>
          </cell>
        </row>
        <row r="15159">
          <cell r="C15159" t="str">
            <v>蔡譽麒</v>
          </cell>
          <cell r="J15159">
            <v>45796</v>
          </cell>
          <cell r="K15159">
            <v>3</v>
          </cell>
        </row>
        <row r="15160">
          <cell r="C15160" t="str">
            <v>蔡譽麒</v>
          </cell>
          <cell r="J15160">
            <v>45796</v>
          </cell>
          <cell r="K15160">
            <v>1.5</v>
          </cell>
        </row>
        <row r="15161">
          <cell r="C15161" t="str">
            <v>蔡譽麒</v>
          </cell>
          <cell r="J15161">
            <v>45796</v>
          </cell>
          <cell r="K15161">
            <v>3</v>
          </cell>
        </row>
        <row r="15162">
          <cell r="C15162" t="str">
            <v>蔡譽麒</v>
          </cell>
          <cell r="J15162">
            <v>45796</v>
          </cell>
          <cell r="K15162">
            <v>0.5</v>
          </cell>
        </row>
        <row r="15163">
          <cell r="C15163" t="str">
            <v>蔡譽麒</v>
          </cell>
          <cell r="J15163">
            <v>45797</v>
          </cell>
          <cell r="K15163">
            <v>1</v>
          </cell>
        </row>
        <row r="15164">
          <cell r="C15164" t="str">
            <v>蔡譽麒</v>
          </cell>
          <cell r="J15164">
            <v>45797</v>
          </cell>
          <cell r="K15164">
            <v>3</v>
          </cell>
        </row>
        <row r="15165">
          <cell r="C15165" t="str">
            <v>蔡譽麒</v>
          </cell>
          <cell r="J15165">
            <v>45797</v>
          </cell>
          <cell r="K15165">
            <v>2</v>
          </cell>
        </row>
        <row r="15166">
          <cell r="C15166" t="str">
            <v>蔡譽麒</v>
          </cell>
          <cell r="J15166">
            <v>45797</v>
          </cell>
          <cell r="K15166">
            <v>2</v>
          </cell>
        </row>
        <row r="15167">
          <cell r="C15167" t="str">
            <v>蔡譽麒</v>
          </cell>
          <cell r="J15167">
            <v>45798</v>
          </cell>
          <cell r="K15167">
            <v>1</v>
          </cell>
        </row>
        <row r="15168">
          <cell r="C15168" t="str">
            <v>蔡譽麒</v>
          </cell>
          <cell r="J15168">
            <v>45798</v>
          </cell>
          <cell r="K15168">
            <v>3</v>
          </cell>
        </row>
        <row r="15169">
          <cell r="C15169" t="str">
            <v>蔡譽麒</v>
          </cell>
          <cell r="J15169">
            <v>45798</v>
          </cell>
          <cell r="K15169">
            <v>4</v>
          </cell>
        </row>
        <row r="15170">
          <cell r="C15170" t="str">
            <v>蔡譽麒</v>
          </cell>
          <cell r="J15170">
            <v>45799</v>
          </cell>
          <cell r="K15170">
            <v>0.5</v>
          </cell>
        </row>
        <row r="15171">
          <cell r="C15171" t="str">
            <v>蔡譽麒</v>
          </cell>
          <cell r="J15171">
            <v>45799</v>
          </cell>
          <cell r="K15171">
            <v>2.5</v>
          </cell>
        </row>
        <row r="15172">
          <cell r="C15172" t="str">
            <v>蔡譽麒</v>
          </cell>
          <cell r="J15172">
            <v>45799</v>
          </cell>
          <cell r="K15172">
            <v>3</v>
          </cell>
        </row>
        <row r="15173">
          <cell r="C15173" t="str">
            <v>蔡譽麒</v>
          </cell>
          <cell r="J15173">
            <v>45799</v>
          </cell>
          <cell r="K15173">
            <v>2</v>
          </cell>
        </row>
        <row r="15174">
          <cell r="C15174" t="str">
            <v>蔡譽麒</v>
          </cell>
          <cell r="J15174">
            <v>45800</v>
          </cell>
          <cell r="K15174">
            <v>4</v>
          </cell>
        </row>
        <row r="15175">
          <cell r="C15175" t="str">
            <v>蔡譽麒</v>
          </cell>
          <cell r="J15175">
            <v>45800</v>
          </cell>
          <cell r="K15175">
            <v>1</v>
          </cell>
        </row>
        <row r="15176">
          <cell r="C15176" t="str">
            <v>蔡譽麒</v>
          </cell>
          <cell r="J15176">
            <v>45800</v>
          </cell>
          <cell r="K15176">
            <v>3</v>
          </cell>
        </row>
        <row r="15177">
          <cell r="C15177" t="str">
            <v>蔡譽麒</v>
          </cell>
          <cell r="J15177">
            <v>45803</v>
          </cell>
          <cell r="K15177">
            <v>4</v>
          </cell>
        </row>
        <row r="15178">
          <cell r="C15178" t="str">
            <v>蔡譽麒</v>
          </cell>
          <cell r="J15178">
            <v>45803</v>
          </cell>
          <cell r="K15178">
            <v>1</v>
          </cell>
        </row>
        <row r="15179">
          <cell r="C15179" t="str">
            <v>蔡譽麒</v>
          </cell>
          <cell r="J15179">
            <v>45803</v>
          </cell>
          <cell r="K15179">
            <v>3</v>
          </cell>
        </row>
        <row r="15180">
          <cell r="C15180" t="str">
            <v>蔡譽麒</v>
          </cell>
          <cell r="J15180">
            <v>45804</v>
          </cell>
          <cell r="K15180">
            <v>4</v>
          </cell>
        </row>
        <row r="15181">
          <cell r="C15181" t="str">
            <v>蔡譽麒</v>
          </cell>
          <cell r="J15181">
            <v>45804</v>
          </cell>
          <cell r="K15181">
            <v>4</v>
          </cell>
        </row>
        <row r="15182">
          <cell r="C15182" t="str">
            <v>蔡譽麒</v>
          </cell>
          <cell r="J15182">
            <v>45805</v>
          </cell>
          <cell r="K15182">
            <v>6</v>
          </cell>
        </row>
        <row r="15183">
          <cell r="C15183" t="str">
            <v>蔡譽麒</v>
          </cell>
          <cell r="J15183">
            <v>45805</v>
          </cell>
          <cell r="K15183">
            <v>2</v>
          </cell>
        </row>
        <row r="15184">
          <cell r="C15184" t="str">
            <v>蔡譽麒</v>
          </cell>
          <cell r="J15184">
            <v>45806</v>
          </cell>
          <cell r="K15184">
            <v>0.5</v>
          </cell>
        </row>
        <row r="15185">
          <cell r="C15185" t="str">
            <v>蔡譽麒</v>
          </cell>
          <cell r="J15185">
            <v>45806</v>
          </cell>
          <cell r="K15185">
            <v>2</v>
          </cell>
        </row>
        <row r="15186">
          <cell r="C15186" t="str">
            <v>蔡譽麒</v>
          </cell>
          <cell r="J15186">
            <v>45806</v>
          </cell>
          <cell r="K15186">
            <v>0.5</v>
          </cell>
        </row>
        <row r="15187">
          <cell r="C15187" t="str">
            <v>蔡譽麒</v>
          </cell>
          <cell r="J15187">
            <v>45806</v>
          </cell>
          <cell r="K15187">
            <v>5</v>
          </cell>
        </row>
        <row r="15188">
          <cell r="C15188" t="str">
            <v>蔡譽麒</v>
          </cell>
          <cell r="J15188">
            <v>45811</v>
          </cell>
          <cell r="K15188">
            <v>8</v>
          </cell>
        </row>
        <row r="15189">
          <cell r="C15189" t="str">
            <v>蔡譽麒</v>
          </cell>
          <cell r="J15189">
            <v>45812</v>
          </cell>
          <cell r="K15189">
            <v>7</v>
          </cell>
        </row>
        <row r="15190">
          <cell r="C15190" t="str">
            <v>蔡譽麒</v>
          </cell>
          <cell r="J15190">
            <v>45812</v>
          </cell>
          <cell r="K15190">
            <v>1</v>
          </cell>
        </row>
        <row r="15191">
          <cell r="C15191" t="str">
            <v>蔡譽麒</v>
          </cell>
          <cell r="J15191">
            <v>45813</v>
          </cell>
          <cell r="K15191">
            <v>0.5</v>
          </cell>
        </row>
        <row r="15192">
          <cell r="C15192" t="str">
            <v>蔡譽麒</v>
          </cell>
          <cell r="J15192">
            <v>45813</v>
          </cell>
          <cell r="K15192">
            <v>7.5</v>
          </cell>
        </row>
        <row r="15193">
          <cell r="C15193" t="str">
            <v>蔡譽麒</v>
          </cell>
          <cell r="J15193">
            <v>45814</v>
          </cell>
          <cell r="K15193">
            <v>6</v>
          </cell>
        </row>
        <row r="15194">
          <cell r="C15194" t="str">
            <v>蔡譽麒</v>
          </cell>
          <cell r="J15194">
            <v>45814</v>
          </cell>
          <cell r="K15194">
            <v>2</v>
          </cell>
        </row>
        <row r="15195">
          <cell r="C15195" t="str">
            <v>蔡譽麒</v>
          </cell>
          <cell r="J15195">
            <v>45817</v>
          </cell>
          <cell r="K15195">
            <v>6</v>
          </cell>
        </row>
        <row r="15196">
          <cell r="C15196" t="str">
            <v>蔡譽麒</v>
          </cell>
          <cell r="J15196">
            <v>45817</v>
          </cell>
          <cell r="K15196">
            <v>2</v>
          </cell>
        </row>
        <row r="15197">
          <cell r="C15197" t="str">
            <v>蔡譽麒</v>
          </cell>
          <cell r="J15197">
            <v>45818</v>
          </cell>
          <cell r="K15197">
            <v>4</v>
          </cell>
        </row>
        <row r="15198">
          <cell r="C15198" t="str">
            <v>蔡譽麒</v>
          </cell>
          <cell r="J15198">
            <v>45818</v>
          </cell>
          <cell r="K15198">
            <v>4</v>
          </cell>
        </row>
        <row r="15199">
          <cell r="C15199" t="str">
            <v>蔡譽麒</v>
          </cell>
          <cell r="J15199">
            <v>45819</v>
          </cell>
          <cell r="K15199">
            <v>0.5</v>
          </cell>
        </row>
        <row r="15200">
          <cell r="C15200" t="str">
            <v>蔡譽麒</v>
          </cell>
          <cell r="J15200">
            <v>45819</v>
          </cell>
          <cell r="K15200">
            <v>7.5</v>
          </cell>
        </row>
        <row r="15201">
          <cell r="C15201" t="str">
            <v>蔡譽麒</v>
          </cell>
          <cell r="J15201">
            <v>45820</v>
          </cell>
          <cell r="K15201">
            <v>4</v>
          </cell>
        </row>
        <row r="15202">
          <cell r="C15202" t="str">
            <v>蔡譽麒</v>
          </cell>
          <cell r="J15202">
            <v>45820</v>
          </cell>
          <cell r="K15202">
            <v>1</v>
          </cell>
        </row>
        <row r="15203">
          <cell r="C15203" t="str">
            <v>蔡譽麒</v>
          </cell>
          <cell r="J15203">
            <v>45820</v>
          </cell>
          <cell r="K15203">
            <v>3</v>
          </cell>
        </row>
        <row r="15204">
          <cell r="C15204" t="str">
            <v>蔡譽麒</v>
          </cell>
          <cell r="J15204">
            <v>45821</v>
          </cell>
          <cell r="K15204">
            <v>4</v>
          </cell>
        </row>
        <row r="15205">
          <cell r="C15205" t="str">
            <v>蔡譽麒</v>
          </cell>
          <cell r="J15205">
            <v>45821</v>
          </cell>
          <cell r="K15205">
            <v>3</v>
          </cell>
        </row>
        <row r="15206">
          <cell r="C15206" t="str">
            <v>蔡譽麒</v>
          </cell>
          <cell r="J15206">
            <v>45821</v>
          </cell>
          <cell r="K15206">
            <v>1</v>
          </cell>
        </row>
        <row r="15207">
          <cell r="C15207" t="str">
            <v>蔡譽麒</v>
          </cell>
          <cell r="J15207">
            <v>45824</v>
          </cell>
          <cell r="K15207">
            <v>3</v>
          </cell>
        </row>
        <row r="15208">
          <cell r="C15208" t="str">
            <v>蔡譽麒</v>
          </cell>
          <cell r="J15208">
            <v>45824</v>
          </cell>
          <cell r="K15208">
            <v>5</v>
          </cell>
        </row>
        <row r="15209">
          <cell r="C15209" t="str">
            <v>蔡譽麒</v>
          </cell>
          <cell r="J15209">
            <v>45825</v>
          </cell>
          <cell r="K15209">
            <v>3</v>
          </cell>
        </row>
        <row r="15210">
          <cell r="C15210" t="str">
            <v>蔡譽麒</v>
          </cell>
          <cell r="J15210">
            <v>45825</v>
          </cell>
          <cell r="K15210">
            <v>1</v>
          </cell>
        </row>
        <row r="15211">
          <cell r="C15211" t="str">
            <v>蔡譽麒</v>
          </cell>
          <cell r="J15211">
            <v>45825</v>
          </cell>
          <cell r="K15211">
            <v>4</v>
          </cell>
        </row>
        <row r="15212">
          <cell r="C15212" t="str">
            <v>蔡譽麒</v>
          </cell>
          <cell r="J15212">
            <v>45826</v>
          </cell>
          <cell r="K15212">
            <v>2</v>
          </cell>
        </row>
        <row r="15213">
          <cell r="C15213" t="str">
            <v>蔡譽麒</v>
          </cell>
          <cell r="J15213">
            <v>45826</v>
          </cell>
          <cell r="K15213">
            <v>2</v>
          </cell>
        </row>
        <row r="15214">
          <cell r="C15214" t="str">
            <v>蔡譽麒</v>
          </cell>
          <cell r="J15214">
            <v>45826</v>
          </cell>
          <cell r="K15214">
            <v>4</v>
          </cell>
        </row>
        <row r="15215">
          <cell r="C15215" t="str">
            <v>蔡譽麒</v>
          </cell>
          <cell r="J15215">
            <v>45827</v>
          </cell>
          <cell r="K15215">
            <v>0.5</v>
          </cell>
        </row>
        <row r="15216">
          <cell r="C15216" t="str">
            <v>蔡譽麒</v>
          </cell>
          <cell r="J15216">
            <v>45827</v>
          </cell>
          <cell r="K15216">
            <v>5.5</v>
          </cell>
        </row>
        <row r="15217">
          <cell r="C15217" t="str">
            <v>蔡譽麒</v>
          </cell>
          <cell r="J15217">
            <v>45827</v>
          </cell>
          <cell r="K15217">
            <v>2</v>
          </cell>
        </row>
        <row r="15218">
          <cell r="C15218" t="str">
            <v>蔡譽麒</v>
          </cell>
          <cell r="J15218">
            <v>45828</v>
          </cell>
          <cell r="K15218">
            <v>8</v>
          </cell>
        </row>
        <row r="15219">
          <cell r="C15219" t="str">
            <v>蔡譽麒</v>
          </cell>
          <cell r="J15219">
            <v>45831</v>
          </cell>
          <cell r="K15219">
            <v>4</v>
          </cell>
        </row>
        <row r="15220">
          <cell r="C15220" t="str">
            <v>蔡譽麒</v>
          </cell>
          <cell r="J15220">
            <v>45831</v>
          </cell>
          <cell r="K15220">
            <v>4</v>
          </cell>
        </row>
        <row r="15221">
          <cell r="C15221" t="str">
            <v>蔡譽麒</v>
          </cell>
          <cell r="J15221">
            <v>45832</v>
          </cell>
          <cell r="K15221">
            <v>1</v>
          </cell>
        </row>
        <row r="15222">
          <cell r="C15222" t="str">
            <v>蔡譽麒</v>
          </cell>
          <cell r="J15222">
            <v>45832</v>
          </cell>
          <cell r="K15222">
            <v>6</v>
          </cell>
        </row>
        <row r="15223">
          <cell r="C15223" t="str">
            <v>蔡譽麒</v>
          </cell>
          <cell r="J15223">
            <v>45832</v>
          </cell>
          <cell r="K15223">
            <v>1</v>
          </cell>
        </row>
        <row r="15224">
          <cell r="C15224" t="str">
            <v>蔡譽麒</v>
          </cell>
          <cell r="J15224">
            <v>45833</v>
          </cell>
          <cell r="K15224">
            <v>1</v>
          </cell>
        </row>
        <row r="15225">
          <cell r="C15225" t="str">
            <v>蔡譽麒</v>
          </cell>
          <cell r="J15225">
            <v>45833</v>
          </cell>
          <cell r="K15225">
            <v>4</v>
          </cell>
        </row>
        <row r="15226">
          <cell r="C15226" t="str">
            <v>蔡譽麒</v>
          </cell>
          <cell r="J15226">
            <v>45833</v>
          </cell>
          <cell r="K15226">
            <v>3</v>
          </cell>
        </row>
        <row r="15227">
          <cell r="C15227" t="str">
            <v>蔡譽麒</v>
          </cell>
          <cell r="J15227">
            <v>45834</v>
          </cell>
          <cell r="K15227">
            <v>3</v>
          </cell>
        </row>
        <row r="15228">
          <cell r="C15228" t="str">
            <v>蔡譽麒</v>
          </cell>
          <cell r="J15228">
            <v>45834</v>
          </cell>
          <cell r="K15228">
            <v>4</v>
          </cell>
        </row>
        <row r="15229">
          <cell r="C15229" t="str">
            <v>蔡譽麒</v>
          </cell>
          <cell r="J15229">
            <v>45834</v>
          </cell>
          <cell r="K15229">
            <v>1</v>
          </cell>
        </row>
        <row r="15230">
          <cell r="C15230" t="str">
            <v>王瀚霆</v>
          </cell>
          <cell r="J15230">
            <v>45470</v>
          </cell>
          <cell r="K15230">
            <v>2</v>
          </cell>
        </row>
        <row r="15231">
          <cell r="C15231" t="str">
            <v>王瀚霆</v>
          </cell>
          <cell r="J15231">
            <v>45470</v>
          </cell>
          <cell r="K15231">
            <v>1</v>
          </cell>
        </row>
        <row r="15232">
          <cell r="C15232" t="str">
            <v>王瀚霆</v>
          </cell>
          <cell r="F15232" t="str">
            <v>M240101R1</v>
          </cell>
          <cell r="J15232">
            <v>45470</v>
          </cell>
          <cell r="K15232">
            <v>3.5</v>
          </cell>
        </row>
        <row r="15233">
          <cell r="C15233" t="str">
            <v>王瀚霆</v>
          </cell>
          <cell r="F15233" t="str">
            <v>M230103R1</v>
          </cell>
          <cell r="J15233">
            <v>45470</v>
          </cell>
          <cell r="K15233">
            <v>2.5</v>
          </cell>
        </row>
        <row r="15234">
          <cell r="C15234" t="str">
            <v>王瀚霆</v>
          </cell>
          <cell r="F15234" t="str">
            <v>K231101R1</v>
          </cell>
          <cell r="J15234">
            <v>45470</v>
          </cell>
          <cell r="K15234">
            <v>0.5</v>
          </cell>
        </row>
        <row r="15235">
          <cell r="C15235" t="str">
            <v>王瀚霆</v>
          </cell>
          <cell r="J15235">
            <v>45471</v>
          </cell>
          <cell r="K15235">
            <v>5</v>
          </cell>
        </row>
        <row r="15236">
          <cell r="C15236" t="str">
            <v>王瀚霆</v>
          </cell>
          <cell r="F15236" t="str">
            <v>K220401R2</v>
          </cell>
          <cell r="J15236">
            <v>45471</v>
          </cell>
          <cell r="K15236">
            <v>1.5</v>
          </cell>
        </row>
        <row r="15237">
          <cell r="C15237" t="str">
            <v>王瀚霆</v>
          </cell>
          <cell r="F15237" t="str">
            <v>M240101R1</v>
          </cell>
          <cell r="J15237">
            <v>45471</v>
          </cell>
          <cell r="K15237">
            <v>2</v>
          </cell>
        </row>
        <row r="15238">
          <cell r="C15238" t="str">
            <v>王瀚霆</v>
          </cell>
          <cell r="J15238">
            <v>45474</v>
          </cell>
          <cell r="K15238">
            <v>1</v>
          </cell>
        </row>
        <row r="15239">
          <cell r="C15239" t="str">
            <v>王瀚霆</v>
          </cell>
          <cell r="F15239" t="str">
            <v>M240101R1</v>
          </cell>
          <cell r="J15239">
            <v>45474</v>
          </cell>
          <cell r="K15239">
            <v>1</v>
          </cell>
        </row>
        <row r="15240">
          <cell r="C15240" t="str">
            <v>王瀚霆</v>
          </cell>
          <cell r="F15240" t="str">
            <v>M230601R1</v>
          </cell>
          <cell r="J15240">
            <v>45474</v>
          </cell>
          <cell r="K15240">
            <v>0.5</v>
          </cell>
        </row>
        <row r="15241">
          <cell r="C15241" t="str">
            <v>王瀚霆</v>
          </cell>
          <cell r="F15241" t="str">
            <v>M230602R1</v>
          </cell>
          <cell r="J15241">
            <v>45474</v>
          </cell>
          <cell r="K15241">
            <v>1.5</v>
          </cell>
        </row>
        <row r="15242">
          <cell r="C15242" t="str">
            <v>王瀚霆</v>
          </cell>
          <cell r="J15242">
            <v>45474</v>
          </cell>
          <cell r="K15242">
            <v>1.5</v>
          </cell>
        </row>
        <row r="15243">
          <cell r="C15243" t="str">
            <v>王瀚霆</v>
          </cell>
          <cell r="F15243" t="str">
            <v>M240101R1</v>
          </cell>
          <cell r="J15243">
            <v>45474</v>
          </cell>
          <cell r="K15243">
            <v>1</v>
          </cell>
        </row>
        <row r="15244">
          <cell r="C15244" t="str">
            <v>王瀚霆</v>
          </cell>
          <cell r="F15244" t="str">
            <v>K231101R1</v>
          </cell>
          <cell r="J15244">
            <v>45474</v>
          </cell>
          <cell r="K15244">
            <v>1.5</v>
          </cell>
        </row>
        <row r="15245">
          <cell r="C15245" t="str">
            <v>王瀚霆</v>
          </cell>
          <cell r="F15245" t="str">
            <v>M230601R1</v>
          </cell>
          <cell r="J15245">
            <v>45474</v>
          </cell>
          <cell r="K15245">
            <v>1.5</v>
          </cell>
        </row>
        <row r="15246">
          <cell r="C15246" t="str">
            <v>王瀚霆</v>
          </cell>
          <cell r="J15246">
            <v>45475</v>
          </cell>
          <cell r="K15246">
            <v>2</v>
          </cell>
        </row>
        <row r="15247">
          <cell r="C15247" t="str">
            <v>王瀚霆</v>
          </cell>
          <cell r="F15247" t="str">
            <v>M240101R1</v>
          </cell>
          <cell r="J15247">
            <v>45475</v>
          </cell>
          <cell r="K15247">
            <v>2</v>
          </cell>
        </row>
        <row r="15248">
          <cell r="C15248" t="str">
            <v>王瀚霆</v>
          </cell>
          <cell r="F15248" t="str">
            <v>K220401R2</v>
          </cell>
          <cell r="J15248">
            <v>45475</v>
          </cell>
          <cell r="K15248">
            <v>2</v>
          </cell>
        </row>
        <row r="15249">
          <cell r="C15249" t="str">
            <v>王瀚霆</v>
          </cell>
          <cell r="F15249" t="str">
            <v>M230103R1</v>
          </cell>
          <cell r="J15249">
            <v>45475</v>
          </cell>
          <cell r="K15249">
            <v>2.5</v>
          </cell>
        </row>
        <row r="15250">
          <cell r="C15250" t="str">
            <v>王瀚霆</v>
          </cell>
          <cell r="F15250" t="str">
            <v>K231101R1</v>
          </cell>
          <cell r="J15250">
            <v>45475</v>
          </cell>
          <cell r="K15250">
            <v>1</v>
          </cell>
        </row>
        <row r="15251">
          <cell r="C15251" t="str">
            <v>王瀚霆</v>
          </cell>
          <cell r="F15251" t="str">
            <v>M230103R1</v>
          </cell>
          <cell r="J15251">
            <v>45476</v>
          </cell>
          <cell r="K15251">
            <v>2.5</v>
          </cell>
        </row>
        <row r="15252">
          <cell r="C15252" t="str">
            <v>王瀚霆</v>
          </cell>
          <cell r="F15252" t="str">
            <v>K220401R2</v>
          </cell>
          <cell r="J15252">
            <v>45476</v>
          </cell>
          <cell r="K15252">
            <v>2</v>
          </cell>
        </row>
        <row r="15253">
          <cell r="C15253" t="str">
            <v>王瀚霆</v>
          </cell>
          <cell r="F15253" t="str">
            <v>K231101R1</v>
          </cell>
          <cell r="J15253">
            <v>45476</v>
          </cell>
          <cell r="K15253">
            <v>5</v>
          </cell>
        </row>
        <row r="15254">
          <cell r="C15254" t="str">
            <v>王瀚霆</v>
          </cell>
          <cell r="J15254">
            <v>45477</v>
          </cell>
          <cell r="K15254">
            <v>1</v>
          </cell>
        </row>
        <row r="15255">
          <cell r="C15255" t="str">
            <v>王瀚霆</v>
          </cell>
          <cell r="F15255" t="str">
            <v>M240101R1</v>
          </cell>
          <cell r="J15255">
            <v>45477</v>
          </cell>
          <cell r="K15255">
            <v>3.5</v>
          </cell>
        </row>
        <row r="15256">
          <cell r="C15256" t="str">
            <v>王瀚霆</v>
          </cell>
          <cell r="F15256" t="str">
            <v>K220401R2</v>
          </cell>
          <cell r="J15256">
            <v>45477</v>
          </cell>
          <cell r="K15256">
            <v>1</v>
          </cell>
        </row>
        <row r="15257">
          <cell r="C15257" t="str">
            <v>王瀚霆</v>
          </cell>
          <cell r="F15257" t="str">
            <v>M230103R1</v>
          </cell>
          <cell r="J15257">
            <v>45477</v>
          </cell>
          <cell r="K15257">
            <v>4</v>
          </cell>
        </row>
        <row r="15258">
          <cell r="C15258" t="str">
            <v>王瀚霆</v>
          </cell>
          <cell r="F15258" t="str">
            <v>M240101R1</v>
          </cell>
          <cell r="J15258">
            <v>45478</v>
          </cell>
          <cell r="K15258">
            <v>2.5</v>
          </cell>
        </row>
        <row r="15259">
          <cell r="C15259" t="str">
            <v>王瀚霆</v>
          </cell>
          <cell r="F15259" t="str">
            <v>M230103R1</v>
          </cell>
          <cell r="J15259">
            <v>45478</v>
          </cell>
          <cell r="K15259">
            <v>2</v>
          </cell>
        </row>
        <row r="15260">
          <cell r="C15260" t="str">
            <v>王瀚霆</v>
          </cell>
          <cell r="F15260" t="str">
            <v>M230103R1</v>
          </cell>
          <cell r="J15260">
            <v>45478</v>
          </cell>
          <cell r="K15260">
            <v>1.5</v>
          </cell>
        </row>
        <row r="15261">
          <cell r="C15261" t="str">
            <v>王瀚霆</v>
          </cell>
          <cell r="F15261" t="str">
            <v>M230103R1</v>
          </cell>
          <cell r="J15261">
            <v>45478</v>
          </cell>
          <cell r="K15261">
            <v>2.5</v>
          </cell>
        </row>
        <row r="15262">
          <cell r="C15262" t="str">
            <v>王瀚霆</v>
          </cell>
          <cell r="F15262" t="str">
            <v>M230601R1</v>
          </cell>
          <cell r="J15262">
            <v>45478</v>
          </cell>
          <cell r="K15262">
            <v>1</v>
          </cell>
        </row>
        <row r="15263">
          <cell r="C15263" t="str">
            <v>王瀚霆</v>
          </cell>
          <cell r="J15263">
            <v>45481</v>
          </cell>
          <cell r="K15263">
            <v>1</v>
          </cell>
        </row>
        <row r="15264">
          <cell r="C15264" t="str">
            <v>王瀚霆</v>
          </cell>
          <cell r="J15264">
            <v>45481</v>
          </cell>
          <cell r="K15264">
            <v>1.5</v>
          </cell>
        </row>
        <row r="15265">
          <cell r="C15265" t="str">
            <v>王瀚霆</v>
          </cell>
          <cell r="J15265">
            <v>45481</v>
          </cell>
          <cell r="K15265">
            <v>1.5</v>
          </cell>
        </row>
        <row r="15266">
          <cell r="C15266" t="str">
            <v>王瀚霆</v>
          </cell>
          <cell r="J15266">
            <v>45481</v>
          </cell>
          <cell r="K15266">
            <v>3</v>
          </cell>
        </row>
        <row r="15267">
          <cell r="C15267" t="str">
            <v>王瀚霆</v>
          </cell>
          <cell r="F15267" t="str">
            <v>K231101R1</v>
          </cell>
          <cell r="J15267">
            <v>45481</v>
          </cell>
          <cell r="K15267">
            <v>1.5</v>
          </cell>
        </row>
        <row r="15268">
          <cell r="C15268" t="str">
            <v>王瀚霆</v>
          </cell>
          <cell r="F15268" t="str">
            <v>K180702R1</v>
          </cell>
          <cell r="J15268">
            <v>45481</v>
          </cell>
          <cell r="K15268">
            <v>1</v>
          </cell>
        </row>
        <row r="15269">
          <cell r="C15269" t="str">
            <v>王瀚霆</v>
          </cell>
          <cell r="J15269">
            <v>45482</v>
          </cell>
          <cell r="K15269">
            <v>1</v>
          </cell>
        </row>
        <row r="15270">
          <cell r="C15270" t="str">
            <v>王瀚霆</v>
          </cell>
          <cell r="F15270" t="str">
            <v>M230103R1</v>
          </cell>
          <cell r="J15270">
            <v>45482</v>
          </cell>
          <cell r="K15270">
            <v>1.5</v>
          </cell>
        </row>
        <row r="15271">
          <cell r="C15271" t="str">
            <v>王瀚霆</v>
          </cell>
          <cell r="F15271" t="str">
            <v>K231101R1</v>
          </cell>
          <cell r="J15271">
            <v>45482</v>
          </cell>
          <cell r="K15271">
            <v>1</v>
          </cell>
        </row>
        <row r="15272">
          <cell r="C15272" t="str">
            <v>王瀚霆</v>
          </cell>
          <cell r="F15272" t="str">
            <v>K180702R1</v>
          </cell>
          <cell r="J15272">
            <v>45482</v>
          </cell>
          <cell r="K15272">
            <v>6</v>
          </cell>
        </row>
        <row r="15273">
          <cell r="C15273" t="str">
            <v>王瀚霆</v>
          </cell>
          <cell r="F15273" t="str">
            <v>M230103R1</v>
          </cell>
          <cell r="J15273">
            <v>45483</v>
          </cell>
          <cell r="K15273">
            <v>2</v>
          </cell>
        </row>
        <row r="15274">
          <cell r="C15274" t="str">
            <v>王瀚霆</v>
          </cell>
          <cell r="F15274" t="str">
            <v>M230601R1</v>
          </cell>
          <cell r="J15274">
            <v>45483</v>
          </cell>
          <cell r="K15274">
            <v>1</v>
          </cell>
        </row>
        <row r="15275">
          <cell r="C15275" t="str">
            <v>王瀚霆</v>
          </cell>
          <cell r="F15275" t="str">
            <v>K231101R1</v>
          </cell>
          <cell r="J15275">
            <v>45483</v>
          </cell>
          <cell r="K15275">
            <v>0.5</v>
          </cell>
        </row>
        <row r="15276">
          <cell r="C15276" t="str">
            <v>王瀚霆</v>
          </cell>
          <cell r="F15276" t="str">
            <v>M240101R1</v>
          </cell>
          <cell r="J15276">
            <v>45483</v>
          </cell>
          <cell r="K15276">
            <v>0.5</v>
          </cell>
        </row>
        <row r="15277">
          <cell r="C15277" t="str">
            <v>王瀚霆</v>
          </cell>
          <cell r="F15277" t="str">
            <v>M230602R1</v>
          </cell>
          <cell r="J15277">
            <v>45483</v>
          </cell>
          <cell r="K15277">
            <v>0.5</v>
          </cell>
        </row>
        <row r="15278">
          <cell r="C15278" t="str">
            <v>王瀚霆</v>
          </cell>
          <cell r="J15278">
            <v>45483</v>
          </cell>
          <cell r="K15278">
            <v>1</v>
          </cell>
        </row>
        <row r="15279">
          <cell r="C15279" t="str">
            <v>王瀚霆</v>
          </cell>
          <cell r="F15279" t="str">
            <v>M230601R1</v>
          </cell>
          <cell r="J15279">
            <v>45483</v>
          </cell>
          <cell r="K15279">
            <v>1.5</v>
          </cell>
        </row>
        <row r="15280">
          <cell r="C15280" t="str">
            <v>王瀚霆</v>
          </cell>
          <cell r="F15280" t="str">
            <v>K180702R1</v>
          </cell>
          <cell r="J15280">
            <v>45483</v>
          </cell>
          <cell r="K15280">
            <v>2.5</v>
          </cell>
        </row>
        <row r="15281">
          <cell r="C15281" t="str">
            <v>王瀚霆</v>
          </cell>
          <cell r="J15281">
            <v>45484</v>
          </cell>
          <cell r="K15281">
            <v>3</v>
          </cell>
        </row>
        <row r="15282">
          <cell r="C15282" t="str">
            <v>王瀚霆</v>
          </cell>
          <cell r="F15282" t="str">
            <v>M240101R1</v>
          </cell>
          <cell r="J15282">
            <v>45484</v>
          </cell>
          <cell r="K15282">
            <v>2</v>
          </cell>
        </row>
        <row r="15283">
          <cell r="C15283" t="str">
            <v>王瀚霆</v>
          </cell>
          <cell r="F15283" t="str">
            <v>K180702R1</v>
          </cell>
          <cell r="J15283">
            <v>45484</v>
          </cell>
          <cell r="K15283">
            <v>1</v>
          </cell>
        </row>
        <row r="15284">
          <cell r="C15284" t="str">
            <v>王瀚霆</v>
          </cell>
          <cell r="F15284" t="str">
            <v>K180702R1</v>
          </cell>
          <cell r="J15284">
            <v>45484</v>
          </cell>
          <cell r="K15284">
            <v>2.5</v>
          </cell>
        </row>
        <row r="15285">
          <cell r="C15285" t="str">
            <v>王瀚霆</v>
          </cell>
          <cell r="F15285" t="str">
            <v>K231101R1</v>
          </cell>
          <cell r="J15285">
            <v>45484</v>
          </cell>
          <cell r="K15285">
            <v>1</v>
          </cell>
        </row>
        <row r="15286">
          <cell r="C15286" t="str">
            <v>王瀚霆</v>
          </cell>
          <cell r="F15286" t="str">
            <v>M240101R1</v>
          </cell>
          <cell r="J15286">
            <v>45485</v>
          </cell>
          <cell r="K15286">
            <v>3</v>
          </cell>
        </row>
        <row r="15287">
          <cell r="C15287" t="str">
            <v>王瀚霆</v>
          </cell>
          <cell r="F15287" t="str">
            <v>M230103R1</v>
          </cell>
          <cell r="J15287">
            <v>45485</v>
          </cell>
          <cell r="K15287">
            <v>3.5</v>
          </cell>
        </row>
        <row r="15288">
          <cell r="C15288" t="str">
            <v>王瀚霆</v>
          </cell>
          <cell r="F15288" t="str">
            <v>M230601R1</v>
          </cell>
          <cell r="J15288">
            <v>45485</v>
          </cell>
          <cell r="K15288">
            <v>3</v>
          </cell>
        </row>
        <row r="15289">
          <cell r="C15289" t="str">
            <v>王瀚霆</v>
          </cell>
          <cell r="F15289" t="str">
            <v>M230601R1</v>
          </cell>
          <cell r="J15289">
            <v>45488</v>
          </cell>
          <cell r="K15289">
            <v>1</v>
          </cell>
        </row>
        <row r="15290">
          <cell r="C15290" t="str">
            <v>王瀚霆</v>
          </cell>
          <cell r="J15290">
            <v>45488</v>
          </cell>
          <cell r="K15290">
            <v>2.5</v>
          </cell>
        </row>
        <row r="15291">
          <cell r="C15291" t="str">
            <v>王瀚霆</v>
          </cell>
          <cell r="J15291">
            <v>45488</v>
          </cell>
          <cell r="K15291">
            <v>0.5</v>
          </cell>
        </row>
        <row r="15292">
          <cell r="C15292" t="str">
            <v>王瀚霆</v>
          </cell>
          <cell r="J15292">
            <v>45488</v>
          </cell>
          <cell r="K15292">
            <v>1</v>
          </cell>
        </row>
        <row r="15293">
          <cell r="C15293" t="str">
            <v>王瀚霆</v>
          </cell>
          <cell r="F15293" t="str">
            <v>M230103R1</v>
          </cell>
          <cell r="J15293">
            <v>45488</v>
          </cell>
          <cell r="K15293">
            <v>4.5</v>
          </cell>
        </row>
        <row r="15294">
          <cell r="C15294" t="str">
            <v>王瀚霆</v>
          </cell>
          <cell r="J15294">
            <v>45489</v>
          </cell>
          <cell r="K15294">
            <v>1.5</v>
          </cell>
        </row>
        <row r="15295">
          <cell r="C15295" t="str">
            <v>王瀚霆</v>
          </cell>
          <cell r="F15295" t="str">
            <v>M230103R1</v>
          </cell>
          <cell r="J15295">
            <v>45489</v>
          </cell>
          <cell r="K15295">
            <v>2</v>
          </cell>
        </row>
        <row r="15296">
          <cell r="C15296" t="str">
            <v>王瀚霆</v>
          </cell>
          <cell r="F15296" t="str">
            <v>M230103R1</v>
          </cell>
          <cell r="J15296">
            <v>45489</v>
          </cell>
          <cell r="K15296">
            <v>6</v>
          </cell>
        </row>
        <row r="15297">
          <cell r="C15297" t="str">
            <v>王瀚霆</v>
          </cell>
          <cell r="F15297" t="str">
            <v>M230103R1</v>
          </cell>
          <cell r="J15297">
            <v>45490</v>
          </cell>
          <cell r="K15297">
            <v>2</v>
          </cell>
        </row>
        <row r="15298">
          <cell r="C15298" t="str">
            <v>王瀚霆</v>
          </cell>
          <cell r="F15298" t="str">
            <v>M230103R1</v>
          </cell>
          <cell r="J15298">
            <v>45490</v>
          </cell>
          <cell r="K15298">
            <v>4</v>
          </cell>
        </row>
        <row r="15299">
          <cell r="C15299" t="str">
            <v>王瀚霆</v>
          </cell>
          <cell r="F15299" t="str">
            <v>M230103R1</v>
          </cell>
          <cell r="J15299">
            <v>45490</v>
          </cell>
          <cell r="K15299">
            <v>3.5</v>
          </cell>
        </row>
        <row r="15300">
          <cell r="C15300" t="str">
            <v>王瀚霆</v>
          </cell>
          <cell r="F15300" t="str">
            <v>M230103R1</v>
          </cell>
          <cell r="J15300">
            <v>45491</v>
          </cell>
          <cell r="K15300">
            <v>9.5</v>
          </cell>
        </row>
        <row r="15301">
          <cell r="C15301" t="str">
            <v>王瀚霆</v>
          </cell>
          <cell r="F15301" t="str">
            <v>M230103R1</v>
          </cell>
          <cell r="J15301">
            <v>45492</v>
          </cell>
          <cell r="K15301">
            <v>9.5</v>
          </cell>
        </row>
        <row r="15302">
          <cell r="C15302" t="str">
            <v>王瀚霆</v>
          </cell>
          <cell r="F15302" t="str">
            <v>M230103R1</v>
          </cell>
          <cell r="J15302">
            <v>45495</v>
          </cell>
          <cell r="K15302">
            <v>9.5</v>
          </cell>
        </row>
        <row r="15303">
          <cell r="C15303" t="str">
            <v>王瀚霆</v>
          </cell>
          <cell r="F15303" t="str">
            <v>M230103R1</v>
          </cell>
          <cell r="J15303">
            <v>45496</v>
          </cell>
          <cell r="K15303">
            <v>9.5</v>
          </cell>
        </row>
        <row r="15304">
          <cell r="C15304" t="str">
            <v>王瀚霆</v>
          </cell>
          <cell r="J15304">
            <v>45497</v>
          </cell>
          <cell r="K15304">
            <v>4.5</v>
          </cell>
        </row>
        <row r="15305">
          <cell r="C15305" t="str">
            <v>王瀚霆</v>
          </cell>
          <cell r="F15305" t="str">
            <v>M230103R1</v>
          </cell>
          <cell r="J15305">
            <v>45497</v>
          </cell>
          <cell r="K15305">
            <v>4</v>
          </cell>
        </row>
        <row r="15306">
          <cell r="C15306" t="str">
            <v>王瀚霆</v>
          </cell>
          <cell r="J15306">
            <v>45498</v>
          </cell>
          <cell r="K15306">
            <v>8.5</v>
          </cell>
        </row>
        <row r="15307">
          <cell r="C15307" t="str">
            <v>王瀚霆</v>
          </cell>
          <cell r="F15307" t="str">
            <v>M230103R1</v>
          </cell>
          <cell r="J15307">
            <v>45499</v>
          </cell>
          <cell r="K15307">
            <v>8.5</v>
          </cell>
        </row>
        <row r="15308">
          <cell r="C15308" t="str">
            <v>王瀚霆</v>
          </cell>
          <cell r="J15308">
            <v>45502</v>
          </cell>
          <cell r="K15308">
            <v>1.5</v>
          </cell>
        </row>
        <row r="15309">
          <cell r="C15309" t="str">
            <v>王瀚霆</v>
          </cell>
          <cell r="J15309">
            <v>45502</v>
          </cell>
          <cell r="K15309">
            <v>2</v>
          </cell>
        </row>
        <row r="15310">
          <cell r="C15310" t="str">
            <v>王瀚霆</v>
          </cell>
          <cell r="F15310" t="str">
            <v>M230103R1</v>
          </cell>
          <cell r="J15310">
            <v>45502</v>
          </cell>
          <cell r="K15310">
            <v>6</v>
          </cell>
        </row>
        <row r="15311">
          <cell r="C15311" t="str">
            <v>王瀚霆</v>
          </cell>
          <cell r="F15311" t="str">
            <v>M230103R1</v>
          </cell>
          <cell r="J15311">
            <v>45503</v>
          </cell>
          <cell r="K15311">
            <v>9.5</v>
          </cell>
        </row>
        <row r="15312">
          <cell r="C15312" t="str">
            <v>王瀚霆</v>
          </cell>
          <cell r="J15312">
            <v>45504</v>
          </cell>
          <cell r="K15312">
            <v>1.5</v>
          </cell>
        </row>
        <row r="15313">
          <cell r="C15313" t="str">
            <v>王瀚霆</v>
          </cell>
          <cell r="F15313" t="str">
            <v>K231101R1</v>
          </cell>
          <cell r="J15313">
            <v>45504</v>
          </cell>
          <cell r="K15313">
            <v>1</v>
          </cell>
        </row>
        <row r="15314">
          <cell r="C15314" t="str">
            <v>王瀚霆</v>
          </cell>
          <cell r="J15314">
            <v>45504</v>
          </cell>
          <cell r="K15314">
            <v>0.5</v>
          </cell>
        </row>
        <row r="15315">
          <cell r="C15315" t="str">
            <v>王瀚霆</v>
          </cell>
          <cell r="F15315" t="str">
            <v>M230602R1</v>
          </cell>
          <cell r="J15315">
            <v>45504</v>
          </cell>
          <cell r="K15315">
            <v>1</v>
          </cell>
        </row>
        <row r="15316">
          <cell r="C15316" t="str">
            <v>王瀚霆</v>
          </cell>
          <cell r="F15316" t="str">
            <v>M240101R1</v>
          </cell>
          <cell r="J15316">
            <v>45504</v>
          </cell>
          <cell r="K15316">
            <v>1</v>
          </cell>
        </row>
        <row r="15317">
          <cell r="C15317" t="str">
            <v>王瀚霆</v>
          </cell>
          <cell r="F15317" t="str">
            <v>M230103R1</v>
          </cell>
          <cell r="J15317">
            <v>45504</v>
          </cell>
          <cell r="K15317">
            <v>4.5</v>
          </cell>
        </row>
        <row r="15318">
          <cell r="C15318" t="str">
            <v>王瀚霆</v>
          </cell>
          <cell r="J15318">
            <v>45505</v>
          </cell>
          <cell r="K15318">
            <v>1.5</v>
          </cell>
        </row>
        <row r="15319">
          <cell r="C15319" t="str">
            <v>王瀚霆</v>
          </cell>
          <cell r="F15319" t="str">
            <v>M230103R1</v>
          </cell>
          <cell r="J15319">
            <v>45505</v>
          </cell>
          <cell r="K15319">
            <v>8</v>
          </cell>
        </row>
        <row r="15320">
          <cell r="C15320" t="str">
            <v>王瀚霆</v>
          </cell>
          <cell r="F15320" t="str">
            <v>M230103R1</v>
          </cell>
          <cell r="J15320">
            <v>45506</v>
          </cell>
          <cell r="K15320">
            <v>9.5</v>
          </cell>
        </row>
        <row r="15321">
          <cell r="C15321" t="str">
            <v>王瀚霆</v>
          </cell>
          <cell r="F15321" t="str">
            <v>M230103R1</v>
          </cell>
          <cell r="J15321">
            <v>45509</v>
          </cell>
          <cell r="K15321">
            <v>9.5</v>
          </cell>
        </row>
        <row r="15322">
          <cell r="C15322" t="str">
            <v>王瀚霆</v>
          </cell>
          <cell r="F15322" t="str">
            <v>M230103R1</v>
          </cell>
          <cell r="J15322">
            <v>45510</v>
          </cell>
          <cell r="K15322">
            <v>9.5</v>
          </cell>
        </row>
        <row r="15323">
          <cell r="C15323" t="str">
            <v>王瀚霆</v>
          </cell>
          <cell r="F15323" t="str">
            <v>M230103R1</v>
          </cell>
          <cell r="J15323">
            <v>45511</v>
          </cell>
          <cell r="K15323">
            <v>9.5</v>
          </cell>
        </row>
        <row r="15324">
          <cell r="C15324" t="str">
            <v>王瀚霆</v>
          </cell>
          <cell r="F15324" t="str">
            <v>M230103R1</v>
          </cell>
          <cell r="J15324">
            <v>45512</v>
          </cell>
          <cell r="K15324">
            <v>9.5</v>
          </cell>
        </row>
        <row r="15325">
          <cell r="C15325" t="str">
            <v>王瀚霆</v>
          </cell>
          <cell r="J15325">
            <v>45513</v>
          </cell>
          <cell r="K15325">
            <v>4.5</v>
          </cell>
        </row>
        <row r="15326">
          <cell r="C15326" t="str">
            <v>王瀚霆</v>
          </cell>
          <cell r="J15326">
            <v>45513</v>
          </cell>
          <cell r="K15326">
            <v>3.5</v>
          </cell>
        </row>
        <row r="15327">
          <cell r="C15327" t="str">
            <v>王瀚霆</v>
          </cell>
          <cell r="F15327" t="str">
            <v>M230103R1</v>
          </cell>
          <cell r="J15327">
            <v>45516</v>
          </cell>
          <cell r="K15327">
            <v>9.5</v>
          </cell>
        </row>
        <row r="15328">
          <cell r="C15328" t="str">
            <v>王瀚霆</v>
          </cell>
          <cell r="F15328" t="str">
            <v>M230103R1</v>
          </cell>
          <cell r="J15328">
            <v>45517</v>
          </cell>
          <cell r="K15328">
            <v>2.5</v>
          </cell>
        </row>
        <row r="15329">
          <cell r="C15329" t="str">
            <v>王瀚霆</v>
          </cell>
          <cell r="F15329" t="str">
            <v>M230103R1</v>
          </cell>
          <cell r="J15329">
            <v>45517</v>
          </cell>
          <cell r="K15329">
            <v>7</v>
          </cell>
        </row>
        <row r="15330">
          <cell r="C15330" t="str">
            <v>王瀚霆</v>
          </cell>
          <cell r="J15330">
            <v>45518</v>
          </cell>
          <cell r="K15330">
            <v>1.5</v>
          </cell>
        </row>
        <row r="15331">
          <cell r="C15331" t="str">
            <v>王瀚霆</v>
          </cell>
          <cell r="F15331" t="str">
            <v>M230103R1</v>
          </cell>
          <cell r="J15331">
            <v>45518</v>
          </cell>
          <cell r="K15331">
            <v>5</v>
          </cell>
        </row>
        <row r="15332">
          <cell r="C15332" t="str">
            <v>王瀚霆</v>
          </cell>
          <cell r="F15332" t="str">
            <v>M230103R1</v>
          </cell>
          <cell r="J15332">
            <v>45518</v>
          </cell>
          <cell r="K15332">
            <v>3</v>
          </cell>
        </row>
        <row r="15333">
          <cell r="C15333" t="str">
            <v>王瀚霆</v>
          </cell>
          <cell r="F15333" t="str">
            <v>M230103R1</v>
          </cell>
          <cell r="J15333">
            <v>45519</v>
          </cell>
          <cell r="K15333">
            <v>9.5</v>
          </cell>
        </row>
        <row r="15334">
          <cell r="C15334" t="str">
            <v>王瀚霆</v>
          </cell>
          <cell r="F15334" t="str">
            <v>M230103R1</v>
          </cell>
          <cell r="J15334">
            <v>45520</v>
          </cell>
          <cell r="K15334">
            <v>9.5</v>
          </cell>
        </row>
        <row r="15335">
          <cell r="C15335" t="str">
            <v>王瀚霆</v>
          </cell>
          <cell r="F15335" t="str">
            <v>M230103R1</v>
          </cell>
          <cell r="J15335">
            <v>45523</v>
          </cell>
          <cell r="K15335">
            <v>6</v>
          </cell>
        </row>
        <row r="15336">
          <cell r="C15336" t="str">
            <v>王瀚霆</v>
          </cell>
          <cell r="F15336" t="str">
            <v>M230103R1</v>
          </cell>
          <cell r="J15336">
            <v>45523</v>
          </cell>
          <cell r="K15336">
            <v>3.5</v>
          </cell>
        </row>
        <row r="15337">
          <cell r="C15337" t="str">
            <v>王瀚霆</v>
          </cell>
          <cell r="F15337" t="str">
            <v>M230103R1</v>
          </cell>
          <cell r="J15337">
            <v>45524</v>
          </cell>
          <cell r="K15337">
            <v>9.5</v>
          </cell>
        </row>
        <row r="15338">
          <cell r="C15338" t="str">
            <v>王瀚霆</v>
          </cell>
          <cell r="J15338">
            <v>45525</v>
          </cell>
          <cell r="K15338">
            <v>1</v>
          </cell>
        </row>
        <row r="15339">
          <cell r="C15339" t="str">
            <v>王瀚霆</v>
          </cell>
          <cell r="F15339" t="str">
            <v>M230103R1</v>
          </cell>
          <cell r="J15339">
            <v>45525</v>
          </cell>
          <cell r="K15339">
            <v>4</v>
          </cell>
        </row>
        <row r="15340">
          <cell r="C15340" t="str">
            <v>王瀚霆</v>
          </cell>
          <cell r="F15340" t="str">
            <v>M230103R1</v>
          </cell>
          <cell r="J15340">
            <v>45525</v>
          </cell>
          <cell r="K15340">
            <v>4.5</v>
          </cell>
        </row>
        <row r="15341">
          <cell r="C15341" t="str">
            <v>王瀚霆</v>
          </cell>
          <cell r="J15341">
            <v>45526</v>
          </cell>
          <cell r="K15341">
            <v>3</v>
          </cell>
        </row>
        <row r="15342">
          <cell r="C15342" t="str">
            <v>王瀚霆</v>
          </cell>
          <cell r="F15342" t="str">
            <v>M230103R1</v>
          </cell>
          <cell r="J15342">
            <v>45526</v>
          </cell>
          <cell r="K15342">
            <v>2.5</v>
          </cell>
        </row>
        <row r="15343">
          <cell r="C15343" t="str">
            <v>王瀚霆</v>
          </cell>
          <cell r="F15343" t="str">
            <v>M230103R1</v>
          </cell>
          <cell r="J15343">
            <v>45526</v>
          </cell>
          <cell r="K15343">
            <v>4</v>
          </cell>
        </row>
        <row r="15344">
          <cell r="C15344" t="str">
            <v>王瀚霆</v>
          </cell>
          <cell r="F15344" t="str">
            <v>M230103R1</v>
          </cell>
          <cell r="J15344">
            <v>45527</v>
          </cell>
          <cell r="K15344">
            <v>9.5</v>
          </cell>
        </row>
        <row r="15345">
          <cell r="C15345" t="str">
            <v>王瀚霆</v>
          </cell>
          <cell r="F15345" t="str">
            <v>M240803R1</v>
          </cell>
          <cell r="J15345">
            <v>45530</v>
          </cell>
          <cell r="K15345">
            <v>0.5</v>
          </cell>
        </row>
        <row r="15346">
          <cell r="C15346" t="str">
            <v>王瀚霆</v>
          </cell>
          <cell r="F15346" t="str">
            <v>M240804R1</v>
          </cell>
          <cell r="J15346">
            <v>45530</v>
          </cell>
          <cell r="K15346">
            <v>0.5</v>
          </cell>
        </row>
        <row r="15347">
          <cell r="C15347" t="str">
            <v>王瀚霆</v>
          </cell>
          <cell r="F15347" t="str">
            <v>M240201R1</v>
          </cell>
          <cell r="J15347">
            <v>45530</v>
          </cell>
          <cell r="K15347">
            <v>0.5</v>
          </cell>
        </row>
        <row r="15348">
          <cell r="C15348" t="str">
            <v>王瀚霆</v>
          </cell>
          <cell r="F15348" t="str">
            <v>K240801R1</v>
          </cell>
          <cell r="J15348">
            <v>45530</v>
          </cell>
          <cell r="K15348">
            <v>1</v>
          </cell>
        </row>
        <row r="15349">
          <cell r="C15349" t="str">
            <v>王瀚霆</v>
          </cell>
          <cell r="F15349" t="str">
            <v>M240801R1</v>
          </cell>
          <cell r="J15349">
            <v>45530</v>
          </cell>
          <cell r="K15349">
            <v>1</v>
          </cell>
        </row>
        <row r="15350">
          <cell r="C15350" t="str">
            <v>王瀚霆</v>
          </cell>
          <cell r="F15350" t="str">
            <v>M230103R1</v>
          </cell>
          <cell r="J15350">
            <v>45530</v>
          </cell>
          <cell r="K15350">
            <v>1</v>
          </cell>
        </row>
        <row r="15351">
          <cell r="C15351" t="str">
            <v>王瀚霆</v>
          </cell>
          <cell r="F15351" t="str">
            <v>M240801C1</v>
          </cell>
          <cell r="J15351">
            <v>45530</v>
          </cell>
          <cell r="K15351">
            <v>0.5</v>
          </cell>
        </row>
        <row r="15352">
          <cell r="C15352" t="str">
            <v>王瀚霆</v>
          </cell>
          <cell r="F15352" t="str">
            <v>M240704R1</v>
          </cell>
          <cell r="J15352">
            <v>45530</v>
          </cell>
          <cell r="K15352">
            <v>0.5</v>
          </cell>
        </row>
        <row r="15353">
          <cell r="C15353" t="str">
            <v>王瀚霆</v>
          </cell>
          <cell r="J15353">
            <v>45530</v>
          </cell>
          <cell r="K15353">
            <v>1.5</v>
          </cell>
        </row>
        <row r="15354">
          <cell r="C15354" t="str">
            <v>王瀚霆</v>
          </cell>
          <cell r="F15354" t="str">
            <v>K240701R1</v>
          </cell>
          <cell r="J15354">
            <v>45530</v>
          </cell>
          <cell r="K15354">
            <v>0.5</v>
          </cell>
        </row>
        <row r="15355">
          <cell r="C15355" t="str">
            <v>王瀚霆</v>
          </cell>
          <cell r="F15355" t="str">
            <v>M230103R1</v>
          </cell>
          <cell r="J15355">
            <v>45530</v>
          </cell>
          <cell r="K15355">
            <v>2.5</v>
          </cell>
        </row>
        <row r="15356">
          <cell r="C15356" t="str">
            <v>王瀚霆</v>
          </cell>
          <cell r="F15356" t="str">
            <v>K231101R1</v>
          </cell>
          <cell r="J15356">
            <v>45531</v>
          </cell>
          <cell r="K15356">
            <v>2</v>
          </cell>
        </row>
        <row r="15357">
          <cell r="C15357" t="str">
            <v>王瀚霆</v>
          </cell>
          <cell r="F15357" t="str">
            <v>M240705R1</v>
          </cell>
          <cell r="J15357">
            <v>45531</v>
          </cell>
          <cell r="K15357">
            <v>2</v>
          </cell>
        </row>
        <row r="15358">
          <cell r="C15358" t="str">
            <v>王瀚霆</v>
          </cell>
          <cell r="F15358" t="str">
            <v>M230103R1</v>
          </cell>
          <cell r="J15358">
            <v>45531</v>
          </cell>
          <cell r="K15358">
            <v>1</v>
          </cell>
        </row>
        <row r="15359">
          <cell r="C15359" t="str">
            <v>王瀚霆</v>
          </cell>
          <cell r="F15359" t="str">
            <v>M230103R1</v>
          </cell>
          <cell r="J15359">
            <v>45531</v>
          </cell>
          <cell r="K15359">
            <v>3.5</v>
          </cell>
        </row>
        <row r="15360">
          <cell r="C15360" t="str">
            <v>王瀚霆</v>
          </cell>
          <cell r="F15360" t="str">
            <v>M230103R1</v>
          </cell>
          <cell r="J15360">
            <v>45531</v>
          </cell>
          <cell r="K15360">
            <v>1</v>
          </cell>
        </row>
        <row r="15361">
          <cell r="C15361" t="str">
            <v>王瀚霆</v>
          </cell>
          <cell r="F15361" t="str">
            <v>M230103R1</v>
          </cell>
          <cell r="J15361">
            <v>45532</v>
          </cell>
          <cell r="K15361">
            <v>1</v>
          </cell>
        </row>
        <row r="15362">
          <cell r="C15362" t="str">
            <v>王瀚霆</v>
          </cell>
          <cell r="F15362" t="str">
            <v>M240801R1</v>
          </cell>
          <cell r="J15362">
            <v>45532</v>
          </cell>
          <cell r="K15362">
            <v>1</v>
          </cell>
        </row>
        <row r="15363">
          <cell r="C15363" t="str">
            <v>王瀚霆</v>
          </cell>
          <cell r="F15363" t="str">
            <v>M240101R1</v>
          </cell>
          <cell r="J15363">
            <v>45532</v>
          </cell>
          <cell r="K15363">
            <v>2</v>
          </cell>
        </row>
        <row r="15364">
          <cell r="C15364" t="str">
            <v>王瀚霆</v>
          </cell>
          <cell r="F15364" t="str">
            <v>M230103R1</v>
          </cell>
          <cell r="J15364">
            <v>45532</v>
          </cell>
          <cell r="K15364">
            <v>2.5</v>
          </cell>
        </row>
        <row r="15365">
          <cell r="C15365" t="str">
            <v>王瀚霆</v>
          </cell>
          <cell r="F15365" t="str">
            <v>M240705R1</v>
          </cell>
          <cell r="J15365">
            <v>45532</v>
          </cell>
          <cell r="K15365">
            <v>3</v>
          </cell>
        </row>
        <row r="15366">
          <cell r="C15366" t="str">
            <v>王瀚霆</v>
          </cell>
          <cell r="J15366">
            <v>45533</v>
          </cell>
          <cell r="K15366">
            <v>1.5</v>
          </cell>
        </row>
        <row r="15367">
          <cell r="C15367" t="str">
            <v>王瀚霆</v>
          </cell>
          <cell r="F15367" t="str">
            <v>M230103R1</v>
          </cell>
          <cell r="J15367">
            <v>45533</v>
          </cell>
          <cell r="K15367">
            <v>1.5</v>
          </cell>
        </row>
        <row r="15368">
          <cell r="C15368" t="str">
            <v>王瀚霆</v>
          </cell>
          <cell r="F15368" t="str">
            <v>M230103R1</v>
          </cell>
          <cell r="J15368">
            <v>45533</v>
          </cell>
          <cell r="K15368">
            <v>3.5</v>
          </cell>
        </row>
        <row r="15369">
          <cell r="C15369" t="str">
            <v>王瀚霆</v>
          </cell>
          <cell r="F15369" t="str">
            <v>M240101R1</v>
          </cell>
          <cell r="J15369">
            <v>45533</v>
          </cell>
          <cell r="K15369">
            <v>3</v>
          </cell>
        </row>
        <row r="15370">
          <cell r="C15370" t="str">
            <v>王瀚霆</v>
          </cell>
          <cell r="J15370">
            <v>45534</v>
          </cell>
          <cell r="K15370">
            <v>2</v>
          </cell>
        </row>
        <row r="15371">
          <cell r="C15371" t="str">
            <v>王瀚霆</v>
          </cell>
          <cell r="J15371">
            <v>45534</v>
          </cell>
          <cell r="K15371">
            <v>1</v>
          </cell>
        </row>
        <row r="15372">
          <cell r="C15372" t="str">
            <v>王瀚霆</v>
          </cell>
          <cell r="F15372" t="str">
            <v>M230103R1</v>
          </cell>
          <cell r="J15372">
            <v>45534</v>
          </cell>
          <cell r="K15372">
            <v>3.5</v>
          </cell>
        </row>
        <row r="15373">
          <cell r="C15373" t="str">
            <v>王瀚霆</v>
          </cell>
          <cell r="F15373" t="str">
            <v>M240101R1</v>
          </cell>
          <cell r="J15373">
            <v>45534</v>
          </cell>
          <cell r="K15373">
            <v>3</v>
          </cell>
        </row>
        <row r="15374">
          <cell r="C15374" t="str">
            <v>王瀚霆</v>
          </cell>
          <cell r="J15374">
            <v>45537</v>
          </cell>
          <cell r="K15374">
            <v>1</v>
          </cell>
        </row>
        <row r="15375">
          <cell r="C15375" t="str">
            <v>王瀚霆</v>
          </cell>
          <cell r="F15375" t="str">
            <v>M240703R1</v>
          </cell>
          <cell r="J15375">
            <v>45537</v>
          </cell>
          <cell r="K15375">
            <v>0.5</v>
          </cell>
        </row>
        <row r="15376">
          <cell r="C15376" t="str">
            <v>王瀚霆</v>
          </cell>
          <cell r="F15376" t="str">
            <v>M240704R1</v>
          </cell>
          <cell r="J15376">
            <v>45537</v>
          </cell>
          <cell r="K15376">
            <v>0.5</v>
          </cell>
        </row>
        <row r="15377">
          <cell r="C15377" t="str">
            <v>王瀚霆</v>
          </cell>
          <cell r="J15377">
            <v>45537</v>
          </cell>
          <cell r="K15377">
            <v>1</v>
          </cell>
        </row>
        <row r="15378">
          <cell r="C15378" t="str">
            <v>王瀚霆</v>
          </cell>
          <cell r="F15378" t="str">
            <v>M230103R1</v>
          </cell>
          <cell r="J15378">
            <v>45537</v>
          </cell>
          <cell r="K15378">
            <v>1</v>
          </cell>
        </row>
        <row r="15379">
          <cell r="C15379" t="str">
            <v>王瀚霆</v>
          </cell>
          <cell r="F15379" t="str">
            <v>M240101R1</v>
          </cell>
          <cell r="J15379">
            <v>45537</v>
          </cell>
          <cell r="K15379">
            <v>0.5</v>
          </cell>
        </row>
        <row r="15380">
          <cell r="C15380" t="str">
            <v>王瀚霆</v>
          </cell>
          <cell r="F15380" t="str">
            <v>M240703R1</v>
          </cell>
          <cell r="J15380">
            <v>45537</v>
          </cell>
          <cell r="K15380">
            <v>1</v>
          </cell>
        </row>
        <row r="15381">
          <cell r="C15381" t="str">
            <v>王瀚霆</v>
          </cell>
          <cell r="F15381" t="str">
            <v>M240704R1</v>
          </cell>
          <cell r="J15381">
            <v>45537</v>
          </cell>
          <cell r="K15381">
            <v>1</v>
          </cell>
        </row>
        <row r="15382">
          <cell r="C15382" t="str">
            <v>王瀚霆</v>
          </cell>
          <cell r="F15382" t="str">
            <v>M230103R1</v>
          </cell>
          <cell r="J15382">
            <v>45537</v>
          </cell>
          <cell r="K15382">
            <v>1</v>
          </cell>
        </row>
        <row r="15383">
          <cell r="C15383" t="str">
            <v>王瀚霆</v>
          </cell>
          <cell r="F15383" t="str">
            <v>M240101R1</v>
          </cell>
          <cell r="J15383">
            <v>45537</v>
          </cell>
          <cell r="K15383">
            <v>2</v>
          </cell>
        </row>
        <row r="15384">
          <cell r="C15384" t="str">
            <v>王瀚霆</v>
          </cell>
          <cell r="F15384" t="str">
            <v>M240703R1</v>
          </cell>
          <cell r="J15384">
            <v>45538</v>
          </cell>
          <cell r="K15384">
            <v>9.5</v>
          </cell>
        </row>
        <row r="15385">
          <cell r="C15385" t="str">
            <v>王瀚霆</v>
          </cell>
          <cell r="F15385" t="str">
            <v>M240201R1</v>
          </cell>
          <cell r="J15385">
            <v>45539</v>
          </cell>
          <cell r="K15385">
            <v>1</v>
          </cell>
        </row>
        <row r="15386">
          <cell r="C15386" t="str">
            <v>王瀚霆</v>
          </cell>
          <cell r="J15386">
            <v>45539</v>
          </cell>
          <cell r="K15386">
            <v>2</v>
          </cell>
        </row>
        <row r="15387">
          <cell r="C15387" t="str">
            <v>王瀚霆</v>
          </cell>
          <cell r="F15387" t="str">
            <v>M240101R1</v>
          </cell>
          <cell r="J15387">
            <v>45539</v>
          </cell>
          <cell r="K15387">
            <v>0.5</v>
          </cell>
        </row>
        <row r="15388">
          <cell r="C15388" t="str">
            <v>王瀚霆</v>
          </cell>
          <cell r="F15388" t="str">
            <v>M230103R1</v>
          </cell>
          <cell r="J15388">
            <v>45539</v>
          </cell>
          <cell r="K15388">
            <v>2</v>
          </cell>
        </row>
        <row r="15389">
          <cell r="C15389" t="str">
            <v>王瀚霆</v>
          </cell>
          <cell r="F15389" t="str">
            <v>K231101R1</v>
          </cell>
          <cell r="J15389">
            <v>45539</v>
          </cell>
          <cell r="K15389">
            <v>1</v>
          </cell>
        </row>
        <row r="15390">
          <cell r="C15390" t="str">
            <v>王瀚霆</v>
          </cell>
          <cell r="J15390">
            <v>45539</v>
          </cell>
          <cell r="K15390">
            <v>1.5</v>
          </cell>
        </row>
        <row r="15391">
          <cell r="C15391" t="str">
            <v>王瀚霆</v>
          </cell>
          <cell r="F15391" t="str">
            <v>M240703R1</v>
          </cell>
          <cell r="J15391">
            <v>45539</v>
          </cell>
          <cell r="K15391">
            <v>1.5</v>
          </cell>
        </row>
        <row r="15392">
          <cell r="C15392" t="str">
            <v>王瀚霆</v>
          </cell>
          <cell r="F15392" t="str">
            <v>M240703R1</v>
          </cell>
          <cell r="J15392">
            <v>45540</v>
          </cell>
          <cell r="K15392">
            <v>1</v>
          </cell>
        </row>
        <row r="15393">
          <cell r="C15393" t="str">
            <v>王瀚霆</v>
          </cell>
          <cell r="F15393" t="str">
            <v>M240804R1</v>
          </cell>
          <cell r="J15393">
            <v>45540</v>
          </cell>
          <cell r="K15393">
            <v>1</v>
          </cell>
        </row>
        <row r="15394">
          <cell r="C15394" t="str">
            <v>王瀚霆</v>
          </cell>
          <cell r="J15394">
            <v>45540</v>
          </cell>
          <cell r="K15394">
            <v>2</v>
          </cell>
        </row>
        <row r="15395">
          <cell r="C15395" t="str">
            <v>王瀚霆</v>
          </cell>
          <cell r="F15395" t="str">
            <v>M240703R1</v>
          </cell>
          <cell r="J15395">
            <v>45540</v>
          </cell>
          <cell r="K15395">
            <v>1.5</v>
          </cell>
        </row>
        <row r="15396">
          <cell r="C15396" t="str">
            <v>王瀚霆</v>
          </cell>
          <cell r="F15396" t="str">
            <v>M230103R1</v>
          </cell>
          <cell r="J15396">
            <v>45540</v>
          </cell>
          <cell r="K15396">
            <v>2</v>
          </cell>
        </row>
        <row r="15397">
          <cell r="C15397" t="str">
            <v>王瀚霆</v>
          </cell>
          <cell r="F15397" t="str">
            <v>M240705R1</v>
          </cell>
          <cell r="J15397">
            <v>45540</v>
          </cell>
          <cell r="K15397">
            <v>2</v>
          </cell>
        </row>
        <row r="15398">
          <cell r="C15398" t="str">
            <v>王瀚霆</v>
          </cell>
          <cell r="J15398">
            <v>45541</v>
          </cell>
          <cell r="K15398">
            <v>1</v>
          </cell>
        </row>
        <row r="15399">
          <cell r="C15399" t="str">
            <v>王瀚霆</v>
          </cell>
          <cell r="J15399">
            <v>45541</v>
          </cell>
          <cell r="K15399">
            <v>1.5</v>
          </cell>
        </row>
        <row r="15400">
          <cell r="C15400" t="str">
            <v>王瀚霆</v>
          </cell>
          <cell r="F15400" t="str">
            <v>M240703R1</v>
          </cell>
          <cell r="J15400">
            <v>45541</v>
          </cell>
          <cell r="K15400">
            <v>1</v>
          </cell>
        </row>
        <row r="15401">
          <cell r="C15401" t="str">
            <v>王瀚霆</v>
          </cell>
          <cell r="F15401" t="str">
            <v>M230103R1</v>
          </cell>
          <cell r="J15401">
            <v>45541</v>
          </cell>
          <cell r="K15401">
            <v>1</v>
          </cell>
        </row>
        <row r="15402">
          <cell r="C15402" t="str">
            <v>王瀚霆</v>
          </cell>
          <cell r="F15402" t="str">
            <v>M240705R1</v>
          </cell>
          <cell r="J15402">
            <v>45541</v>
          </cell>
          <cell r="K15402">
            <v>1</v>
          </cell>
        </row>
        <row r="15403">
          <cell r="C15403" t="str">
            <v>王瀚霆</v>
          </cell>
          <cell r="F15403" t="str">
            <v>M230103R1</v>
          </cell>
          <cell r="J15403">
            <v>45541</v>
          </cell>
          <cell r="K15403">
            <v>3</v>
          </cell>
        </row>
        <row r="15404">
          <cell r="C15404" t="str">
            <v>王瀚霆</v>
          </cell>
          <cell r="F15404" t="str">
            <v>M240101R1</v>
          </cell>
          <cell r="J15404">
            <v>45541</v>
          </cell>
          <cell r="K15404">
            <v>1</v>
          </cell>
        </row>
        <row r="15405">
          <cell r="C15405" t="str">
            <v>王瀚霆</v>
          </cell>
          <cell r="F15405" t="str">
            <v>M240702R1</v>
          </cell>
          <cell r="J15405">
            <v>45544</v>
          </cell>
          <cell r="K15405">
            <v>0.5</v>
          </cell>
        </row>
        <row r="15406">
          <cell r="C15406" t="str">
            <v>王瀚霆</v>
          </cell>
          <cell r="F15406" t="str">
            <v>M240801R1</v>
          </cell>
          <cell r="J15406">
            <v>45544</v>
          </cell>
          <cell r="K15406">
            <v>0.5</v>
          </cell>
        </row>
        <row r="15407">
          <cell r="C15407" t="str">
            <v>王瀚霆</v>
          </cell>
          <cell r="F15407" t="str">
            <v>M230103R1</v>
          </cell>
          <cell r="J15407">
            <v>45544</v>
          </cell>
          <cell r="K15407">
            <v>2.5</v>
          </cell>
        </row>
        <row r="15408">
          <cell r="C15408" t="str">
            <v>王瀚霆</v>
          </cell>
          <cell r="F15408" t="str">
            <v>M240101R1</v>
          </cell>
          <cell r="J15408">
            <v>45544</v>
          </cell>
          <cell r="K15408">
            <v>0.5</v>
          </cell>
        </row>
        <row r="15409">
          <cell r="C15409" t="str">
            <v>王瀚霆</v>
          </cell>
          <cell r="F15409" t="str">
            <v>M230103R1</v>
          </cell>
          <cell r="J15409">
            <v>45544</v>
          </cell>
          <cell r="K15409">
            <v>1.5</v>
          </cell>
        </row>
        <row r="15410">
          <cell r="C15410" t="str">
            <v>王瀚霆</v>
          </cell>
          <cell r="F15410" t="str">
            <v>M240705R1</v>
          </cell>
          <cell r="J15410">
            <v>45544</v>
          </cell>
          <cell r="K15410">
            <v>2.5</v>
          </cell>
        </row>
        <row r="15411">
          <cell r="C15411" t="str">
            <v>王瀚霆</v>
          </cell>
          <cell r="F15411" t="str">
            <v>M240101R1</v>
          </cell>
          <cell r="J15411">
            <v>45544</v>
          </cell>
          <cell r="K15411">
            <v>1.5</v>
          </cell>
        </row>
        <row r="15412">
          <cell r="C15412" t="str">
            <v>王瀚霆</v>
          </cell>
          <cell r="J15412">
            <v>45545</v>
          </cell>
          <cell r="K15412">
            <v>1.5</v>
          </cell>
        </row>
        <row r="15413">
          <cell r="C15413" t="str">
            <v>王瀚霆</v>
          </cell>
          <cell r="F15413" t="str">
            <v>M240703R1</v>
          </cell>
          <cell r="J15413">
            <v>45545</v>
          </cell>
          <cell r="K15413">
            <v>5</v>
          </cell>
        </row>
        <row r="15414">
          <cell r="C15414" t="str">
            <v>王瀚霆</v>
          </cell>
          <cell r="F15414" t="str">
            <v>M230103R1</v>
          </cell>
          <cell r="J15414">
            <v>45545</v>
          </cell>
          <cell r="K15414">
            <v>1.5</v>
          </cell>
        </row>
        <row r="15415">
          <cell r="C15415" t="str">
            <v>王瀚霆</v>
          </cell>
          <cell r="F15415" t="str">
            <v>M240101R1</v>
          </cell>
          <cell r="J15415">
            <v>45545</v>
          </cell>
          <cell r="K15415">
            <v>1.5</v>
          </cell>
        </row>
        <row r="15416">
          <cell r="C15416" t="str">
            <v>王瀚霆</v>
          </cell>
          <cell r="F15416" t="str">
            <v>M240705R1</v>
          </cell>
          <cell r="J15416">
            <v>45546</v>
          </cell>
          <cell r="K15416">
            <v>1</v>
          </cell>
        </row>
        <row r="15417">
          <cell r="C15417" t="str">
            <v>王瀚霆</v>
          </cell>
          <cell r="F15417" t="str">
            <v>M240703R1</v>
          </cell>
          <cell r="J15417">
            <v>45546</v>
          </cell>
          <cell r="K15417">
            <v>3.5</v>
          </cell>
        </row>
        <row r="15418">
          <cell r="C15418" t="str">
            <v>王瀚霆</v>
          </cell>
          <cell r="F15418" t="str">
            <v>M230103R1</v>
          </cell>
          <cell r="J15418">
            <v>45546</v>
          </cell>
          <cell r="K15418">
            <v>5</v>
          </cell>
        </row>
        <row r="15419">
          <cell r="C15419" t="str">
            <v>王瀚霆</v>
          </cell>
          <cell r="F15419" t="str">
            <v>M240701C1</v>
          </cell>
          <cell r="J15419">
            <v>45547</v>
          </cell>
          <cell r="K15419">
            <v>4</v>
          </cell>
        </row>
        <row r="15420">
          <cell r="C15420" t="str">
            <v>王瀚霆</v>
          </cell>
          <cell r="F15420" t="str">
            <v>M230103R1</v>
          </cell>
          <cell r="J15420">
            <v>45547</v>
          </cell>
          <cell r="K15420">
            <v>5.5</v>
          </cell>
        </row>
        <row r="15421">
          <cell r="C15421" t="str">
            <v>王瀚霆</v>
          </cell>
          <cell r="J15421">
            <v>45548</v>
          </cell>
          <cell r="K15421">
            <v>1.5</v>
          </cell>
        </row>
        <row r="15422">
          <cell r="C15422" t="str">
            <v>王瀚霆</v>
          </cell>
          <cell r="F15422" t="str">
            <v>M240703R1</v>
          </cell>
          <cell r="J15422">
            <v>45548</v>
          </cell>
          <cell r="K15422">
            <v>6</v>
          </cell>
        </row>
        <row r="15423">
          <cell r="C15423" t="str">
            <v>王瀚霆</v>
          </cell>
          <cell r="F15423" t="str">
            <v>M230103R1</v>
          </cell>
          <cell r="J15423">
            <v>45548</v>
          </cell>
          <cell r="K15423">
            <v>2</v>
          </cell>
        </row>
        <row r="15424">
          <cell r="C15424" t="str">
            <v>王瀚霆</v>
          </cell>
          <cell r="F15424" t="str">
            <v>M240703R1</v>
          </cell>
          <cell r="J15424">
            <v>45551</v>
          </cell>
          <cell r="K15424">
            <v>0.5</v>
          </cell>
        </row>
        <row r="15425">
          <cell r="C15425" t="str">
            <v>王瀚霆</v>
          </cell>
          <cell r="F15425" t="str">
            <v>M230103R1</v>
          </cell>
          <cell r="J15425">
            <v>45551</v>
          </cell>
          <cell r="K15425">
            <v>2</v>
          </cell>
        </row>
        <row r="15426">
          <cell r="C15426" t="str">
            <v>王瀚霆</v>
          </cell>
          <cell r="F15426" t="str">
            <v>M240201R1</v>
          </cell>
          <cell r="J15426">
            <v>45551</v>
          </cell>
          <cell r="K15426">
            <v>1</v>
          </cell>
        </row>
        <row r="15427">
          <cell r="C15427" t="str">
            <v>王瀚霆</v>
          </cell>
          <cell r="F15427" t="str">
            <v>M240702R1</v>
          </cell>
          <cell r="J15427">
            <v>45551</v>
          </cell>
          <cell r="K15427">
            <v>1</v>
          </cell>
        </row>
        <row r="15428">
          <cell r="C15428" t="str">
            <v>王瀚霆</v>
          </cell>
          <cell r="F15428" t="str">
            <v>M240703R1</v>
          </cell>
          <cell r="J15428">
            <v>45551</v>
          </cell>
          <cell r="K15428">
            <v>2</v>
          </cell>
        </row>
        <row r="15429">
          <cell r="C15429" t="str">
            <v>王瀚霆</v>
          </cell>
          <cell r="F15429" t="str">
            <v>M230103R1</v>
          </cell>
          <cell r="J15429">
            <v>45551</v>
          </cell>
          <cell r="K15429">
            <v>1</v>
          </cell>
        </row>
        <row r="15430">
          <cell r="C15430" t="str">
            <v>王瀚霆</v>
          </cell>
          <cell r="F15430" t="str">
            <v>M240703R1</v>
          </cell>
          <cell r="J15430">
            <v>45551</v>
          </cell>
          <cell r="K15430">
            <v>2</v>
          </cell>
        </row>
        <row r="15431">
          <cell r="C15431" t="str">
            <v>王瀚霆</v>
          </cell>
          <cell r="F15431" t="str">
            <v>M240703R1</v>
          </cell>
          <cell r="J15431">
            <v>45553</v>
          </cell>
          <cell r="K15431">
            <v>3.5</v>
          </cell>
        </row>
        <row r="15432">
          <cell r="C15432" t="str">
            <v>王瀚霆</v>
          </cell>
          <cell r="F15432" t="str">
            <v>M240703R1</v>
          </cell>
          <cell r="J15432">
            <v>45553</v>
          </cell>
          <cell r="K15432">
            <v>3.5</v>
          </cell>
        </row>
        <row r="15433">
          <cell r="C15433" t="str">
            <v>王瀚霆</v>
          </cell>
          <cell r="F15433" t="str">
            <v>M230103R1</v>
          </cell>
          <cell r="J15433">
            <v>45553</v>
          </cell>
          <cell r="K15433">
            <v>2.5</v>
          </cell>
        </row>
        <row r="15434">
          <cell r="C15434" t="str">
            <v>王瀚霆</v>
          </cell>
          <cell r="J15434">
            <v>45554</v>
          </cell>
          <cell r="K15434">
            <v>1</v>
          </cell>
        </row>
        <row r="15435">
          <cell r="C15435" t="str">
            <v>王瀚霆</v>
          </cell>
          <cell r="F15435" t="str">
            <v>M230103R1</v>
          </cell>
          <cell r="J15435">
            <v>45554</v>
          </cell>
          <cell r="K15435">
            <v>3.5</v>
          </cell>
        </row>
        <row r="15436">
          <cell r="C15436" t="str">
            <v>王瀚霆</v>
          </cell>
          <cell r="F15436" t="str">
            <v>M230103R1</v>
          </cell>
          <cell r="J15436">
            <v>45554</v>
          </cell>
          <cell r="K15436">
            <v>5</v>
          </cell>
        </row>
        <row r="15437">
          <cell r="C15437" t="str">
            <v>王瀚霆</v>
          </cell>
          <cell r="J15437">
            <v>45555</v>
          </cell>
          <cell r="K15437">
            <v>1.5</v>
          </cell>
        </row>
        <row r="15438">
          <cell r="C15438" t="str">
            <v>王瀚霆</v>
          </cell>
          <cell r="J15438">
            <v>45555</v>
          </cell>
          <cell r="K15438">
            <v>1</v>
          </cell>
        </row>
        <row r="15439">
          <cell r="C15439" t="str">
            <v>王瀚霆</v>
          </cell>
          <cell r="F15439" t="str">
            <v>D240902R1</v>
          </cell>
          <cell r="J15439">
            <v>45555</v>
          </cell>
          <cell r="K15439">
            <v>2.5</v>
          </cell>
        </row>
        <row r="15440">
          <cell r="C15440" t="str">
            <v>王瀚霆</v>
          </cell>
          <cell r="F15440" t="str">
            <v>M240704R1</v>
          </cell>
          <cell r="J15440">
            <v>45555</v>
          </cell>
          <cell r="K15440">
            <v>3</v>
          </cell>
        </row>
        <row r="15441">
          <cell r="C15441" t="str">
            <v>王瀚霆</v>
          </cell>
          <cell r="F15441" t="str">
            <v>D240902R1</v>
          </cell>
          <cell r="J15441">
            <v>45558</v>
          </cell>
          <cell r="K15441">
            <v>1</v>
          </cell>
        </row>
        <row r="15442">
          <cell r="C15442" t="str">
            <v>王瀚霆</v>
          </cell>
          <cell r="F15442" t="str">
            <v>K240801R1</v>
          </cell>
          <cell r="J15442">
            <v>45558</v>
          </cell>
          <cell r="K15442">
            <v>1.5</v>
          </cell>
        </row>
        <row r="15443">
          <cell r="C15443" t="str">
            <v>王瀚霆</v>
          </cell>
          <cell r="F15443" t="str">
            <v>M240703R1</v>
          </cell>
          <cell r="J15443">
            <v>45558</v>
          </cell>
          <cell r="K15443">
            <v>1</v>
          </cell>
        </row>
        <row r="15444">
          <cell r="C15444" t="str">
            <v>王瀚霆</v>
          </cell>
          <cell r="J15444">
            <v>45558</v>
          </cell>
          <cell r="K15444">
            <v>2.5</v>
          </cell>
        </row>
        <row r="15445">
          <cell r="C15445" t="str">
            <v>王瀚霆</v>
          </cell>
          <cell r="F15445" t="str">
            <v>D240901R1</v>
          </cell>
          <cell r="J15445">
            <v>45558</v>
          </cell>
          <cell r="K15445">
            <v>0.5</v>
          </cell>
        </row>
        <row r="15446">
          <cell r="C15446" t="str">
            <v>王瀚霆</v>
          </cell>
          <cell r="F15446" t="str">
            <v>M240702C1</v>
          </cell>
          <cell r="J15446">
            <v>45558</v>
          </cell>
          <cell r="K15446">
            <v>0.5</v>
          </cell>
        </row>
        <row r="15447">
          <cell r="C15447" t="str">
            <v>王瀚霆</v>
          </cell>
          <cell r="F15447" t="str">
            <v>D240902R1</v>
          </cell>
          <cell r="J15447">
            <v>45558</v>
          </cell>
          <cell r="K15447">
            <v>2.5</v>
          </cell>
        </row>
        <row r="15448">
          <cell r="C15448" t="str">
            <v>王瀚霆</v>
          </cell>
          <cell r="F15448" t="str">
            <v>D240902R1</v>
          </cell>
          <cell r="J15448">
            <v>45559</v>
          </cell>
          <cell r="K15448">
            <v>6.5</v>
          </cell>
        </row>
        <row r="15449">
          <cell r="C15449" t="str">
            <v>王瀚霆</v>
          </cell>
          <cell r="F15449" t="str">
            <v>M240101R1</v>
          </cell>
          <cell r="J15449">
            <v>45559</v>
          </cell>
          <cell r="K15449">
            <v>3</v>
          </cell>
        </row>
        <row r="15450">
          <cell r="C15450" t="str">
            <v>王瀚霆</v>
          </cell>
          <cell r="F15450" t="str">
            <v>K231101R1</v>
          </cell>
          <cell r="J15450">
            <v>45560</v>
          </cell>
          <cell r="K15450">
            <v>1</v>
          </cell>
        </row>
        <row r="15451">
          <cell r="C15451" t="str">
            <v>王瀚霆</v>
          </cell>
          <cell r="F15451" t="str">
            <v>M240101R1</v>
          </cell>
          <cell r="J15451">
            <v>45560</v>
          </cell>
          <cell r="K15451">
            <v>1</v>
          </cell>
        </row>
        <row r="15452">
          <cell r="C15452" t="str">
            <v>王瀚霆</v>
          </cell>
          <cell r="J15452">
            <v>45560</v>
          </cell>
          <cell r="K15452">
            <v>1.5</v>
          </cell>
        </row>
        <row r="15453">
          <cell r="C15453" t="str">
            <v>王瀚霆</v>
          </cell>
          <cell r="J15453">
            <v>45560</v>
          </cell>
          <cell r="K15453">
            <v>1.5</v>
          </cell>
        </row>
        <row r="15454">
          <cell r="C15454" t="str">
            <v>王瀚霆</v>
          </cell>
          <cell r="F15454" t="str">
            <v>D240902R1</v>
          </cell>
          <cell r="J15454">
            <v>45560</v>
          </cell>
          <cell r="K15454">
            <v>1</v>
          </cell>
        </row>
        <row r="15455">
          <cell r="C15455" t="str">
            <v>王瀚霆</v>
          </cell>
          <cell r="F15455" t="str">
            <v>M240703R1</v>
          </cell>
          <cell r="J15455">
            <v>45560</v>
          </cell>
          <cell r="K15455">
            <v>2</v>
          </cell>
        </row>
        <row r="15456">
          <cell r="C15456" t="str">
            <v>王瀚霆</v>
          </cell>
          <cell r="F15456" t="str">
            <v>K231101R1</v>
          </cell>
          <cell r="J15456">
            <v>45560</v>
          </cell>
          <cell r="K15456">
            <v>1</v>
          </cell>
        </row>
        <row r="15457">
          <cell r="C15457" t="str">
            <v>王瀚霆</v>
          </cell>
          <cell r="F15457" t="str">
            <v>M240705R1</v>
          </cell>
          <cell r="J15457">
            <v>45560</v>
          </cell>
          <cell r="K15457">
            <v>0.5</v>
          </cell>
        </row>
        <row r="15458">
          <cell r="C15458" t="str">
            <v>王瀚霆</v>
          </cell>
          <cell r="J15458">
            <v>45561</v>
          </cell>
          <cell r="K15458">
            <v>2</v>
          </cell>
        </row>
        <row r="15459">
          <cell r="C15459" t="str">
            <v>王瀚霆</v>
          </cell>
          <cell r="F15459" t="str">
            <v>M240703R1</v>
          </cell>
          <cell r="J15459">
            <v>45561</v>
          </cell>
          <cell r="K15459">
            <v>2.5</v>
          </cell>
        </row>
        <row r="15460">
          <cell r="C15460" t="str">
            <v>王瀚霆</v>
          </cell>
          <cell r="F15460" t="str">
            <v>D240902R1</v>
          </cell>
          <cell r="J15460">
            <v>45561</v>
          </cell>
          <cell r="K15460">
            <v>5</v>
          </cell>
        </row>
        <row r="15461">
          <cell r="C15461" t="str">
            <v>王瀚霆</v>
          </cell>
          <cell r="J15461">
            <v>45562</v>
          </cell>
          <cell r="K15461">
            <v>1</v>
          </cell>
        </row>
        <row r="15462">
          <cell r="C15462" t="str">
            <v>王瀚霆</v>
          </cell>
          <cell r="F15462" t="str">
            <v>K231101R1</v>
          </cell>
          <cell r="J15462">
            <v>45562</v>
          </cell>
          <cell r="K15462">
            <v>2</v>
          </cell>
        </row>
        <row r="15463">
          <cell r="C15463" t="str">
            <v>王瀚霆</v>
          </cell>
          <cell r="F15463" t="str">
            <v>D240902R1</v>
          </cell>
          <cell r="J15463">
            <v>45562</v>
          </cell>
          <cell r="K15463">
            <v>1</v>
          </cell>
        </row>
        <row r="15464">
          <cell r="C15464" t="str">
            <v>王瀚霆</v>
          </cell>
          <cell r="F15464" t="str">
            <v>M240101R1</v>
          </cell>
          <cell r="J15464">
            <v>45562</v>
          </cell>
          <cell r="K15464">
            <v>3.5</v>
          </cell>
        </row>
        <row r="15465">
          <cell r="C15465" t="str">
            <v>王瀚霆</v>
          </cell>
          <cell r="F15465" t="str">
            <v>K240801R1</v>
          </cell>
          <cell r="J15465">
            <v>45562</v>
          </cell>
          <cell r="K15465">
            <v>2</v>
          </cell>
        </row>
        <row r="15466">
          <cell r="C15466" t="str">
            <v>王瀚霆</v>
          </cell>
          <cell r="F15466" t="str">
            <v>M240703R1</v>
          </cell>
          <cell r="J15466">
            <v>45565</v>
          </cell>
          <cell r="K15466">
            <v>1</v>
          </cell>
        </row>
        <row r="15467">
          <cell r="C15467" t="str">
            <v>王瀚霆</v>
          </cell>
          <cell r="J15467">
            <v>45565</v>
          </cell>
          <cell r="K15467">
            <v>1</v>
          </cell>
        </row>
        <row r="15468">
          <cell r="C15468" t="str">
            <v>王瀚霆</v>
          </cell>
          <cell r="F15468" t="str">
            <v>K240801R1</v>
          </cell>
          <cell r="J15468">
            <v>45565</v>
          </cell>
          <cell r="K15468">
            <v>1</v>
          </cell>
        </row>
        <row r="15469">
          <cell r="C15469" t="str">
            <v>王瀚霆</v>
          </cell>
          <cell r="F15469" t="str">
            <v>M240101R1</v>
          </cell>
          <cell r="J15469">
            <v>45565</v>
          </cell>
          <cell r="K15469">
            <v>1</v>
          </cell>
        </row>
        <row r="15470">
          <cell r="C15470" t="str">
            <v>王瀚霆</v>
          </cell>
          <cell r="F15470" t="str">
            <v>D240902R1</v>
          </cell>
          <cell r="J15470">
            <v>45565</v>
          </cell>
          <cell r="K15470">
            <v>1</v>
          </cell>
        </row>
        <row r="15471">
          <cell r="C15471" t="str">
            <v>王瀚霆</v>
          </cell>
          <cell r="F15471" t="str">
            <v>D240901R1</v>
          </cell>
          <cell r="J15471">
            <v>45565</v>
          </cell>
          <cell r="K15471">
            <v>2</v>
          </cell>
        </row>
        <row r="15472">
          <cell r="C15472" t="str">
            <v>王瀚霆</v>
          </cell>
          <cell r="F15472" t="str">
            <v>M240101R1</v>
          </cell>
          <cell r="J15472">
            <v>45565</v>
          </cell>
          <cell r="K15472">
            <v>2.5</v>
          </cell>
        </row>
        <row r="15473">
          <cell r="C15473" t="str">
            <v>王瀚霆</v>
          </cell>
          <cell r="J15473">
            <v>45566</v>
          </cell>
          <cell r="K15473">
            <v>2</v>
          </cell>
        </row>
        <row r="15474">
          <cell r="C15474" t="str">
            <v>王瀚霆</v>
          </cell>
          <cell r="J15474">
            <v>45566</v>
          </cell>
          <cell r="K15474">
            <v>1.5</v>
          </cell>
        </row>
        <row r="15475">
          <cell r="C15475" t="str">
            <v>王瀚霆</v>
          </cell>
          <cell r="F15475" t="str">
            <v>D240902R1</v>
          </cell>
          <cell r="J15475">
            <v>45566</v>
          </cell>
          <cell r="K15475">
            <v>2</v>
          </cell>
        </row>
        <row r="15476">
          <cell r="C15476" t="str">
            <v>王瀚霆</v>
          </cell>
          <cell r="F15476" t="str">
            <v>M240201R1</v>
          </cell>
          <cell r="J15476">
            <v>45566</v>
          </cell>
          <cell r="K15476">
            <v>1.5</v>
          </cell>
        </row>
        <row r="15477">
          <cell r="C15477" t="str">
            <v>王瀚霆</v>
          </cell>
          <cell r="F15477" t="str">
            <v>D240901R1</v>
          </cell>
          <cell r="J15477">
            <v>45566</v>
          </cell>
          <cell r="K15477">
            <v>2.5</v>
          </cell>
        </row>
        <row r="15478">
          <cell r="C15478" t="str">
            <v>王瀚霆</v>
          </cell>
          <cell r="F15478" t="str">
            <v>D240901R1</v>
          </cell>
          <cell r="J15478">
            <v>45567</v>
          </cell>
          <cell r="K15478">
            <v>8</v>
          </cell>
        </row>
        <row r="15479">
          <cell r="C15479" t="str">
            <v>王瀚霆</v>
          </cell>
          <cell r="J15479">
            <v>45568</v>
          </cell>
          <cell r="K15479">
            <v>8</v>
          </cell>
        </row>
        <row r="15480">
          <cell r="C15480" t="str">
            <v>王瀚霆</v>
          </cell>
          <cell r="F15480" t="str">
            <v>D240902R1</v>
          </cell>
          <cell r="J15480">
            <v>45569</v>
          </cell>
          <cell r="K15480">
            <v>9.5</v>
          </cell>
        </row>
        <row r="15481">
          <cell r="C15481" t="str">
            <v>王瀚霆</v>
          </cell>
          <cell r="F15481" t="str">
            <v>D240902R1</v>
          </cell>
          <cell r="J15481">
            <v>45570</v>
          </cell>
          <cell r="K15481">
            <v>8</v>
          </cell>
        </row>
        <row r="15482">
          <cell r="C15482" t="str">
            <v>王瀚霆</v>
          </cell>
          <cell r="F15482" t="str">
            <v>D240902R1</v>
          </cell>
          <cell r="J15482">
            <v>45572</v>
          </cell>
          <cell r="K15482">
            <v>5</v>
          </cell>
        </row>
        <row r="15483">
          <cell r="C15483" t="str">
            <v>王瀚霆</v>
          </cell>
          <cell r="F15483" t="str">
            <v>D240901R1</v>
          </cell>
          <cell r="J15483">
            <v>45572</v>
          </cell>
          <cell r="K15483">
            <v>3</v>
          </cell>
        </row>
        <row r="15484">
          <cell r="C15484" t="str">
            <v>王瀚霆</v>
          </cell>
          <cell r="J15484">
            <v>45573</v>
          </cell>
          <cell r="K15484">
            <v>1</v>
          </cell>
        </row>
        <row r="15485">
          <cell r="C15485" t="str">
            <v>王瀚霆</v>
          </cell>
          <cell r="F15485" t="str">
            <v>D240902R1</v>
          </cell>
          <cell r="J15485">
            <v>45573</v>
          </cell>
          <cell r="K15485">
            <v>5</v>
          </cell>
        </row>
        <row r="15486">
          <cell r="C15486" t="str">
            <v>王瀚霆</v>
          </cell>
          <cell r="F15486" t="str">
            <v>D240901R1</v>
          </cell>
          <cell r="J15486">
            <v>45573</v>
          </cell>
          <cell r="K15486">
            <v>2</v>
          </cell>
        </row>
        <row r="15487">
          <cell r="C15487" t="str">
            <v>王瀚霆</v>
          </cell>
          <cell r="F15487" t="str">
            <v>K241001R1</v>
          </cell>
          <cell r="J15487">
            <v>45573</v>
          </cell>
          <cell r="K15487">
            <v>1.5</v>
          </cell>
        </row>
        <row r="15488">
          <cell r="C15488" t="str">
            <v>王瀚霆</v>
          </cell>
          <cell r="F15488" t="str">
            <v>M240101R1</v>
          </cell>
          <cell r="J15488">
            <v>45574</v>
          </cell>
          <cell r="K15488">
            <v>0.5</v>
          </cell>
        </row>
        <row r="15489">
          <cell r="C15489" t="str">
            <v>王瀚霆</v>
          </cell>
          <cell r="F15489" t="str">
            <v>M240703R1</v>
          </cell>
          <cell r="J15489">
            <v>45574</v>
          </cell>
          <cell r="K15489">
            <v>1</v>
          </cell>
        </row>
        <row r="15490">
          <cell r="C15490" t="str">
            <v>王瀚霆</v>
          </cell>
          <cell r="F15490" t="str">
            <v>K231101R1</v>
          </cell>
          <cell r="J15490">
            <v>45574</v>
          </cell>
          <cell r="K15490">
            <v>1</v>
          </cell>
        </row>
        <row r="15491">
          <cell r="C15491" t="str">
            <v>王瀚霆</v>
          </cell>
          <cell r="F15491" t="str">
            <v>D240902R1</v>
          </cell>
          <cell r="J15491">
            <v>45574</v>
          </cell>
          <cell r="K15491">
            <v>4</v>
          </cell>
        </row>
        <row r="15492">
          <cell r="C15492" t="str">
            <v>王瀚霆</v>
          </cell>
          <cell r="F15492" t="str">
            <v>M240101R1</v>
          </cell>
          <cell r="J15492">
            <v>45574</v>
          </cell>
          <cell r="K15492">
            <v>1.5</v>
          </cell>
        </row>
        <row r="15493">
          <cell r="C15493" t="str">
            <v>王瀚霆</v>
          </cell>
          <cell r="F15493" t="str">
            <v>D240902R1</v>
          </cell>
          <cell r="J15493">
            <v>45574</v>
          </cell>
          <cell r="K15493">
            <v>1.5</v>
          </cell>
        </row>
        <row r="15494">
          <cell r="C15494" t="str">
            <v>王瀚霆</v>
          </cell>
          <cell r="F15494" t="str">
            <v>D240901R1</v>
          </cell>
          <cell r="J15494">
            <v>45576</v>
          </cell>
          <cell r="K15494">
            <v>4.5</v>
          </cell>
        </row>
        <row r="15495">
          <cell r="C15495" t="str">
            <v>王瀚霆</v>
          </cell>
          <cell r="F15495" t="str">
            <v>M240101R1</v>
          </cell>
          <cell r="J15495">
            <v>45576</v>
          </cell>
          <cell r="K15495">
            <v>1</v>
          </cell>
        </row>
        <row r="15496">
          <cell r="C15496" t="str">
            <v>王瀚霆</v>
          </cell>
          <cell r="F15496" t="str">
            <v>D240902R1</v>
          </cell>
          <cell r="J15496">
            <v>45576</v>
          </cell>
          <cell r="K15496">
            <v>4</v>
          </cell>
        </row>
        <row r="15497">
          <cell r="C15497" t="str">
            <v>王瀚霆</v>
          </cell>
          <cell r="F15497" t="str">
            <v>D240901R1</v>
          </cell>
          <cell r="J15497">
            <v>45579</v>
          </cell>
          <cell r="K15497">
            <v>3.5</v>
          </cell>
        </row>
        <row r="15498">
          <cell r="C15498" t="str">
            <v>王瀚霆</v>
          </cell>
          <cell r="F15498" t="str">
            <v>M240101R1</v>
          </cell>
          <cell r="J15498">
            <v>45579</v>
          </cell>
          <cell r="K15498">
            <v>1</v>
          </cell>
        </row>
        <row r="15499">
          <cell r="C15499" t="str">
            <v>王瀚霆</v>
          </cell>
          <cell r="F15499" t="str">
            <v>D240902R1</v>
          </cell>
          <cell r="J15499">
            <v>45579</v>
          </cell>
          <cell r="K15499">
            <v>5</v>
          </cell>
        </row>
        <row r="15500">
          <cell r="C15500" t="str">
            <v>王瀚霆</v>
          </cell>
          <cell r="F15500" t="str">
            <v>K241001R1</v>
          </cell>
          <cell r="J15500">
            <v>45580</v>
          </cell>
          <cell r="K15500">
            <v>3.5</v>
          </cell>
        </row>
        <row r="15501">
          <cell r="C15501" t="str">
            <v>王瀚霆</v>
          </cell>
          <cell r="F15501" t="str">
            <v>D240902R1</v>
          </cell>
          <cell r="J15501">
            <v>45580</v>
          </cell>
          <cell r="K15501">
            <v>3</v>
          </cell>
        </row>
        <row r="15502">
          <cell r="C15502" t="str">
            <v>王瀚霆</v>
          </cell>
          <cell r="F15502" t="str">
            <v>D240902R1</v>
          </cell>
          <cell r="J15502">
            <v>45580</v>
          </cell>
          <cell r="K15502">
            <v>3</v>
          </cell>
        </row>
        <row r="15503">
          <cell r="C15503" t="str">
            <v>王瀚霆</v>
          </cell>
          <cell r="J15503">
            <v>45581</v>
          </cell>
          <cell r="K15503">
            <v>0.5</v>
          </cell>
        </row>
        <row r="15504">
          <cell r="C15504" t="str">
            <v>王瀚霆</v>
          </cell>
          <cell r="F15504" t="str">
            <v>M240101P1</v>
          </cell>
          <cell r="J15504">
            <v>45581</v>
          </cell>
          <cell r="K15504">
            <v>1</v>
          </cell>
        </row>
        <row r="15505">
          <cell r="C15505" t="str">
            <v>王瀚霆</v>
          </cell>
          <cell r="F15505" t="str">
            <v>K231101P1</v>
          </cell>
          <cell r="J15505">
            <v>45581</v>
          </cell>
          <cell r="K15505">
            <v>1</v>
          </cell>
        </row>
        <row r="15506">
          <cell r="C15506" t="str">
            <v>王瀚霆</v>
          </cell>
          <cell r="F15506" t="str">
            <v>M240703R1</v>
          </cell>
          <cell r="J15506">
            <v>45581</v>
          </cell>
          <cell r="K15506">
            <v>1</v>
          </cell>
        </row>
        <row r="15507">
          <cell r="C15507" t="str">
            <v>王瀚霆</v>
          </cell>
          <cell r="F15507" t="str">
            <v>D240902R1</v>
          </cell>
          <cell r="J15507">
            <v>45581</v>
          </cell>
          <cell r="K15507">
            <v>3</v>
          </cell>
        </row>
        <row r="15508">
          <cell r="C15508" t="str">
            <v>王瀚霆</v>
          </cell>
          <cell r="F15508" t="str">
            <v>K231101R1</v>
          </cell>
          <cell r="J15508">
            <v>45581</v>
          </cell>
          <cell r="K15508">
            <v>3</v>
          </cell>
        </row>
        <row r="15509">
          <cell r="C15509" t="str">
            <v>王瀚霆</v>
          </cell>
          <cell r="J15509">
            <v>45582</v>
          </cell>
          <cell r="K15509">
            <v>8</v>
          </cell>
        </row>
        <row r="15510">
          <cell r="C15510" t="str">
            <v>王瀚霆</v>
          </cell>
          <cell r="J15510">
            <v>45583</v>
          </cell>
          <cell r="K15510">
            <v>8</v>
          </cell>
        </row>
        <row r="15511">
          <cell r="C15511" t="str">
            <v>王瀚霆</v>
          </cell>
          <cell r="J15511">
            <v>45586</v>
          </cell>
          <cell r="K15511">
            <v>8</v>
          </cell>
        </row>
        <row r="15512">
          <cell r="C15512" t="str">
            <v>王瀚霆</v>
          </cell>
          <cell r="J15512">
            <v>45587</v>
          </cell>
          <cell r="K15512">
            <v>8</v>
          </cell>
        </row>
        <row r="15513">
          <cell r="C15513" t="str">
            <v>王瀚霆</v>
          </cell>
          <cell r="F15513" t="str">
            <v>M240705R1</v>
          </cell>
          <cell r="J15513">
            <v>45588</v>
          </cell>
          <cell r="K15513">
            <v>1</v>
          </cell>
        </row>
        <row r="15514">
          <cell r="C15514" t="str">
            <v>王瀚霆</v>
          </cell>
          <cell r="F15514" t="str">
            <v>M240101P1</v>
          </cell>
          <cell r="J15514">
            <v>45588</v>
          </cell>
          <cell r="K15514">
            <v>1</v>
          </cell>
        </row>
        <row r="15515">
          <cell r="C15515" t="str">
            <v>王瀚霆</v>
          </cell>
          <cell r="F15515" t="str">
            <v>D240902R1</v>
          </cell>
          <cell r="J15515">
            <v>45588</v>
          </cell>
          <cell r="K15515">
            <v>2.5</v>
          </cell>
        </row>
        <row r="15516">
          <cell r="C15516" t="str">
            <v>王瀚霆</v>
          </cell>
          <cell r="F15516" t="str">
            <v>M240703R1</v>
          </cell>
          <cell r="J15516">
            <v>45588</v>
          </cell>
          <cell r="K15516">
            <v>2.5</v>
          </cell>
        </row>
        <row r="15517">
          <cell r="C15517" t="str">
            <v>王瀚霆</v>
          </cell>
          <cell r="F15517" t="str">
            <v>K231101P1</v>
          </cell>
          <cell r="J15517">
            <v>45588</v>
          </cell>
          <cell r="K15517">
            <v>2.5</v>
          </cell>
        </row>
        <row r="15518">
          <cell r="C15518" t="str">
            <v>王瀚霆</v>
          </cell>
          <cell r="J15518">
            <v>45589</v>
          </cell>
          <cell r="K15518">
            <v>1</v>
          </cell>
        </row>
        <row r="15519">
          <cell r="C15519" t="str">
            <v>王瀚霆</v>
          </cell>
          <cell r="J15519">
            <v>45589</v>
          </cell>
          <cell r="K15519">
            <v>1</v>
          </cell>
        </row>
        <row r="15520">
          <cell r="C15520" t="str">
            <v>王瀚霆</v>
          </cell>
          <cell r="J15520">
            <v>45589</v>
          </cell>
          <cell r="K15520">
            <v>1</v>
          </cell>
        </row>
        <row r="15521">
          <cell r="C15521" t="str">
            <v>王瀚霆</v>
          </cell>
          <cell r="F15521" t="str">
            <v>D240902R1</v>
          </cell>
          <cell r="J15521">
            <v>45589</v>
          </cell>
          <cell r="K15521">
            <v>2</v>
          </cell>
        </row>
        <row r="15522">
          <cell r="C15522" t="str">
            <v>王瀚霆</v>
          </cell>
          <cell r="F15522" t="str">
            <v>M240703R1</v>
          </cell>
          <cell r="J15522">
            <v>45589</v>
          </cell>
          <cell r="K15522">
            <v>1</v>
          </cell>
        </row>
        <row r="15523">
          <cell r="C15523" t="str">
            <v>王瀚霆</v>
          </cell>
          <cell r="F15523" t="str">
            <v>D240902R1</v>
          </cell>
          <cell r="J15523">
            <v>45589</v>
          </cell>
          <cell r="K15523">
            <v>3.5</v>
          </cell>
        </row>
        <row r="15524">
          <cell r="C15524" t="str">
            <v>王瀚霆</v>
          </cell>
          <cell r="F15524" t="str">
            <v>M240705R1</v>
          </cell>
          <cell r="J15524">
            <v>45590</v>
          </cell>
          <cell r="K15524">
            <v>1</v>
          </cell>
        </row>
        <row r="15525">
          <cell r="C15525" t="str">
            <v>王瀚霆</v>
          </cell>
          <cell r="F15525" t="str">
            <v>D240902R1</v>
          </cell>
          <cell r="J15525">
            <v>45590</v>
          </cell>
          <cell r="K15525">
            <v>1</v>
          </cell>
        </row>
        <row r="15526">
          <cell r="C15526" t="str">
            <v>王瀚霆</v>
          </cell>
          <cell r="F15526" t="str">
            <v>M240703R1</v>
          </cell>
          <cell r="J15526">
            <v>45590</v>
          </cell>
          <cell r="K15526">
            <v>2.5</v>
          </cell>
        </row>
        <row r="15527">
          <cell r="C15527" t="str">
            <v>王瀚霆</v>
          </cell>
          <cell r="F15527" t="str">
            <v>K231101P1</v>
          </cell>
          <cell r="J15527">
            <v>45590</v>
          </cell>
          <cell r="K15527">
            <v>1</v>
          </cell>
        </row>
        <row r="15528">
          <cell r="C15528" t="str">
            <v>王瀚霆</v>
          </cell>
          <cell r="F15528" t="str">
            <v>D240902R1</v>
          </cell>
          <cell r="J15528">
            <v>45590</v>
          </cell>
          <cell r="K15528">
            <v>4</v>
          </cell>
        </row>
        <row r="15529">
          <cell r="C15529" t="str">
            <v>王瀚霆</v>
          </cell>
          <cell r="F15529" t="str">
            <v>D240902R1</v>
          </cell>
          <cell r="J15529">
            <v>45593</v>
          </cell>
          <cell r="K15529">
            <v>1</v>
          </cell>
        </row>
        <row r="15530">
          <cell r="C15530" t="str">
            <v>王瀚霆</v>
          </cell>
          <cell r="F15530" t="str">
            <v>M240704R1</v>
          </cell>
          <cell r="J15530">
            <v>45593</v>
          </cell>
          <cell r="K15530">
            <v>8.5</v>
          </cell>
        </row>
        <row r="15531">
          <cell r="C15531" t="str">
            <v>王瀚霆</v>
          </cell>
          <cell r="F15531" t="str">
            <v>M240704R1</v>
          </cell>
          <cell r="J15531">
            <v>45594</v>
          </cell>
          <cell r="K15531">
            <v>9.5</v>
          </cell>
        </row>
        <row r="15532">
          <cell r="C15532" t="str">
            <v>王瀚霆</v>
          </cell>
          <cell r="F15532" t="str">
            <v>M240704R1</v>
          </cell>
          <cell r="J15532">
            <v>45595</v>
          </cell>
          <cell r="K15532">
            <v>7</v>
          </cell>
        </row>
        <row r="15533">
          <cell r="C15533" t="str">
            <v>王瀚霆</v>
          </cell>
          <cell r="F15533" t="str">
            <v>D240902R1</v>
          </cell>
          <cell r="J15533">
            <v>45595</v>
          </cell>
          <cell r="K15533">
            <v>2.5</v>
          </cell>
        </row>
        <row r="15534">
          <cell r="C15534" t="str">
            <v>王瀚霆</v>
          </cell>
          <cell r="J15534">
            <v>45596</v>
          </cell>
          <cell r="K15534">
            <v>8</v>
          </cell>
        </row>
        <row r="15535">
          <cell r="C15535" t="str">
            <v>王瀚霆</v>
          </cell>
          <cell r="J15535">
            <v>45597</v>
          </cell>
          <cell r="K15535">
            <v>1.5</v>
          </cell>
        </row>
        <row r="15536">
          <cell r="C15536" t="str">
            <v>王瀚霆</v>
          </cell>
          <cell r="F15536" t="str">
            <v>M240703R1</v>
          </cell>
          <cell r="J15536">
            <v>45597</v>
          </cell>
          <cell r="K15536">
            <v>1</v>
          </cell>
        </row>
        <row r="15537">
          <cell r="C15537" t="str">
            <v>王瀚霆</v>
          </cell>
          <cell r="F15537" t="str">
            <v>M240704R1</v>
          </cell>
          <cell r="J15537">
            <v>45597</v>
          </cell>
          <cell r="K15537">
            <v>3</v>
          </cell>
        </row>
        <row r="15538">
          <cell r="C15538" t="str">
            <v>王瀚霆</v>
          </cell>
          <cell r="F15538" t="str">
            <v>D240902R1</v>
          </cell>
          <cell r="J15538">
            <v>45597</v>
          </cell>
          <cell r="K15538">
            <v>4</v>
          </cell>
        </row>
        <row r="15539">
          <cell r="C15539" t="str">
            <v>王瀚霆</v>
          </cell>
          <cell r="F15539" t="str">
            <v>M240704R1</v>
          </cell>
          <cell r="J15539">
            <v>45600</v>
          </cell>
          <cell r="K15539">
            <v>1</v>
          </cell>
        </row>
        <row r="15540">
          <cell r="C15540" t="str">
            <v>王瀚霆</v>
          </cell>
          <cell r="F15540" t="str">
            <v>M240703R1</v>
          </cell>
          <cell r="J15540">
            <v>45600</v>
          </cell>
          <cell r="K15540">
            <v>2</v>
          </cell>
        </row>
        <row r="15541">
          <cell r="C15541" t="str">
            <v>王瀚霆</v>
          </cell>
          <cell r="F15541" t="str">
            <v>M240704R1</v>
          </cell>
          <cell r="J15541">
            <v>45600</v>
          </cell>
          <cell r="K15541">
            <v>4.5</v>
          </cell>
        </row>
        <row r="15542">
          <cell r="C15542" t="str">
            <v>王瀚霆</v>
          </cell>
          <cell r="F15542" t="str">
            <v>D240902R1</v>
          </cell>
          <cell r="J15542">
            <v>45600</v>
          </cell>
          <cell r="K15542">
            <v>2</v>
          </cell>
        </row>
        <row r="15543">
          <cell r="C15543" t="str">
            <v>王瀚霆</v>
          </cell>
          <cell r="F15543" t="str">
            <v>M240703R1</v>
          </cell>
          <cell r="J15543">
            <v>45601</v>
          </cell>
          <cell r="K15543">
            <v>4.5</v>
          </cell>
        </row>
        <row r="15544">
          <cell r="C15544" t="str">
            <v>王瀚霆</v>
          </cell>
          <cell r="F15544" t="str">
            <v>D240902R1</v>
          </cell>
          <cell r="J15544">
            <v>45601</v>
          </cell>
          <cell r="K15544">
            <v>5</v>
          </cell>
        </row>
        <row r="15545">
          <cell r="C15545" t="str">
            <v>王瀚霆</v>
          </cell>
          <cell r="F15545" t="str">
            <v>M240101R1</v>
          </cell>
          <cell r="J15545">
            <v>45602</v>
          </cell>
          <cell r="K15545">
            <v>2.5</v>
          </cell>
        </row>
        <row r="15546">
          <cell r="C15546" t="str">
            <v>王瀚霆</v>
          </cell>
          <cell r="F15546" t="str">
            <v>D240902R1</v>
          </cell>
          <cell r="J15546">
            <v>45602</v>
          </cell>
          <cell r="K15546">
            <v>4</v>
          </cell>
        </row>
        <row r="15547">
          <cell r="C15547" t="str">
            <v>王瀚霆</v>
          </cell>
          <cell r="F15547" t="str">
            <v>D240902R1</v>
          </cell>
          <cell r="J15547">
            <v>45602</v>
          </cell>
          <cell r="K15547">
            <v>1</v>
          </cell>
        </row>
        <row r="15548">
          <cell r="C15548" t="str">
            <v>王瀚霆</v>
          </cell>
          <cell r="F15548" t="str">
            <v>D240902R1</v>
          </cell>
          <cell r="J15548">
            <v>45602</v>
          </cell>
          <cell r="K15548">
            <v>1.5</v>
          </cell>
        </row>
        <row r="15549">
          <cell r="C15549" t="str">
            <v>王瀚霆</v>
          </cell>
          <cell r="F15549" t="str">
            <v>M240704R1</v>
          </cell>
          <cell r="J15549">
            <v>45602</v>
          </cell>
          <cell r="K15549">
            <v>0.5</v>
          </cell>
        </row>
        <row r="15550">
          <cell r="C15550" t="str">
            <v>王瀚霆</v>
          </cell>
          <cell r="J15550">
            <v>45603</v>
          </cell>
          <cell r="K15550">
            <v>0.5</v>
          </cell>
        </row>
        <row r="15551">
          <cell r="C15551" t="str">
            <v>王瀚霆</v>
          </cell>
          <cell r="F15551" t="str">
            <v>D240902R1</v>
          </cell>
          <cell r="J15551">
            <v>45603</v>
          </cell>
          <cell r="K15551">
            <v>1</v>
          </cell>
        </row>
        <row r="15552">
          <cell r="C15552" t="str">
            <v>王瀚霆</v>
          </cell>
          <cell r="F15552" t="str">
            <v>M240704R1</v>
          </cell>
          <cell r="J15552">
            <v>45603</v>
          </cell>
          <cell r="K15552">
            <v>6</v>
          </cell>
        </row>
        <row r="15553">
          <cell r="C15553" t="str">
            <v>王瀚霆</v>
          </cell>
          <cell r="F15553" t="str">
            <v>D240902R1</v>
          </cell>
          <cell r="J15553">
            <v>45603</v>
          </cell>
          <cell r="K15553">
            <v>3</v>
          </cell>
        </row>
        <row r="15554">
          <cell r="C15554" t="str">
            <v>王瀚霆</v>
          </cell>
          <cell r="J15554">
            <v>45604</v>
          </cell>
          <cell r="K15554">
            <v>4.5</v>
          </cell>
        </row>
        <row r="15555">
          <cell r="C15555" t="str">
            <v>王瀚霆</v>
          </cell>
          <cell r="F15555" t="str">
            <v>M240704R1</v>
          </cell>
          <cell r="J15555">
            <v>45604</v>
          </cell>
          <cell r="K15555">
            <v>2</v>
          </cell>
        </row>
        <row r="15556">
          <cell r="C15556" t="str">
            <v>王瀚霆</v>
          </cell>
          <cell r="F15556" t="str">
            <v>D240902R1</v>
          </cell>
          <cell r="J15556">
            <v>45604</v>
          </cell>
          <cell r="K15556">
            <v>1.5</v>
          </cell>
        </row>
        <row r="15557">
          <cell r="C15557" t="str">
            <v>王瀚霆</v>
          </cell>
          <cell r="J15557">
            <v>45607</v>
          </cell>
          <cell r="K15557">
            <v>1.5</v>
          </cell>
        </row>
        <row r="15558">
          <cell r="C15558" t="str">
            <v>王瀚霆</v>
          </cell>
          <cell r="F15558" t="str">
            <v>M240101R1</v>
          </cell>
          <cell r="J15558">
            <v>45607</v>
          </cell>
          <cell r="K15558">
            <v>1.5</v>
          </cell>
        </row>
        <row r="15559">
          <cell r="C15559" t="str">
            <v>王瀚霆</v>
          </cell>
          <cell r="F15559" t="str">
            <v>M240704R1</v>
          </cell>
          <cell r="J15559">
            <v>45607</v>
          </cell>
          <cell r="K15559">
            <v>1.5</v>
          </cell>
        </row>
        <row r="15560">
          <cell r="C15560" t="str">
            <v>王瀚霆</v>
          </cell>
          <cell r="F15560" t="str">
            <v>D240902R1</v>
          </cell>
          <cell r="J15560">
            <v>45607</v>
          </cell>
          <cell r="K15560">
            <v>2.5</v>
          </cell>
        </row>
        <row r="15561">
          <cell r="C15561" t="str">
            <v>王瀚霆</v>
          </cell>
          <cell r="F15561" t="str">
            <v>K231101P1</v>
          </cell>
          <cell r="J15561">
            <v>45607</v>
          </cell>
          <cell r="K15561">
            <v>1.5</v>
          </cell>
        </row>
        <row r="15562">
          <cell r="C15562" t="str">
            <v>王瀚霆</v>
          </cell>
          <cell r="F15562" t="str">
            <v>M240704R1</v>
          </cell>
          <cell r="J15562">
            <v>45607</v>
          </cell>
          <cell r="K15562">
            <v>1</v>
          </cell>
        </row>
        <row r="15563">
          <cell r="C15563" t="str">
            <v>王瀚霆</v>
          </cell>
          <cell r="J15563">
            <v>45608</v>
          </cell>
          <cell r="K15563">
            <v>1.5</v>
          </cell>
        </row>
        <row r="15564">
          <cell r="C15564" t="str">
            <v>王瀚霆</v>
          </cell>
          <cell r="F15564" t="str">
            <v>M240703R1</v>
          </cell>
          <cell r="J15564">
            <v>45608</v>
          </cell>
          <cell r="K15564">
            <v>2</v>
          </cell>
        </row>
        <row r="15565">
          <cell r="C15565" t="str">
            <v>王瀚霆</v>
          </cell>
          <cell r="F15565" t="str">
            <v>M240704R1</v>
          </cell>
          <cell r="J15565">
            <v>45608</v>
          </cell>
          <cell r="K15565">
            <v>3.5</v>
          </cell>
        </row>
        <row r="15566">
          <cell r="C15566" t="str">
            <v>王瀚霆</v>
          </cell>
          <cell r="F15566" t="str">
            <v>M240101R1</v>
          </cell>
          <cell r="J15566">
            <v>45608</v>
          </cell>
          <cell r="K15566">
            <v>1.5</v>
          </cell>
        </row>
        <row r="15567">
          <cell r="C15567" t="str">
            <v>王瀚霆</v>
          </cell>
          <cell r="F15567" t="str">
            <v>D240902R1</v>
          </cell>
          <cell r="J15567">
            <v>45608</v>
          </cell>
          <cell r="K15567">
            <v>1</v>
          </cell>
        </row>
        <row r="15568">
          <cell r="C15568" t="str">
            <v>王瀚霆</v>
          </cell>
          <cell r="J15568">
            <v>45609</v>
          </cell>
          <cell r="K15568">
            <v>3</v>
          </cell>
        </row>
        <row r="15569">
          <cell r="C15569" t="str">
            <v>王瀚霆</v>
          </cell>
          <cell r="F15569" t="str">
            <v>M240703R1</v>
          </cell>
          <cell r="J15569">
            <v>45609</v>
          </cell>
          <cell r="K15569">
            <v>2</v>
          </cell>
        </row>
        <row r="15570">
          <cell r="C15570" t="str">
            <v>王瀚霆</v>
          </cell>
          <cell r="F15570" t="str">
            <v>M240704R1</v>
          </cell>
          <cell r="J15570">
            <v>45609</v>
          </cell>
          <cell r="K15570">
            <v>1.5</v>
          </cell>
        </row>
        <row r="15571">
          <cell r="C15571" t="str">
            <v>王瀚霆</v>
          </cell>
          <cell r="F15571" t="str">
            <v>D240902R1</v>
          </cell>
          <cell r="J15571">
            <v>45609</v>
          </cell>
          <cell r="K15571">
            <v>1</v>
          </cell>
        </row>
        <row r="15572">
          <cell r="C15572" t="str">
            <v>王瀚霆</v>
          </cell>
          <cell r="F15572" t="str">
            <v>K231101P1</v>
          </cell>
          <cell r="J15572">
            <v>45609</v>
          </cell>
          <cell r="K15572">
            <v>1</v>
          </cell>
        </row>
        <row r="15573">
          <cell r="C15573" t="str">
            <v>王瀚霆</v>
          </cell>
          <cell r="F15573" t="str">
            <v>D240901R1</v>
          </cell>
          <cell r="J15573">
            <v>45609</v>
          </cell>
          <cell r="K15573">
            <v>1</v>
          </cell>
        </row>
        <row r="15574">
          <cell r="C15574" t="str">
            <v>王瀚霆</v>
          </cell>
          <cell r="J15574">
            <v>45610</v>
          </cell>
          <cell r="K15574">
            <v>1</v>
          </cell>
        </row>
        <row r="15575">
          <cell r="C15575" t="str">
            <v>王瀚霆</v>
          </cell>
          <cell r="F15575" t="str">
            <v>M240703R1</v>
          </cell>
          <cell r="J15575">
            <v>45610</v>
          </cell>
          <cell r="K15575">
            <v>1.5</v>
          </cell>
        </row>
        <row r="15576">
          <cell r="C15576" t="str">
            <v>王瀚霆</v>
          </cell>
          <cell r="F15576" t="str">
            <v>M240704R1</v>
          </cell>
          <cell r="J15576">
            <v>45610</v>
          </cell>
          <cell r="K15576">
            <v>1.5</v>
          </cell>
        </row>
        <row r="15577">
          <cell r="C15577" t="str">
            <v>王瀚霆</v>
          </cell>
          <cell r="F15577" t="str">
            <v>M240101P1</v>
          </cell>
          <cell r="J15577">
            <v>45610</v>
          </cell>
          <cell r="K15577">
            <v>1.5</v>
          </cell>
        </row>
        <row r="15578">
          <cell r="C15578" t="str">
            <v>王瀚霆</v>
          </cell>
          <cell r="F15578" t="str">
            <v>D240902R1</v>
          </cell>
          <cell r="J15578">
            <v>45610</v>
          </cell>
          <cell r="K15578">
            <v>1</v>
          </cell>
        </row>
        <row r="15579">
          <cell r="C15579" t="str">
            <v>王瀚霆</v>
          </cell>
          <cell r="F15579" t="str">
            <v>K231101P1</v>
          </cell>
          <cell r="J15579">
            <v>45610</v>
          </cell>
          <cell r="K15579">
            <v>1.5</v>
          </cell>
        </row>
        <row r="15580">
          <cell r="C15580" t="str">
            <v>王瀚霆</v>
          </cell>
          <cell r="F15580" t="str">
            <v>D240902R1</v>
          </cell>
          <cell r="J15580">
            <v>45610</v>
          </cell>
          <cell r="K15580">
            <v>1.5</v>
          </cell>
        </row>
        <row r="15581">
          <cell r="C15581" t="str">
            <v>王瀚霆</v>
          </cell>
          <cell r="F15581" t="str">
            <v>M240101P1</v>
          </cell>
          <cell r="J15581">
            <v>45611</v>
          </cell>
          <cell r="K15581">
            <v>3.5</v>
          </cell>
        </row>
        <row r="15582">
          <cell r="C15582" t="str">
            <v>王瀚霆</v>
          </cell>
          <cell r="F15582" t="str">
            <v>D240902R1</v>
          </cell>
          <cell r="J15582">
            <v>45611</v>
          </cell>
          <cell r="K15582">
            <v>6</v>
          </cell>
        </row>
        <row r="15583">
          <cell r="C15583" t="str">
            <v>王瀚霆</v>
          </cell>
          <cell r="F15583" t="str">
            <v>K231101P1</v>
          </cell>
          <cell r="J15583">
            <v>45614</v>
          </cell>
          <cell r="K15583">
            <v>1</v>
          </cell>
        </row>
        <row r="15584">
          <cell r="C15584" t="str">
            <v>王瀚霆</v>
          </cell>
          <cell r="F15584" t="str">
            <v>M240703R1</v>
          </cell>
          <cell r="J15584">
            <v>45614</v>
          </cell>
          <cell r="K15584">
            <v>2</v>
          </cell>
        </row>
        <row r="15585">
          <cell r="C15585" t="str">
            <v>王瀚霆</v>
          </cell>
          <cell r="F15585" t="str">
            <v>M240704R1</v>
          </cell>
          <cell r="J15585">
            <v>45614</v>
          </cell>
          <cell r="K15585">
            <v>1</v>
          </cell>
        </row>
        <row r="15586">
          <cell r="C15586" t="str">
            <v>王瀚霆</v>
          </cell>
          <cell r="F15586" t="str">
            <v>D240901R1</v>
          </cell>
          <cell r="J15586">
            <v>45614</v>
          </cell>
          <cell r="K15586">
            <v>1.5</v>
          </cell>
        </row>
        <row r="15587">
          <cell r="C15587" t="str">
            <v>王瀚霆</v>
          </cell>
          <cell r="F15587" t="str">
            <v>K241001R1</v>
          </cell>
          <cell r="J15587">
            <v>45614</v>
          </cell>
          <cell r="K15587">
            <v>1.5</v>
          </cell>
        </row>
        <row r="15588">
          <cell r="C15588" t="str">
            <v>王瀚霆</v>
          </cell>
          <cell r="F15588" t="str">
            <v>D240902R1</v>
          </cell>
          <cell r="J15588">
            <v>45614</v>
          </cell>
          <cell r="K15588">
            <v>1</v>
          </cell>
        </row>
        <row r="15589">
          <cell r="C15589" t="str">
            <v>王瀚霆</v>
          </cell>
          <cell r="F15589" t="str">
            <v>D240901R1</v>
          </cell>
          <cell r="J15589">
            <v>45614</v>
          </cell>
          <cell r="K15589">
            <v>1.5</v>
          </cell>
        </row>
        <row r="15590">
          <cell r="C15590" t="str">
            <v>王瀚霆</v>
          </cell>
          <cell r="F15590" t="str">
            <v>M240703R1</v>
          </cell>
          <cell r="J15590">
            <v>45615</v>
          </cell>
          <cell r="K15590">
            <v>1.5</v>
          </cell>
        </row>
        <row r="15591">
          <cell r="C15591" t="str">
            <v>王瀚霆</v>
          </cell>
          <cell r="F15591" t="str">
            <v>D240902R1</v>
          </cell>
          <cell r="J15591">
            <v>45615</v>
          </cell>
          <cell r="K15591">
            <v>1.5</v>
          </cell>
        </row>
        <row r="15592">
          <cell r="C15592" t="str">
            <v>王瀚霆</v>
          </cell>
          <cell r="F15592" t="str">
            <v>M240704R1</v>
          </cell>
          <cell r="J15592">
            <v>45615</v>
          </cell>
          <cell r="K15592">
            <v>3</v>
          </cell>
        </row>
        <row r="15593">
          <cell r="C15593" t="str">
            <v>王瀚霆</v>
          </cell>
          <cell r="F15593" t="str">
            <v>K241001R1</v>
          </cell>
          <cell r="J15593">
            <v>45615</v>
          </cell>
          <cell r="K15593">
            <v>2</v>
          </cell>
        </row>
        <row r="15594">
          <cell r="C15594" t="str">
            <v>王瀚霆</v>
          </cell>
          <cell r="F15594" t="str">
            <v>K231101R1</v>
          </cell>
          <cell r="J15594">
            <v>45615</v>
          </cell>
          <cell r="K15594">
            <v>1.5</v>
          </cell>
        </row>
        <row r="15595">
          <cell r="C15595" t="str">
            <v>王瀚霆</v>
          </cell>
          <cell r="F15595" t="str">
            <v>M240703R1</v>
          </cell>
          <cell r="J15595">
            <v>45616</v>
          </cell>
          <cell r="K15595">
            <v>1.5</v>
          </cell>
        </row>
        <row r="15596">
          <cell r="C15596" t="str">
            <v>王瀚霆</v>
          </cell>
          <cell r="F15596" t="str">
            <v>D240902R1</v>
          </cell>
          <cell r="J15596">
            <v>45616</v>
          </cell>
          <cell r="K15596">
            <v>3</v>
          </cell>
        </row>
        <row r="15597">
          <cell r="C15597" t="str">
            <v>王瀚霆</v>
          </cell>
          <cell r="F15597" t="str">
            <v>M240704R1</v>
          </cell>
          <cell r="J15597">
            <v>45616</v>
          </cell>
          <cell r="K15597">
            <v>5</v>
          </cell>
        </row>
        <row r="15598">
          <cell r="C15598" t="str">
            <v>王瀚霆</v>
          </cell>
          <cell r="J15598">
            <v>45617</v>
          </cell>
          <cell r="K15598">
            <v>1.5</v>
          </cell>
        </row>
        <row r="15599">
          <cell r="C15599" t="str">
            <v>王瀚霆</v>
          </cell>
          <cell r="J15599">
            <v>45617</v>
          </cell>
          <cell r="K15599">
            <v>0.5</v>
          </cell>
        </row>
        <row r="15600">
          <cell r="C15600" t="str">
            <v>王瀚霆</v>
          </cell>
          <cell r="F15600" t="str">
            <v>M240705R1</v>
          </cell>
          <cell r="J15600">
            <v>45617</v>
          </cell>
          <cell r="K15600">
            <v>1.5</v>
          </cell>
        </row>
        <row r="15601">
          <cell r="C15601" t="str">
            <v>王瀚霆</v>
          </cell>
          <cell r="F15601" t="str">
            <v>D240902R1</v>
          </cell>
          <cell r="J15601">
            <v>45617</v>
          </cell>
          <cell r="K15601">
            <v>2.5</v>
          </cell>
        </row>
        <row r="15602">
          <cell r="C15602" t="str">
            <v>王瀚霆</v>
          </cell>
          <cell r="F15602" t="str">
            <v>M240704R1</v>
          </cell>
          <cell r="J15602">
            <v>45617</v>
          </cell>
          <cell r="K15602">
            <v>3.5</v>
          </cell>
        </row>
        <row r="15603">
          <cell r="C15603" t="str">
            <v>王瀚霆</v>
          </cell>
          <cell r="F15603" t="str">
            <v>M240705R1</v>
          </cell>
          <cell r="J15603">
            <v>45618</v>
          </cell>
          <cell r="K15603">
            <v>3.5</v>
          </cell>
        </row>
        <row r="15604">
          <cell r="C15604" t="str">
            <v>王瀚霆</v>
          </cell>
          <cell r="F15604" t="str">
            <v>M240703R1</v>
          </cell>
          <cell r="J15604">
            <v>45618</v>
          </cell>
          <cell r="K15604">
            <v>3</v>
          </cell>
        </row>
        <row r="15605">
          <cell r="C15605" t="str">
            <v>王瀚霆</v>
          </cell>
          <cell r="F15605" t="str">
            <v>D240902R1</v>
          </cell>
          <cell r="J15605">
            <v>45618</v>
          </cell>
          <cell r="K15605">
            <v>2</v>
          </cell>
        </row>
        <row r="15606">
          <cell r="C15606" t="str">
            <v>王瀚霆</v>
          </cell>
          <cell r="F15606" t="str">
            <v>M240704R1</v>
          </cell>
          <cell r="J15606">
            <v>45618</v>
          </cell>
          <cell r="K15606">
            <v>1</v>
          </cell>
        </row>
        <row r="15607">
          <cell r="C15607" t="str">
            <v>王瀚霆</v>
          </cell>
          <cell r="F15607" t="str">
            <v>M240703R1</v>
          </cell>
          <cell r="J15607">
            <v>45621</v>
          </cell>
          <cell r="K15607">
            <v>1</v>
          </cell>
        </row>
        <row r="15608">
          <cell r="C15608" t="str">
            <v>王瀚霆</v>
          </cell>
          <cell r="F15608" t="str">
            <v>K231101P1</v>
          </cell>
          <cell r="J15608">
            <v>45621</v>
          </cell>
          <cell r="K15608">
            <v>1</v>
          </cell>
        </row>
        <row r="15609">
          <cell r="C15609" t="str">
            <v>王瀚霆</v>
          </cell>
          <cell r="F15609" t="str">
            <v>M240705R1</v>
          </cell>
          <cell r="J15609">
            <v>45621</v>
          </cell>
          <cell r="K15609">
            <v>3</v>
          </cell>
        </row>
        <row r="15610">
          <cell r="C15610" t="str">
            <v>王瀚霆</v>
          </cell>
          <cell r="F15610" t="str">
            <v>M240704R1</v>
          </cell>
          <cell r="J15610">
            <v>45621</v>
          </cell>
          <cell r="K15610">
            <v>4.5</v>
          </cell>
        </row>
        <row r="15611">
          <cell r="C15611" t="str">
            <v>王瀚霆</v>
          </cell>
          <cell r="J15611">
            <v>45622</v>
          </cell>
          <cell r="K15611">
            <v>0.5</v>
          </cell>
        </row>
        <row r="15612">
          <cell r="C15612" t="str">
            <v>王瀚霆</v>
          </cell>
          <cell r="J15612">
            <v>45622</v>
          </cell>
          <cell r="K15612">
            <v>1.5</v>
          </cell>
        </row>
        <row r="15613">
          <cell r="C15613" t="str">
            <v>王瀚霆</v>
          </cell>
          <cell r="J15613">
            <v>45622</v>
          </cell>
          <cell r="K15613">
            <v>1</v>
          </cell>
        </row>
        <row r="15614">
          <cell r="C15614" t="str">
            <v>王瀚霆</v>
          </cell>
          <cell r="F15614" t="str">
            <v>M240705R1</v>
          </cell>
          <cell r="J15614">
            <v>45622</v>
          </cell>
          <cell r="K15614">
            <v>1.5</v>
          </cell>
        </row>
        <row r="15615">
          <cell r="C15615" t="str">
            <v>王瀚霆</v>
          </cell>
          <cell r="F15615" t="str">
            <v>D240902R1</v>
          </cell>
          <cell r="J15615">
            <v>45622</v>
          </cell>
          <cell r="K15615">
            <v>2.5</v>
          </cell>
        </row>
        <row r="15616">
          <cell r="C15616" t="str">
            <v>王瀚霆</v>
          </cell>
          <cell r="F15616" t="str">
            <v>M240703R1</v>
          </cell>
          <cell r="J15616">
            <v>45622</v>
          </cell>
          <cell r="K15616">
            <v>2</v>
          </cell>
        </row>
        <row r="15617">
          <cell r="C15617" t="str">
            <v>王瀚霆</v>
          </cell>
          <cell r="F15617" t="str">
            <v>M240705R1</v>
          </cell>
          <cell r="J15617">
            <v>45623</v>
          </cell>
          <cell r="K15617">
            <v>1.5</v>
          </cell>
        </row>
        <row r="15618">
          <cell r="C15618" t="str">
            <v>王瀚霆</v>
          </cell>
          <cell r="F15618" t="str">
            <v>D240902R1</v>
          </cell>
          <cell r="J15618">
            <v>45623</v>
          </cell>
          <cell r="K15618">
            <v>3.5</v>
          </cell>
        </row>
        <row r="15619">
          <cell r="C15619" t="str">
            <v>王瀚霆</v>
          </cell>
          <cell r="F15619" t="str">
            <v>M240704R1</v>
          </cell>
          <cell r="J15619">
            <v>45623</v>
          </cell>
          <cell r="K15619">
            <v>4.5</v>
          </cell>
        </row>
        <row r="15620">
          <cell r="C15620" t="str">
            <v>王瀚霆</v>
          </cell>
          <cell r="J15620">
            <v>45624</v>
          </cell>
          <cell r="K15620">
            <v>1</v>
          </cell>
        </row>
        <row r="15621">
          <cell r="C15621" t="str">
            <v>王瀚霆</v>
          </cell>
          <cell r="J15621">
            <v>45624</v>
          </cell>
          <cell r="K15621">
            <v>1</v>
          </cell>
        </row>
        <row r="15622">
          <cell r="C15622" t="str">
            <v>王瀚霆</v>
          </cell>
          <cell r="F15622" t="str">
            <v>D240902R1</v>
          </cell>
          <cell r="J15622">
            <v>45624</v>
          </cell>
          <cell r="K15622">
            <v>1</v>
          </cell>
        </row>
        <row r="15623">
          <cell r="C15623" t="str">
            <v>王瀚霆</v>
          </cell>
          <cell r="F15623" t="str">
            <v>M240704R1</v>
          </cell>
          <cell r="J15623">
            <v>45624</v>
          </cell>
          <cell r="K15623">
            <v>2.5</v>
          </cell>
        </row>
        <row r="15624">
          <cell r="C15624" t="str">
            <v>王瀚霆</v>
          </cell>
          <cell r="F15624" t="str">
            <v>D240902R1</v>
          </cell>
          <cell r="J15624">
            <v>45624</v>
          </cell>
          <cell r="K15624">
            <v>2</v>
          </cell>
        </row>
        <row r="15625">
          <cell r="C15625" t="str">
            <v>王瀚霆</v>
          </cell>
          <cell r="F15625" t="str">
            <v>K241001R1</v>
          </cell>
          <cell r="J15625">
            <v>45624</v>
          </cell>
          <cell r="K15625">
            <v>2</v>
          </cell>
        </row>
        <row r="15626">
          <cell r="C15626" t="str">
            <v>王瀚霆</v>
          </cell>
          <cell r="F15626" t="str">
            <v>D240902R1</v>
          </cell>
          <cell r="J15626">
            <v>45625</v>
          </cell>
          <cell r="K15626">
            <v>1.5</v>
          </cell>
        </row>
        <row r="15627">
          <cell r="C15627" t="str">
            <v>王瀚霆</v>
          </cell>
          <cell r="F15627" t="str">
            <v>M240703R1</v>
          </cell>
          <cell r="J15627">
            <v>45625</v>
          </cell>
          <cell r="K15627">
            <v>6.5</v>
          </cell>
        </row>
        <row r="15628">
          <cell r="C15628" t="str">
            <v>王瀚霆</v>
          </cell>
          <cell r="F15628" t="str">
            <v>K241001R1</v>
          </cell>
          <cell r="J15628">
            <v>45625</v>
          </cell>
          <cell r="K15628">
            <v>1</v>
          </cell>
        </row>
        <row r="15629">
          <cell r="C15629" t="str">
            <v>王瀚霆</v>
          </cell>
          <cell r="F15629" t="str">
            <v>M240704R1</v>
          </cell>
          <cell r="J15629">
            <v>45628</v>
          </cell>
          <cell r="K15629">
            <v>2</v>
          </cell>
        </row>
        <row r="15630">
          <cell r="C15630" t="str">
            <v>王瀚霆</v>
          </cell>
          <cell r="J15630">
            <v>45628</v>
          </cell>
          <cell r="K15630">
            <v>1.5</v>
          </cell>
        </row>
        <row r="15631">
          <cell r="C15631" t="str">
            <v>王瀚霆</v>
          </cell>
          <cell r="F15631" t="str">
            <v>M240703R1</v>
          </cell>
          <cell r="J15631">
            <v>45628</v>
          </cell>
          <cell r="K15631">
            <v>6</v>
          </cell>
        </row>
        <row r="15632">
          <cell r="C15632" t="str">
            <v>王瀚霆</v>
          </cell>
          <cell r="F15632" t="str">
            <v>D240902R1</v>
          </cell>
          <cell r="J15632">
            <v>45629</v>
          </cell>
          <cell r="K15632">
            <v>3.5</v>
          </cell>
        </row>
        <row r="15633">
          <cell r="C15633" t="str">
            <v>王瀚霆</v>
          </cell>
          <cell r="F15633" t="str">
            <v>M240703R1</v>
          </cell>
          <cell r="J15633">
            <v>45629</v>
          </cell>
          <cell r="K15633">
            <v>3</v>
          </cell>
        </row>
        <row r="15634">
          <cell r="C15634" t="str">
            <v>王瀚霆</v>
          </cell>
          <cell r="F15634" t="str">
            <v>K241001R1</v>
          </cell>
          <cell r="J15634">
            <v>45629</v>
          </cell>
          <cell r="K15634">
            <v>3</v>
          </cell>
        </row>
        <row r="15635">
          <cell r="C15635" t="str">
            <v>王瀚霆</v>
          </cell>
          <cell r="J15635">
            <v>45630</v>
          </cell>
          <cell r="K15635">
            <v>2.5</v>
          </cell>
        </row>
        <row r="15636">
          <cell r="C15636" t="str">
            <v>王瀚霆</v>
          </cell>
          <cell r="J15636">
            <v>45630</v>
          </cell>
          <cell r="K15636">
            <v>1</v>
          </cell>
        </row>
        <row r="15637">
          <cell r="C15637" t="str">
            <v>王瀚霆</v>
          </cell>
          <cell r="F15637" t="str">
            <v>D240902R1</v>
          </cell>
          <cell r="J15637">
            <v>45630</v>
          </cell>
          <cell r="K15637">
            <v>5</v>
          </cell>
        </row>
        <row r="15638">
          <cell r="C15638" t="str">
            <v>王瀚霆</v>
          </cell>
          <cell r="F15638" t="str">
            <v>M240701C1</v>
          </cell>
          <cell r="J15638">
            <v>45630</v>
          </cell>
          <cell r="K15638">
            <v>1</v>
          </cell>
        </row>
        <row r="15639">
          <cell r="C15639" t="str">
            <v>王瀚霆</v>
          </cell>
          <cell r="J15639">
            <v>45631</v>
          </cell>
          <cell r="K15639">
            <v>1</v>
          </cell>
        </row>
        <row r="15640">
          <cell r="C15640" t="str">
            <v>王瀚霆</v>
          </cell>
          <cell r="J15640">
            <v>45631</v>
          </cell>
          <cell r="K15640">
            <v>4</v>
          </cell>
        </row>
        <row r="15641">
          <cell r="C15641" t="str">
            <v>王瀚霆</v>
          </cell>
          <cell r="F15641" t="str">
            <v>M240704R1</v>
          </cell>
          <cell r="J15641">
            <v>45631</v>
          </cell>
          <cell r="K15641">
            <v>4.5</v>
          </cell>
        </row>
        <row r="15642">
          <cell r="C15642" t="str">
            <v>王瀚霆</v>
          </cell>
          <cell r="J15642">
            <v>45632</v>
          </cell>
          <cell r="K15642">
            <v>1</v>
          </cell>
        </row>
        <row r="15643">
          <cell r="C15643" t="str">
            <v>王瀚霆</v>
          </cell>
          <cell r="J15643">
            <v>45632</v>
          </cell>
          <cell r="K15643">
            <v>5</v>
          </cell>
        </row>
        <row r="15644">
          <cell r="C15644" t="str">
            <v>王瀚霆</v>
          </cell>
          <cell r="F15644" t="str">
            <v>D240902R1</v>
          </cell>
          <cell r="J15644">
            <v>45632</v>
          </cell>
          <cell r="K15644">
            <v>1</v>
          </cell>
        </row>
        <row r="15645">
          <cell r="C15645" t="str">
            <v>王瀚霆</v>
          </cell>
          <cell r="F15645" t="str">
            <v>M240704R1</v>
          </cell>
          <cell r="J15645">
            <v>45632</v>
          </cell>
          <cell r="K15645">
            <v>2.5</v>
          </cell>
        </row>
        <row r="15646">
          <cell r="C15646" t="str">
            <v>王瀚霆</v>
          </cell>
          <cell r="F15646" t="str">
            <v>K231101P1</v>
          </cell>
          <cell r="J15646">
            <v>45635</v>
          </cell>
          <cell r="K15646">
            <v>1</v>
          </cell>
        </row>
        <row r="15647">
          <cell r="C15647" t="str">
            <v>王瀚霆</v>
          </cell>
          <cell r="J15647">
            <v>45635</v>
          </cell>
          <cell r="K15647">
            <v>1</v>
          </cell>
        </row>
        <row r="15648">
          <cell r="C15648" t="str">
            <v>王瀚霆</v>
          </cell>
          <cell r="F15648" t="str">
            <v>M240704R1</v>
          </cell>
          <cell r="J15648">
            <v>45635</v>
          </cell>
          <cell r="K15648">
            <v>1</v>
          </cell>
        </row>
        <row r="15649">
          <cell r="C15649" t="str">
            <v>王瀚霆</v>
          </cell>
          <cell r="F15649" t="str">
            <v>M240702R1</v>
          </cell>
          <cell r="J15649">
            <v>45635</v>
          </cell>
          <cell r="K15649">
            <v>1</v>
          </cell>
        </row>
        <row r="15650">
          <cell r="C15650" t="str">
            <v>王瀚霆</v>
          </cell>
          <cell r="F15650" t="str">
            <v>D240902R1</v>
          </cell>
          <cell r="J15650">
            <v>45635</v>
          </cell>
          <cell r="K15650">
            <v>1</v>
          </cell>
        </row>
        <row r="15651">
          <cell r="C15651" t="str">
            <v>王瀚霆</v>
          </cell>
          <cell r="F15651" t="str">
            <v>M240703R1</v>
          </cell>
          <cell r="J15651">
            <v>45635</v>
          </cell>
          <cell r="K15651">
            <v>1</v>
          </cell>
        </row>
        <row r="15652">
          <cell r="C15652" t="str">
            <v>王瀚霆</v>
          </cell>
          <cell r="F15652" t="str">
            <v>M240704R1</v>
          </cell>
          <cell r="J15652">
            <v>45635</v>
          </cell>
          <cell r="K15652">
            <v>3.5</v>
          </cell>
        </row>
        <row r="15653">
          <cell r="C15653" t="str">
            <v>王瀚霆</v>
          </cell>
          <cell r="J15653">
            <v>45636</v>
          </cell>
          <cell r="K15653">
            <v>5</v>
          </cell>
        </row>
        <row r="15654">
          <cell r="C15654" t="str">
            <v>王瀚霆</v>
          </cell>
          <cell r="F15654" t="str">
            <v>D240902R1</v>
          </cell>
          <cell r="J15654">
            <v>45636</v>
          </cell>
          <cell r="K15654">
            <v>2</v>
          </cell>
        </row>
        <row r="15655">
          <cell r="C15655" t="str">
            <v>王瀚霆</v>
          </cell>
          <cell r="F15655" t="str">
            <v>M240704R1</v>
          </cell>
          <cell r="J15655">
            <v>45636</v>
          </cell>
          <cell r="K15655">
            <v>2.5</v>
          </cell>
        </row>
        <row r="15656">
          <cell r="C15656" t="str">
            <v>王瀚霆</v>
          </cell>
          <cell r="J15656">
            <v>45637</v>
          </cell>
          <cell r="K15656">
            <v>2.5</v>
          </cell>
        </row>
        <row r="15657">
          <cell r="C15657" t="str">
            <v>王瀚霆</v>
          </cell>
          <cell r="F15657" t="str">
            <v>D240902R1</v>
          </cell>
          <cell r="J15657">
            <v>45637</v>
          </cell>
          <cell r="K15657">
            <v>2.5</v>
          </cell>
        </row>
        <row r="15658">
          <cell r="C15658" t="str">
            <v>王瀚霆</v>
          </cell>
          <cell r="F15658" t="str">
            <v>M240704R1</v>
          </cell>
          <cell r="J15658">
            <v>45637</v>
          </cell>
          <cell r="K15658">
            <v>4.5</v>
          </cell>
        </row>
        <row r="15659">
          <cell r="C15659" t="str">
            <v>王瀚霆</v>
          </cell>
          <cell r="J15659">
            <v>45638</v>
          </cell>
          <cell r="K15659">
            <v>2</v>
          </cell>
        </row>
        <row r="15660">
          <cell r="C15660" t="str">
            <v>王瀚霆</v>
          </cell>
          <cell r="J15660">
            <v>45638</v>
          </cell>
          <cell r="K15660">
            <v>1.5</v>
          </cell>
        </row>
        <row r="15661">
          <cell r="C15661" t="str">
            <v>王瀚霆</v>
          </cell>
          <cell r="J15661">
            <v>45638</v>
          </cell>
          <cell r="K15661">
            <v>1.5</v>
          </cell>
        </row>
        <row r="15662">
          <cell r="C15662" t="str">
            <v>王瀚霆</v>
          </cell>
          <cell r="J15662">
            <v>45638</v>
          </cell>
          <cell r="K15662">
            <v>0.5</v>
          </cell>
        </row>
        <row r="15663">
          <cell r="C15663" t="str">
            <v>王瀚霆</v>
          </cell>
          <cell r="F15663" t="str">
            <v>D240902R1</v>
          </cell>
          <cell r="J15663">
            <v>45638</v>
          </cell>
          <cell r="K15663">
            <v>3</v>
          </cell>
        </row>
        <row r="15664">
          <cell r="C15664" t="str">
            <v>王瀚霆</v>
          </cell>
          <cell r="F15664" t="str">
            <v>M240704R1</v>
          </cell>
          <cell r="J15664">
            <v>45638</v>
          </cell>
          <cell r="K15664">
            <v>1</v>
          </cell>
        </row>
        <row r="15665">
          <cell r="C15665" t="str">
            <v>王瀚霆</v>
          </cell>
          <cell r="J15665">
            <v>45639</v>
          </cell>
          <cell r="K15665">
            <v>4.5</v>
          </cell>
        </row>
        <row r="15666">
          <cell r="C15666" t="str">
            <v>王瀚霆</v>
          </cell>
          <cell r="J15666">
            <v>45639</v>
          </cell>
          <cell r="K15666">
            <v>1</v>
          </cell>
        </row>
        <row r="15667">
          <cell r="C15667" t="str">
            <v>王瀚霆</v>
          </cell>
          <cell r="F15667" t="str">
            <v>D240902R1</v>
          </cell>
          <cell r="J15667">
            <v>45639</v>
          </cell>
          <cell r="K15667">
            <v>1</v>
          </cell>
        </row>
        <row r="15668">
          <cell r="C15668" t="str">
            <v>王瀚霆</v>
          </cell>
          <cell r="F15668" t="str">
            <v>M240701C1</v>
          </cell>
          <cell r="J15668">
            <v>45639</v>
          </cell>
          <cell r="K15668">
            <v>3</v>
          </cell>
        </row>
        <row r="15669">
          <cell r="C15669" t="str">
            <v>王瀚霆</v>
          </cell>
          <cell r="J15669">
            <v>45642</v>
          </cell>
          <cell r="K15669">
            <v>2</v>
          </cell>
        </row>
        <row r="15670">
          <cell r="C15670" t="str">
            <v>王瀚霆</v>
          </cell>
          <cell r="F15670" t="str">
            <v>D240902R1</v>
          </cell>
          <cell r="J15670">
            <v>45642</v>
          </cell>
          <cell r="K15670">
            <v>0.5</v>
          </cell>
        </row>
        <row r="15671">
          <cell r="C15671" t="str">
            <v>王瀚霆</v>
          </cell>
          <cell r="J15671">
            <v>45642</v>
          </cell>
          <cell r="K15671">
            <v>2.5</v>
          </cell>
        </row>
        <row r="15672">
          <cell r="C15672" t="str">
            <v>王瀚霆</v>
          </cell>
          <cell r="F15672" t="str">
            <v>M240704R1</v>
          </cell>
          <cell r="J15672">
            <v>45642</v>
          </cell>
          <cell r="K15672">
            <v>1</v>
          </cell>
        </row>
        <row r="15673">
          <cell r="C15673" t="str">
            <v>王瀚霆</v>
          </cell>
          <cell r="F15673" t="str">
            <v>K231101P1</v>
          </cell>
          <cell r="J15673">
            <v>45642</v>
          </cell>
          <cell r="K15673">
            <v>1</v>
          </cell>
        </row>
        <row r="15674">
          <cell r="C15674" t="str">
            <v>王瀚霆</v>
          </cell>
          <cell r="F15674" t="str">
            <v>D240902R1</v>
          </cell>
          <cell r="J15674">
            <v>45642</v>
          </cell>
          <cell r="K15674">
            <v>1.5</v>
          </cell>
        </row>
        <row r="15675">
          <cell r="C15675" t="str">
            <v>王瀚霆</v>
          </cell>
          <cell r="F15675" t="str">
            <v>M240704R1</v>
          </cell>
          <cell r="J15675">
            <v>45642</v>
          </cell>
          <cell r="K15675">
            <v>1</v>
          </cell>
        </row>
        <row r="15676">
          <cell r="C15676" t="str">
            <v>王瀚霆</v>
          </cell>
          <cell r="J15676">
            <v>45643</v>
          </cell>
          <cell r="K15676">
            <v>1</v>
          </cell>
        </row>
        <row r="15677">
          <cell r="C15677" t="str">
            <v>王瀚霆</v>
          </cell>
          <cell r="F15677" t="str">
            <v>D240902R1</v>
          </cell>
          <cell r="J15677">
            <v>45643</v>
          </cell>
          <cell r="K15677">
            <v>2</v>
          </cell>
        </row>
        <row r="15678">
          <cell r="C15678" t="str">
            <v>王瀚霆</v>
          </cell>
          <cell r="F15678" t="str">
            <v>K241001R1</v>
          </cell>
          <cell r="J15678">
            <v>45643</v>
          </cell>
          <cell r="K15678">
            <v>1</v>
          </cell>
        </row>
        <row r="15679">
          <cell r="C15679" t="str">
            <v>王瀚霆</v>
          </cell>
          <cell r="F15679" t="str">
            <v>M240704R1</v>
          </cell>
          <cell r="J15679">
            <v>45643</v>
          </cell>
          <cell r="K15679">
            <v>3.5</v>
          </cell>
        </row>
        <row r="15680">
          <cell r="C15680" t="str">
            <v>王瀚霆</v>
          </cell>
          <cell r="F15680" t="str">
            <v>D240902R1</v>
          </cell>
          <cell r="J15680">
            <v>45643</v>
          </cell>
          <cell r="K15680">
            <v>2</v>
          </cell>
        </row>
        <row r="15681">
          <cell r="C15681" t="str">
            <v>王瀚霆</v>
          </cell>
          <cell r="J15681">
            <v>45644</v>
          </cell>
          <cell r="K15681">
            <v>2</v>
          </cell>
        </row>
        <row r="15682">
          <cell r="C15682" t="str">
            <v>王瀚霆</v>
          </cell>
          <cell r="F15682" t="str">
            <v>K231101P1</v>
          </cell>
          <cell r="J15682">
            <v>45644</v>
          </cell>
          <cell r="K15682">
            <v>0.5</v>
          </cell>
        </row>
        <row r="15683">
          <cell r="C15683" t="str">
            <v>王瀚霆</v>
          </cell>
          <cell r="J15683">
            <v>45644</v>
          </cell>
          <cell r="K15683">
            <v>2</v>
          </cell>
        </row>
        <row r="15684">
          <cell r="C15684" t="str">
            <v>王瀚霆</v>
          </cell>
          <cell r="F15684" t="str">
            <v>D240902R1</v>
          </cell>
          <cell r="J15684">
            <v>45644</v>
          </cell>
          <cell r="K15684">
            <v>2</v>
          </cell>
        </row>
        <row r="15685">
          <cell r="C15685" t="str">
            <v>王瀚霆</v>
          </cell>
          <cell r="F15685" t="str">
            <v>K241001R1</v>
          </cell>
          <cell r="J15685">
            <v>45644</v>
          </cell>
          <cell r="K15685">
            <v>1</v>
          </cell>
        </row>
        <row r="15686">
          <cell r="C15686" t="str">
            <v>王瀚霆</v>
          </cell>
          <cell r="F15686" t="str">
            <v>D240902R1</v>
          </cell>
          <cell r="J15686">
            <v>45644</v>
          </cell>
          <cell r="K15686">
            <v>2</v>
          </cell>
        </row>
        <row r="15687">
          <cell r="C15687" t="str">
            <v>王瀚霆</v>
          </cell>
          <cell r="J15687">
            <v>45645</v>
          </cell>
          <cell r="K15687">
            <v>1</v>
          </cell>
        </row>
        <row r="15688">
          <cell r="C15688" t="str">
            <v>王瀚霆</v>
          </cell>
          <cell r="F15688" t="str">
            <v>D240902R1</v>
          </cell>
          <cell r="J15688">
            <v>45645</v>
          </cell>
          <cell r="K15688">
            <v>6</v>
          </cell>
        </row>
        <row r="15689">
          <cell r="C15689" t="str">
            <v>王瀚霆</v>
          </cell>
          <cell r="F15689" t="str">
            <v>M240704R1</v>
          </cell>
          <cell r="J15689">
            <v>45645</v>
          </cell>
          <cell r="K15689">
            <v>1</v>
          </cell>
        </row>
        <row r="15690">
          <cell r="C15690" t="str">
            <v>王瀚霆</v>
          </cell>
          <cell r="F15690" t="str">
            <v>D240902R1</v>
          </cell>
          <cell r="J15690">
            <v>45645</v>
          </cell>
          <cell r="K15690">
            <v>1.5</v>
          </cell>
        </row>
        <row r="15691">
          <cell r="C15691" t="str">
            <v>王瀚霆</v>
          </cell>
          <cell r="F15691" t="str">
            <v>D240902R1</v>
          </cell>
          <cell r="J15691">
            <v>45646</v>
          </cell>
          <cell r="K15691">
            <v>6</v>
          </cell>
        </row>
        <row r="15692">
          <cell r="C15692" t="str">
            <v>王瀚霆</v>
          </cell>
          <cell r="F15692" t="str">
            <v>K231101P1</v>
          </cell>
          <cell r="J15692">
            <v>45646</v>
          </cell>
          <cell r="K15692">
            <v>3.5</v>
          </cell>
        </row>
        <row r="15693">
          <cell r="C15693" t="str">
            <v>王瀚霆</v>
          </cell>
          <cell r="F15693" t="str">
            <v>M240703R1</v>
          </cell>
          <cell r="J15693">
            <v>45649</v>
          </cell>
          <cell r="K15693">
            <v>1</v>
          </cell>
        </row>
        <row r="15694">
          <cell r="C15694" t="str">
            <v>王瀚霆</v>
          </cell>
          <cell r="F15694" t="str">
            <v>D240902R1</v>
          </cell>
          <cell r="J15694">
            <v>45649</v>
          </cell>
          <cell r="K15694">
            <v>2</v>
          </cell>
        </row>
        <row r="15695">
          <cell r="C15695" t="str">
            <v>王瀚霆</v>
          </cell>
          <cell r="F15695" t="str">
            <v>K240801R2</v>
          </cell>
          <cell r="J15695">
            <v>45649</v>
          </cell>
          <cell r="K15695">
            <v>1.5</v>
          </cell>
        </row>
        <row r="15696">
          <cell r="C15696" t="str">
            <v>王瀚霆</v>
          </cell>
          <cell r="F15696" t="str">
            <v>M240701C1</v>
          </cell>
          <cell r="J15696">
            <v>45649</v>
          </cell>
          <cell r="K15696">
            <v>2.5</v>
          </cell>
        </row>
        <row r="15697">
          <cell r="C15697" t="str">
            <v>王瀚霆</v>
          </cell>
          <cell r="F15697" t="str">
            <v>D240902R1</v>
          </cell>
          <cell r="J15697">
            <v>45649</v>
          </cell>
          <cell r="K15697">
            <v>2.5</v>
          </cell>
        </row>
        <row r="15698">
          <cell r="C15698" t="str">
            <v>王瀚霆</v>
          </cell>
          <cell r="J15698">
            <v>45650</v>
          </cell>
          <cell r="K15698">
            <v>2</v>
          </cell>
        </row>
        <row r="15699">
          <cell r="C15699" t="str">
            <v>王瀚霆</v>
          </cell>
          <cell r="J15699">
            <v>45650</v>
          </cell>
          <cell r="K15699">
            <v>2.5</v>
          </cell>
        </row>
        <row r="15700">
          <cell r="C15700" t="str">
            <v>王瀚霆</v>
          </cell>
          <cell r="F15700" t="str">
            <v>D240902R1</v>
          </cell>
          <cell r="J15700">
            <v>45650</v>
          </cell>
          <cell r="K15700">
            <v>2</v>
          </cell>
        </row>
        <row r="15701">
          <cell r="C15701" t="str">
            <v>王瀚霆</v>
          </cell>
          <cell r="F15701" t="str">
            <v>M240701C1</v>
          </cell>
          <cell r="J15701">
            <v>45650</v>
          </cell>
          <cell r="K15701">
            <v>3</v>
          </cell>
        </row>
        <row r="15702">
          <cell r="C15702" t="str">
            <v>王瀚霆</v>
          </cell>
          <cell r="J15702">
            <v>45651</v>
          </cell>
          <cell r="K15702">
            <v>1.5</v>
          </cell>
        </row>
        <row r="15703">
          <cell r="C15703" t="str">
            <v>王瀚霆</v>
          </cell>
          <cell r="F15703" t="str">
            <v>D240902R1</v>
          </cell>
          <cell r="J15703">
            <v>45651</v>
          </cell>
          <cell r="K15703">
            <v>1.5</v>
          </cell>
        </row>
        <row r="15704">
          <cell r="C15704" t="str">
            <v>王瀚霆</v>
          </cell>
          <cell r="F15704" t="str">
            <v>D240902R1</v>
          </cell>
          <cell r="J15704">
            <v>45651</v>
          </cell>
          <cell r="K15704">
            <v>0.5</v>
          </cell>
        </row>
        <row r="15705">
          <cell r="C15705" t="str">
            <v>王瀚霆</v>
          </cell>
          <cell r="F15705" t="str">
            <v>M240701C1</v>
          </cell>
          <cell r="J15705">
            <v>45651</v>
          </cell>
          <cell r="K15705">
            <v>2</v>
          </cell>
        </row>
        <row r="15706">
          <cell r="C15706" t="str">
            <v>王瀚霆</v>
          </cell>
          <cell r="F15706" t="str">
            <v>D240902R1</v>
          </cell>
          <cell r="J15706">
            <v>45651</v>
          </cell>
          <cell r="K15706">
            <v>2</v>
          </cell>
        </row>
        <row r="15707">
          <cell r="C15707" t="str">
            <v>王瀚霆</v>
          </cell>
          <cell r="F15707" t="str">
            <v>D240902R1</v>
          </cell>
          <cell r="J15707">
            <v>45651</v>
          </cell>
          <cell r="K15707">
            <v>2</v>
          </cell>
        </row>
        <row r="15708">
          <cell r="C15708" t="str">
            <v>王瀚霆</v>
          </cell>
          <cell r="J15708">
            <v>45652</v>
          </cell>
          <cell r="K15708">
            <v>1</v>
          </cell>
        </row>
        <row r="15709">
          <cell r="C15709" t="str">
            <v>王瀚霆</v>
          </cell>
          <cell r="J15709">
            <v>45652</v>
          </cell>
          <cell r="K15709">
            <v>2</v>
          </cell>
        </row>
        <row r="15710">
          <cell r="C15710" t="str">
            <v>王瀚霆</v>
          </cell>
          <cell r="F15710" t="str">
            <v>D240902R1</v>
          </cell>
          <cell r="J15710">
            <v>45652</v>
          </cell>
          <cell r="K15710">
            <v>3</v>
          </cell>
        </row>
        <row r="15711">
          <cell r="C15711" t="str">
            <v>王瀚霆</v>
          </cell>
          <cell r="F15711" t="str">
            <v>M240701C1</v>
          </cell>
          <cell r="J15711">
            <v>45652</v>
          </cell>
          <cell r="K15711">
            <v>1.5</v>
          </cell>
        </row>
        <row r="15712">
          <cell r="C15712" t="str">
            <v>王瀚霆</v>
          </cell>
          <cell r="F15712" t="str">
            <v>K241001R1</v>
          </cell>
          <cell r="J15712">
            <v>45652</v>
          </cell>
          <cell r="K15712">
            <v>2</v>
          </cell>
        </row>
        <row r="15713">
          <cell r="C15713" t="str">
            <v>王瀚霆</v>
          </cell>
          <cell r="J15713">
            <v>45653</v>
          </cell>
          <cell r="K15713">
            <v>1.5</v>
          </cell>
        </row>
        <row r="15714">
          <cell r="C15714" t="str">
            <v>王瀚霆</v>
          </cell>
          <cell r="F15714" t="str">
            <v>D240902R1</v>
          </cell>
          <cell r="J15714">
            <v>45653</v>
          </cell>
          <cell r="K15714">
            <v>4</v>
          </cell>
        </row>
        <row r="15715">
          <cell r="C15715" t="str">
            <v>王瀚霆</v>
          </cell>
          <cell r="F15715" t="str">
            <v>M240704R1</v>
          </cell>
          <cell r="J15715">
            <v>45653</v>
          </cell>
          <cell r="K15715">
            <v>2</v>
          </cell>
        </row>
        <row r="15716">
          <cell r="C15716" t="str">
            <v>王瀚霆</v>
          </cell>
          <cell r="F15716" t="str">
            <v>D240902R1</v>
          </cell>
          <cell r="J15716">
            <v>45653</v>
          </cell>
          <cell r="K15716">
            <v>2</v>
          </cell>
        </row>
        <row r="15717">
          <cell r="C15717" t="str">
            <v>王瀚霆</v>
          </cell>
          <cell r="J15717">
            <v>45656</v>
          </cell>
          <cell r="K15717">
            <v>1</v>
          </cell>
        </row>
        <row r="15718">
          <cell r="C15718" t="str">
            <v>王瀚霆</v>
          </cell>
          <cell r="F15718" t="str">
            <v>K240801R2</v>
          </cell>
          <cell r="J15718">
            <v>45656</v>
          </cell>
          <cell r="K15718">
            <v>1</v>
          </cell>
        </row>
        <row r="15719">
          <cell r="C15719" t="str">
            <v>王瀚霆</v>
          </cell>
          <cell r="J15719">
            <v>45656</v>
          </cell>
          <cell r="K15719">
            <v>0.5</v>
          </cell>
        </row>
        <row r="15720">
          <cell r="C15720" t="str">
            <v>王瀚霆</v>
          </cell>
          <cell r="F15720" t="str">
            <v>D240902R1</v>
          </cell>
          <cell r="J15720">
            <v>45656</v>
          </cell>
          <cell r="K15720">
            <v>2.5</v>
          </cell>
        </row>
        <row r="15721">
          <cell r="C15721" t="str">
            <v>王瀚霆</v>
          </cell>
          <cell r="F15721" t="str">
            <v>K241001R1</v>
          </cell>
          <cell r="J15721">
            <v>45656</v>
          </cell>
          <cell r="K15721">
            <v>1</v>
          </cell>
        </row>
        <row r="15722">
          <cell r="C15722" t="str">
            <v>王瀚霆</v>
          </cell>
          <cell r="F15722" t="str">
            <v>M240704R1</v>
          </cell>
          <cell r="J15722">
            <v>45656</v>
          </cell>
          <cell r="K15722">
            <v>3.5</v>
          </cell>
        </row>
        <row r="15723">
          <cell r="C15723" t="str">
            <v>王瀚霆</v>
          </cell>
          <cell r="J15723">
            <v>45657</v>
          </cell>
          <cell r="K15723">
            <v>1</v>
          </cell>
        </row>
        <row r="15724">
          <cell r="C15724" t="str">
            <v>王瀚霆</v>
          </cell>
          <cell r="F15724" t="str">
            <v>D240902R1</v>
          </cell>
          <cell r="J15724">
            <v>45657</v>
          </cell>
          <cell r="K15724">
            <v>2.5</v>
          </cell>
        </row>
        <row r="15725">
          <cell r="C15725" t="str">
            <v>王瀚霆</v>
          </cell>
          <cell r="F15725" t="str">
            <v>D240902R1</v>
          </cell>
          <cell r="J15725">
            <v>45657</v>
          </cell>
          <cell r="K15725">
            <v>0.5</v>
          </cell>
        </row>
        <row r="15726">
          <cell r="C15726" t="str">
            <v>王瀚霆</v>
          </cell>
          <cell r="F15726" t="str">
            <v>D240902R1</v>
          </cell>
          <cell r="J15726">
            <v>45657</v>
          </cell>
          <cell r="K15726">
            <v>2</v>
          </cell>
        </row>
        <row r="15727">
          <cell r="C15727" t="str">
            <v>王瀚霆</v>
          </cell>
          <cell r="F15727" t="str">
            <v>M240704R1</v>
          </cell>
          <cell r="J15727">
            <v>45657</v>
          </cell>
          <cell r="K15727">
            <v>2.5</v>
          </cell>
        </row>
        <row r="15728">
          <cell r="C15728" t="str">
            <v>王瀚霆</v>
          </cell>
          <cell r="F15728" t="str">
            <v>D240902R1</v>
          </cell>
          <cell r="J15728">
            <v>45657</v>
          </cell>
          <cell r="K15728">
            <v>1</v>
          </cell>
        </row>
        <row r="15729">
          <cell r="C15729" t="str">
            <v>王瀚霆</v>
          </cell>
          <cell r="J15729">
            <v>45659</v>
          </cell>
          <cell r="K15729">
            <v>1</v>
          </cell>
        </row>
        <row r="15730">
          <cell r="C15730" t="str">
            <v>王瀚霆</v>
          </cell>
          <cell r="J15730">
            <v>45659</v>
          </cell>
          <cell r="K15730">
            <v>1</v>
          </cell>
        </row>
        <row r="15731">
          <cell r="C15731" t="str">
            <v>王瀚霆</v>
          </cell>
          <cell r="J15731">
            <v>45659</v>
          </cell>
          <cell r="K15731">
            <v>2.5</v>
          </cell>
        </row>
        <row r="15732">
          <cell r="C15732" t="str">
            <v>王瀚霆</v>
          </cell>
          <cell r="F15732" t="str">
            <v>D240902R1</v>
          </cell>
          <cell r="J15732">
            <v>45659</v>
          </cell>
          <cell r="K15732">
            <v>1</v>
          </cell>
        </row>
        <row r="15733">
          <cell r="C15733" t="str">
            <v>王瀚霆</v>
          </cell>
          <cell r="F15733" t="str">
            <v>D240902R1</v>
          </cell>
          <cell r="J15733">
            <v>45659</v>
          </cell>
          <cell r="K15733">
            <v>1.5</v>
          </cell>
        </row>
        <row r="15734">
          <cell r="C15734" t="str">
            <v>王瀚霆</v>
          </cell>
          <cell r="F15734" t="str">
            <v>K241001R1</v>
          </cell>
          <cell r="J15734">
            <v>45659</v>
          </cell>
          <cell r="K15734">
            <v>2.5</v>
          </cell>
        </row>
        <row r="15735">
          <cell r="C15735" t="str">
            <v>王瀚霆</v>
          </cell>
          <cell r="J15735">
            <v>45660</v>
          </cell>
          <cell r="K15735">
            <v>1</v>
          </cell>
        </row>
        <row r="15736">
          <cell r="C15736" t="str">
            <v>王瀚霆</v>
          </cell>
          <cell r="J15736">
            <v>45660</v>
          </cell>
          <cell r="K15736">
            <v>1.5</v>
          </cell>
        </row>
        <row r="15737">
          <cell r="C15737" t="str">
            <v>王瀚霆</v>
          </cell>
          <cell r="J15737">
            <v>45660</v>
          </cell>
          <cell r="K15737">
            <v>1</v>
          </cell>
        </row>
        <row r="15738">
          <cell r="C15738" t="str">
            <v>王瀚霆</v>
          </cell>
          <cell r="F15738" t="str">
            <v>D240902R1</v>
          </cell>
          <cell r="J15738">
            <v>45660</v>
          </cell>
          <cell r="K15738">
            <v>2.5</v>
          </cell>
        </row>
        <row r="15739">
          <cell r="C15739" t="str">
            <v>王瀚霆</v>
          </cell>
          <cell r="F15739" t="str">
            <v>K241001R1</v>
          </cell>
          <cell r="J15739">
            <v>45660</v>
          </cell>
          <cell r="K15739">
            <v>3</v>
          </cell>
        </row>
        <row r="15740">
          <cell r="C15740" t="str">
            <v>王瀚霆</v>
          </cell>
          <cell r="F15740" t="str">
            <v>M240704R1</v>
          </cell>
          <cell r="J15740">
            <v>45660</v>
          </cell>
          <cell r="K15740">
            <v>0.5</v>
          </cell>
        </row>
        <row r="15741">
          <cell r="C15741" t="str">
            <v>王瀚霆</v>
          </cell>
          <cell r="F15741" t="str">
            <v>M240704R1</v>
          </cell>
          <cell r="J15741">
            <v>45663</v>
          </cell>
          <cell r="K15741">
            <v>1</v>
          </cell>
        </row>
        <row r="15742">
          <cell r="C15742" t="str">
            <v>王瀚霆</v>
          </cell>
          <cell r="F15742" t="str">
            <v>K241001R1</v>
          </cell>
          <cell r="J15742">
            <v>45663</v>
          </cell>
          <cell r="K15742">
            <v>1</v>
          </cell>
        </row>
        <row r="15743">
          <cell r="C15743" t="str">
            <v>王瀚霆</v>
          </cell>
          <cell r="F15743" t="str">
            <v>D240902R1</v>
          </cell>
          <cell r="J15743">
            <v>45663</v>
          </cell>
          <cell r="K15743">
            <v>1</v>
          </cell>
        </row>
        <row r="15744">
          <cell r="C15744" t="str">
            <v>王瀚霆</v>
          </cell>
          <cell r="F15744" t="str">
            <v>D240902R1</v>
          </cell>
          <cell r="J15744">
            <v>45663</v>
          </cell>
          <cell r="K15744">
            <v>3</v>
          </cell>
        </row>
        <row r="15745">
          <cell r="C15745" t="str">
            <v>王瀚霆</v>
          </cell>
          <cell r="F15745" t="str">
            <v>M240704R1</v>
          </cell>
          <cell r="J15745">
            <v>45663</v>
          </cell>
          <cell r="K15745">
            <v>2.5</v>
          </cell>
        </row>
        <row r="15746">
          <cell r="C15746" t="str">
            <v>王瀚霆</v>
          </cell>
          <cell r="J15746">
            <v>45664</v>
          </cell>
          <cell r="K15746">
            <v>3.5</v>
          </cell>
        </row>
        <row r="15747">
          <cell r="C15747" t="str">
            <v>王瀚霆</v>
          </cell>
          <cell r="F15747" t="str">
            <v>D240902R1</v>
          </cell>
          <cell r="J15747">
            <v>45664</v>
          </cell>
          <cell r="K15747">
            <v>2</v>
          </cell>
        </row>
        <row r="15748">
          <cell r="C15748" t="str">
            <v>王瀚霆</v>
          </cell>
          <cell r="F15748" t="str">
            <v>M240704R1</v>
          </cell>
          <cell r="J15748">
            <v>45664</v>
          </cell>
          <cell r="K15748">
            <v>4</v>
          </cell>
        </row>
        <row r="15749">
          <cell r="C15749" t="str">
            <v>王瀚霆</v>
          </cell>
          <cell r="F15749" t="str">
            <v>D240902R1</v>
          </cell>
          <cell r="J15749">
            <v>45665</v>
          </cell>
          <cell r="K15749">
            <v>2</v>
          </cell>
        </row>
        <row r="15750">
          <cell r="C15750" t="str">
            <v>王瀚霆</v>
          </cell>
          <cell r="F15750" t="str">
            <v>M240704R1</v>
          </cell>
          <cell r="J15750">
            <v>45665</v>
          </cell>
          <cell r="K15750">
            <v>7.5</v>
          </cell>
        </row>
        <row r="15751">
          <cell r="C15751" t="str">
            <v>王瀚霆</v>
          </cell>
          <cell r="J15751">
            <v>45666</v>
          </cell>
          <cell r="K15751">
            <v>1</v>
          </cell>
        </row>
        <row r="15752">
          <cell r="C15752" t="str">
            <v>王瀚霆</v>
          </cell>
          <cell r="F15752" t="str">
            <v>D240902R1</v>
          </cell>
          <cell r="J15752">
            <v>45666</v>
          </cell>
          <cell r="K15752">
            <v>5</v>
          </cell>
        </row>
        <row r="15753">
          <cell r="C15753" t="str">
            <v>王瀚霆</v>
          </cell>
          <cell r="F15753" t="str">
            <v>M240704R1</v>
          </cell>
          <cell r="J15753">
            <v>45666</v>
          </cell>
          <cell r="K15753">
            <v>3.5</v>
          </cell>
        </row>
        <row r="15754">
          <cell r="C15754" t="str">
            <v>王瀚霆</v>
          </cell>
          <cell r="J15754">
            <v>45667</v>
          </cell>
          <cell r="K15754">
            <v>2</v>
          </cell>
        </row>
        <row r="15755">
          <cell r="C15755" t="str">
            <v>王瀚霆</v>
          </cell>
          <cell r="J15755">
            <v>45667</v>
          </cell>
          <cell r="K15755">
            <v>1.5</v>
          </cell>
        </row>
        <row r="15756">
          <cell r="C15756" t="str">
            <v>王瀚霆</v>
          </cell>
          <cell r="F15756" t="str">
            <v>D240902R1</v>
          </cell>
          <cell r="J15756">
            <v>45667</v>
          </cell>
          <cell r="K15756">
            <v>3</v>
          </cell>
        </row>
        <row r="15757">
          <cell r="C15757" t="str">
            <v>王瀚霆</v>
          </cell>
          <cell r="F15757" t="str">
            <v>D240902R1</v>
          </cell>
          <cell r="J15757">
            <v>45670</v>
          </cell>
          <cell r="K15757">
            <v>3</v>
          </cell>
        </row>
        <row r="15758">
          <cell r="C15758" t="str">
            <v>王瀚霆</v>
          </cell>
          <cell r="J15758">
            <v>45670</v>
          </cell>
          <cell r="K15758">
            <v>3.5</v>
          </cell>
        </row>
        <row r="15759">
          <cell r="C15759" t="str">
            <v>王瀚霆</v>
          </cell>
          <cell r="F15759" t="str">
            <v>D240902R1</v>
          </cell>
          <cell r="J15759">
            <v>45670</v>
          </cell>
          <cell r="K15759">
            <v>2</v>
          </cell>
        </row>
        <row r="15760">
          <cell r="C15760" t="str">
            <v>王瀚霆</v>
          </cell>
          <cell r="F15760" t="str">
            <v>M240101R1</v>
          </cell>
          <cell r="J15760">
            <v>45670</v>
          </cell>
          <cell r="K15760">
            <v>1</v>
          </cell>
        </row>
        <row r="15761">
          <cell r="C15761" t="str">
            <v>王瀚霆</v>
          </cell>
          <cell r="F15761" t="str">
            <v>D240902R1</v>
          </cell>
          <cell r="J15761">
            <v>45671</v>
          </cell>
          <cell r="K15761">
            <v>3</v>
          </cell>
        </row>
        <row r="15762">
          <cell r="C15762" t="str">
            <v>王瀚霆</v>
          </cell>
          <cell r="F15762" t="str">
            <v>M240704R1</v>
          </cell>
          <cell r="J15762">
            <v>45671</v>
          </cell>
          <cell r="K15762">
            <v>4</v>
          </cell>
        </row>
        <row r="15763">
          <cell r="C15763" t="str">
            <v>王瀚霆</v>
          </cell>
          <cell r="F15763" t="str">
            <v>M240101P1</v>
          </cell>
          <cell r="J15763">
            <v>45671</v>
          </cell>
          <cell r="K15763">
            <v>1.5</v>
          </cell>
        </row>
        <row r="15764">
          <cell r="C15764" t="str">
            <v>王瀚霆</v>
          </cell>
          <cell r="F15764" t="str">
            <v>D240902R1</v>
          </cell>
          <cell r="J15764">
            <v>45672</v>
          </cell>
          <cell r="K15764">
            <v>1</v>
          </cell>
        </row>
        <row r="15765">
          <cell r="C15765" t="str">
            <v>王瀚霆</v>
          </cell>
          <cell r="F15765" t="str">
            <v>M240704R1</v>
          </cell>
          <cell r="J15765">
            <v>45672</v>
          </cell>
          <cell r="K15765">
            <v>2.5</v>
          </cell>
        </row>
        <row r="15766">
          <cell r="C15766" t="str">
            <v>王瀚霆</v>
          </cell>
          <cell r="F15766" t="str">
            <v>M240703R1</v>
          </cell>
          <cell r="J15766">
            <v>45672</v>
          </cell>
          <cell r="K15766">
            <v>1.5</v>
          </cell>
        </row>
        <row r="15767">
          <cell r="C15767" t="str">
            <v>王瀚霆</v>
          </cell>
          <cell r="F15767" t="str">
            <v>D240902R1</v>
          </cell>
          <cell r="J15767">
            <v>45672</v>
          </cell>
          <cell r="K15767">
            <v>4.5</v>
          </cell>
        </row>
        <row r="15768">
          <cell r="C15768" t="str">
            <v>王瀚霆</v>
          </cell>
          <cell r="J15768">
            <v>45673</v>
          </cell>
          <cell r="K15768">
            <v>1</v>
          </cell>
        </row>
        <row r="15769">
          <cell r="C15769" t="str">
            <v>王瀚霆</v>
          </cell>
          <cell r="J15769">
            <v>45673</v>
          </cell>
          <cell r="K15769">
            <v>1</v>
          </cell>
        </row>
        <row r="15770">
          <cell r="C15770" t="str">
            <v>王瀚霆</v>
          </cell>
          <cell r="J15770">
            <v>45673</v>
          </cell>
          <cell r="K15770">
            <v>1.5</v>
          </cell>
        </row>
        <row r="15771">
          <cell r="C15771" t="str">
            <v>王瀚霆</v>
          </cell>
          <cell r="F15771" t="str">
            <v>D240902R1</v>
          </cell>
          <cell r="J15771">
            <v>45673</v>
          </cell>
          <cell r="K15771">
            <v>1</v>
          </cell>
        </row>
        <row r="15772">
          <cell r="C15772" t="str">
            <v>王瀚霆</v>
          </cell>
          <cell r="F15772" t="str">
            <v>D240902R1</v>
          </cell>
          <cell r="J15772">
            <v>45673</v>
          </cell>
          <cell r="K15772">
            <v>2</v>
          </cell>
        </row>
        <row r="15773">
          <cell r="C15773" t="str">
            <v>王瀚霆</v>
          </cell>
          <cell r="F15773" t="str">
            <v>D250101R1</v>
          </cell>
          <cell r="J15773">
            <v>45673</v>
          </cell>
          <cell r="K15773">
            <v>2</v>
          </cell>
        </row>
        <row r="15774">
          <cell r="C15774" t="str">
            <v>王瀚霆</v>
          </cell>
          <cell r="J15774">
            <v>45674</v>
          </cell>
          <cell r="K15774">
            <v>2.5</v>
          </cell>
        </row>
        <row r="15775">
          <cell r="C15775" t="str">
            <v>王瀚霆</v>
          </cell>
          <cell r="F15775" t="str">
            <v>D240902R1</v>
          </cell>
          <cell r="J15775">
            <v>45674</v>
          </cell>
          <cell r="K15775">
            <v>1</v>
          </cell>
        </row>
        <row r="15776">
          <cell r="C15776" t="str">
            <v>王瀚霆</v>
          </cell>
          <cell r="F15776" t="str">
            <v>D250101R1</v>
          </cell>
          <cell r="J15776">
            <v>45674</v>
          </cell>
          <cell r="K15776">
            <v>6</v>
          </cell>
        </row>
        <row r="15777">
          <cell r="C15777" t="str">
            <v>王瀚霆</v>
          </cell>
          <cell r="J15777">
            <v>45677</v>
          </cell>
          <cell r="K15777">
            <v>1.5</v>
          </cell>
        </row>
        <row r="15778">
          <cell r="C15778" t="str">
            <v>王瀚霆</v>
          </cell>
          <cell r="F15778" t="str">
            <v>D240901R1</v>
          </cell>
          <cell r="J15778">
            <v>45677</v>
          </cell>
          <cell r="K15778">
            <v>1</v>
          </cell>
        </row>
        <row r="15779">
          <cell r="C15779" t="str">
            <v>王瀚霆</v>
          </cell>
          <cell r="F15779" t="str">
            <v>D240901R1</v>
          </cell>
          <cell r="J15779">
            <v>45677</v>
          </cell>
          <cell r="K15779">
            <v>1</v>
          </cell>
        </row>
        <row r="15780">
          <cell r="C15780" t="str">
            <v>王瀚霆</v>
          </cell>
          <cell r="F15780" t="str">
            <v>D250101R1</v>
          </cell>
          <cell r="J15780">
            <v>45677</v>
          </cell>
          <cell r="K15780">
            <v>6</v>
          </cell>
        </row>
        <row r="15781">
          <cell r="C15781" t="str">
            <v>王瀚霆</v>
          </cell>
          <cell r="F15781" t="str">
            <v>D240902R1</v>
          </cell>
          <cell r="J15781">
            <v>45678</v>
          </cell>
          <cell r="K15781">
            <v>1</v>
          </cell>
        </row>
        <row r="15782">
          <cell r="C15782" t="str">
            <v>王瀚霆</v>
          </cell>
          <cell r="F15782" t="str">
            <v>D250101R1</v>
          </cell>
          <cell r="J15782">
            <v>45678</v>
          </cell>
          <cell r="K15782">
            <v>8.5</v>
          </cell>
        </row>
        <row r="15783">
          <cell r="C15783" t="str">
            <v>王瀚霆</v>
          </cell>
          <cell r="J15783">
            <v>45679</v>
          </cell>
          <cell r="K15783">
            <v>2</v>
          </cell>
        </row>
        <row r="15784">
          <cell r="C15784" t="str">
            <v>王瀚霆</v>
          </cell>
          <cell r="J15784">
            <v>45679</v>
          </cell>
          <cell r="K15784">
            <v>1</v>
          </cell>
        </row>
        <row r="15785">
          <cell r="C15785" t="str">
            <v>王瀚霆</v>
          </cell>
          <cell r="F15785" t="str">
            <v>D240902R1</v>
          </cell>
          <cell r="J15785">
            <v>45679</v>
          </cell>
          <cell r="K15785">
            <v>3</v>
          </cell>
        </row>
        <row r="15786">
          <cell r="C15786" t="str">
            <v>王瀚霆</v>
          </cell>
          <cell r="F15786" t="str">
            <v>D250101R1</v>
          </cell>
          <cell r="J15786">
            <v>45679</v>
          </cell>
          <cell r="K15786">
            <v>3.5</v>
          </cell>
        </row>
        <row r="15787">
          <cell r="C15787" t="str">
            <v>王瀚霆</v>
          </cell>
          <cell r="F15787" t="str">
            <v>M240703R1</v>
          </cell>
          <cell r="J15787">
            <v>45680</v>
          </cell>
          <cell r="K15787">
            <v>2.5</v>
          </cell>
        </row>
        <row r="15788">
          <cell r="C15788" t="str">
            <v>王瀚霆</v>
          </cell>
          <cell r="F15788" t="str">
            <v>D240902R1</v>
          </cell>
          <cell r="J15788">
            <v>45680</v>
          </cell>
          <cell r="K15788">
            <v>4</v>
          </cell>
        </row>
        <row r="15789">
          <cell r="C15789" t="str">
            <v>王瀚霆</v>
          </cell>
          <cell r="F15789" t="str">
            <v>D241001R1</v>
          </cell>
          <cell r="J15789">
            <v>45680</v>
          </cell>
          <cell r="K15789">
            <v>3</v>
          </cell>
        </row>
        <row r="15790">
          <cell r="C15790" t="str">
            <v>王瀚霆</v>
          </cell>
          <cell r="J15790">
            <v>45681</v>
          </cell>
          <cell r="K15790">
            <v>4</v>
          </cell>
        </row>
        <row r="15791">
          <cell r="C15791" t="str">
            <v>王瀚霆</v>
          </cell>
          <cell r="F15791" t="str">
            <v>D240902R1</v>
          </cell>
          <cell r="J15791">
            <v>45681</v>
          </cell>
          <cell r="K15791">
            <v>1</v>
          </cell>
        </row>
        <row r="15792">
          <cell r="C15792" t="str">
            <v>王瀚霆</v>
          </cell>
          <cell r="F15792" t="str">
            <v>D241001R1</v>
          </cell>
          <cell r="J15792">
            <v>45681</v>
          </cell>
          <cell r="K15792">
            <v>1.5</v>
          </cell>
        </row>
        <row r="15793">
          <cell r="C15793" t="str">
            <v>王瀚霆</v>
          </cell>
          <cell r="F15793" t="str">
            <v>K241201R1</v>
          </cell>
          <cell r="J15793">
            <v>45681</v>
          </cell>
          <cell r="K15793">
            <v>1</v>
          </cell>
        </row>
        <row r="15794">
          <cell r="C15794" t="str">
            <v>王瀚霆</v>
          </cell>
          <cell r="F15794" t="str">
            <v>D240902R1</v>
          </cell>
          <cell r="J15794">
            <v>45691</v>
          </cell>
          <cell r="K15794">
            <v>1</v>
          </cell>
        </row>
        <row r="15795">
          <cell r="C15795" t="str">
            <v>王瀚霆</v>
          </cell>
          <cell r="F15795" t="str">
            <v>D240901R1</v>
          </cell>
          <cell r="J15795">
            <v>45691</v>
          </cell>
          <cell r="K15795">
            <v>1</v>
          </cell>
        </row>
        <row r="15796">
          <cell r="C15796" t="str">
            <v>王瀚霆</v>
          </cell>
          <cell r="F15796" t="str">
            <v>K241201R1</v>
          </cell>
          <cell r="J15796">
            <v>45691</v>
          </cell>
          <cell r="K15796">
            <v>1</v>
          </cell>
        </row>
        <row r="15797">
          <cell r="C15797" t="str">
            <v>王瀚霆</v>
          </cell>
          <cell r="F15797" t="str">
            <v>M240704R1</v>
          </cell>
          <cell r="J15797">
            <v>45691</v>
          </cell>
          <cell r="K15797">
            <v>1.5</v>
          </cell>
        </row>
        <row r="15798">
          <cell r="C15798" t="str">
            <v>王瀚霆</v>
          </cell>
          <cell r="F15798" t="str">
            <v>K240801R2</v>
          </cell>
          <cell r="J15798">
            <v>45691</v>
          </cell>
          <cell r="K15798">
            <v>0.5</v>
          </cell>
        </row>
        <row r="15799">
          <cell r="C15799" t="str">
            <v>王瀚霆</v>
          </cell>
          <cell r="F15799" t="str">
            <v>D241001R1</v>
          </cell>
          <cell r="J15799">
            <v>45691</v>
          </cell>
          <cell r="K15799">
            <v>0.5</v>
          </cell>
        </row>
        <row r="15800">
          <cell r="C15800" t="str">
            <v>王瀚霆</v>
          </cell>
          <cell r="F15800" t="str">
            <v>D250101R1</v>
          </cell>
          <cell r="J15800">
            <v>45691</v>
          </cell>
          <cell r="K15800">
            <v>0.5</v>
          </cell>
        </row>
        <row r="15801">
          <cell r="C15801" t="str">
            <v>王瀚霆</v>
          </cell>
          <cell r="F15801" t="str">
            <v>D240902R1</v>
          </cell>
          <cell r="J15801">
            <v>45691</v>
          </cell>
          <cell r="K15801">
            <v>2.5</v>
          </cell>
        </row>
        <row r="15802">
          <cell r="C15802" t="str">
            <v>王瀚霆</v>
          </cell>
          <cell r="F15802" t="str">
            <v>M240704R1</v>
          </cell>
          <cell r="J15802">
            <v>45691</v>
          </cell>
          <cell r="K15802">
            <v>1</v>
          </cell>
        </row>
        <row r="15803">
          <cell r="C15803" t="str">
            <v>王瀚霆</v>
          </cell>
          <cell r="J15803">
            <v>45692</v>
          </cell>
          <cell r="K15803">
            <v>2</v>
          </cell>
        </row>
        <row r="15804">
          <cell r="C15804" t="str">
            <v>王瀚霆</v>
          </cell>
          <cell r="F15804" t="str">
            <v>D240902R1</v>
          </cell>
          <cell r="J15804">
            <v>45692</v>
          </cell>
          <cell r="K15804">
            <v>6</v>
          </cell>
        </row>
        <row r="15805">
          <cell r="C15805" t="str">
            <v>王瀚霆</v>
          </cell>
          <cell r="F15805" t="str">
            <v>M240703R1</v>
          </cell>
          <cell r="J15805">
            <v>45692</v>
          </cell>
          <cell r="K15805">
            <v>1.5</v>
          </cell>
        </row>
        <row r="15806">
          <cell r="C15806" t="str">
            <v>王瀚霆</v>
          </cell>
          <cell r="F15806" t="str">
            <v>M240704R1</v>
          </cell>
          <cell r="J15806">
            <v>45693</v>
          </cell>
          <cell r="K15806">
            <v>1</v>
          </cell>
        </row>
        <row r="15807">
          <cell r="C15807" t="str">
            <v>王瀚霆</v>
          </cell>
          <cell r="F15807" t="str">
            <v>D240902R1</v>
          </cell>
          <cell r="J15807">
            <v>45693</v>
          </cell>
          <cell r="K15807">
            <v>2.5</v>
          </cell>
        </row>
        <row r="15808">
          <cell r="C15808" t="str">
            <v>王瀚霆</v>
          </cell>
          <cell r="F15808" t="str">
            <v>D250101R1</v>
          </cell>
          <cell r="J15808">
            <v>45693</v>
          </cell>
          <cell r="K15808">
            <v>1</v>
          </cell>
        </row>
        <row r="15809">
          <cell r="C15809" t="str">
            <v>王瀚霆</v>
          </cell>
          <cell r="F15809" t="str">
            <v>M240703R1</v>
          </cell>
          <cell r="J15809">
            <v>45693</v>
          </cell>
          <cell r="K15809">
            <v>5</v>
          </cell>
        </row>
        <row r="15810">
          <cell r="C15810" t="str">
            <v>王瀚霆</v>
          </cell>
          <cell r="J15810">
            <v>45694</v>
          </cell>
          <cell r="K15810">
            <v>1</v>
          </cell>
        </row>
        <row r="15811">
          <cell r="C15811" t="str">
            <v>王瀚霆</v>
          </cell>
          <cell r="F15811" t="str">
            <v>D250101R1</v>
          </cell>
          <cell r="J15811">
            <v>45694</v>
          </cell>
          <cell r="K15811">
            <v>2</v>
          </cell>
        </row>
        <row r="15812">
          <cell r="C15812" t="str">
            <v>王瀚霆</v>
          </cell>
          <cell r="J15812">
            <v>45694</v>
          </cell>
          <cell r="K15812">
            <v>2.5</v>
          </cell>
        </row>
        <row r="15813">
          <cell r="C15813" t="str">
            <v>王瀚霆</v>
          </cell>
          <cell r="F15813" t="str">
            <v>D240902R1</v>
          </cell>
          <cell r="J15813">
            <v>45694</v>
          </cell>
          <cell r="K15813">
            <v>1</v>
          </cell>
        </row>
        <row r="15814">
          <cell r="C15814" t="str">
            <v>王瀚霆</v>
          </cell>
          <cell r="F15814" t="str">
            <v>M240704R1</v>
          </cell>
          <cell r="J15814">
            <v>45694</v>
          </cell>
          <cell r="K15814">
            <v>1.5</v>
          </cell>
        </row>
        <row r="15815">
          <cell r="C15815" t="str">
            <v>王瀚霆</v>
          </cell>
          <cell r="F15815" t="str">
            <v>M240704R1</v>
          </cell>
          <cell r="J15815">
            <v>45694</v>
          </cell>
          <cell r="K15815">
            <v>1.5</v>
          </cell>
        </row>
        <row r="15816">
          <cell r="C15816" t="str">
            <v>王瀚霆</v>
          </cell>
          <cell r="F15816" t="str">
            <v>D250101R1</v>
          </cell>
          <cell r="J15816">
            <v>45695</v>
          </cell>
          <cell r="K15816">
            <v>2</v>
          </cell>
        </row>
        <row r="15817">
          <cell r="C15817" t="str">
            <v>王瀚霆</v>
          </cell>
          <cell r="F15817" t="str">
            <v>K240801R2</v>
          </cell>
          <cell r="J15817">
            <v>45695</v>
          </cell>
          <cell r="K15817">
            <v>1</v>
          </cell>
        </row>
        <row r="15818">
          <cell r="C15818" t="str">
            <v>王瀚霆</v>
          </cell>
          <cell r="F15818" t="str">
            <v>D240902R1</v>
          </cell>
          <cell r="J15818">
            <v>45695</v>
          </cell>
          <cell r="K15818">
            <v>3</v>
          </cell>
        </row>
        <row r="15819">
          <cell r="C15819" t="str">
            <v>王瀚霆</v>
          </cell>
          <cell r="F15819" t="str">
            <v>M240704R1</v>
          </cell>
          <cell r="J15819">
            <v>45695</v>
          </cell>
          <cell r="K15819">
            <v>1.5</v>
          </cell>
        </row>
        <row r="15820">
          <cell r="C15820" t="str">
            <v>王瀚霆</v>
          </cell>
          <cell r="F15820" t="str">
            <v>D240901R1</v>
          </cell>
          <cell r="J15820">
            <v>45695</v>
          </cell>
          <cell r="K15820">
            <v>1</v>
          </cell>
        </row>
        <row r="15821">
          <cell r="C15821" t="str">
            <v>王瀚霆</v>
          </cell>
          <cell r="F15821" t="str">
            <v>K241201R1</v>
          </cell>
          <cell r="J15821">
            <v>45695</v>
          </cell>
          <cell r="K15821">
            <v>1</v>
          </cell>
        </row>
        <row r="15822">
          <cell r="C15822" t="str">
            <v>王瀚霆</v>
          </cell>
          <cell r="J15822">
            <v>45696</v>
          </cell>
          <cell r="K15822">
            <v>1</v>
          </cell>
        </row>
        <row r="15823">
          <cell r="C15823" t="str">
            <v>王瀚霆</v>
          </cell>
          <cell r="F15823" t="str">
            <v>K240801R2</v>
          </cell>
          <cell r="J15823">
            <v>45696</v>
          </cell>
          <cell r="K15823">
            <v>1</v>
          </cell>
        </row>
        <row r="15824">
          <cell r="C15824" t="str">
            <v>王瀚霆</v>
          </cell>
          <cell r="F15824" t="str">
            <v>D240902R1</v>
          </cell>
          <cell r="J15824">
            <v>45696</v>
          </cell>
          <cell r="K15824">
            <v>5.5</v>
          </cell>
        </row>
        <row r="15825">
          <cell r="C15825" t="str">
            <v>王瀚霆</v>
          </cell>
          <cell r="F15825" t="str">
            <v>K241201R1</v>
          </cell>
          <cell r="J15825">
            <v>45696</v>
          </cell>
          <cell r="K15825">
            <v>1</v>
          </cell>
        </row>
        <row r="15826">
          <cell r="C15826" t="str">
            <v>王瀚霆</v>
          </cell>
          <cell r="F15826" t="str">
            <v>M240704R1</v>
          </cell>
          <cell r="J15826">
            <v>45696</v>
          </cell>
          <cell r="K15826">
            <v>1</v>
          </cell>
        </row>
        <row r="15827">
          <cell r="C15827" t="str">
            <v>王瀚霆</v>
          </cell>
          <cell r="J15827">
            <v>45698</v>
          </cell>
          <cell r="K15827">
            <v>8</v>
          </cell>
        </row>
        <row r="15828">
          <cell r="C15828" t="str">
            <v>王瀚霆</v>
          </cell>
          <cell r="J15828">
            <v>45699</v>
          </cell>
          <cell r="K15828">
            <v>8</v>
          </cell>
        </row>
        <row r="15829">
          <cell r="C15829" t="str">
            <v>王瀚霆</v>
          </cell>
          <cell r="J15829">
            <v>45700</v>
          </cell>
          <cell r="K15829">
            <v>8</v>
          </cell>
        </row>
        <row r="15830">
          <cell r="C15830" t="str">
            <v>王瀚霆</v>
          </cell>
          <cell r="J15830">
            <v>45701</v>
          </cell>
          <cell r="K15830">
            <v>8</v>
          </cell>
        </row>
        <row r="15831">
          <cell r="C15831" t="str">
            <v>王瀚霆</v>
          </cell>
          <cell r="J15831">
            <v>45702</v>
          </cell>
          <cell r="K15831">
            <v>1</v>
          </cell>
        </row>
        <row r="15832">
          <cell r="C15832" t="str">
            <v>王瀚霆</v>
          </cell>
          <cell r="F15832" t="str">
            <v>M240704R1</v>
          </cell>
          <cell r="J15832">
            <v>45702</v>
          </cell>
          <cell r="K15832">
            <v>2.5</v>
          </cell>
        </row>
        <row r="15833">
          <cell r="C15833" t="str">
            <v>王瀚霆</v>
          </cell>
          <cell r="F15833" t="str">
            <v>D240902R1</v>
          </cell>
          <cell r="J15833">
            <v>45702</v>
          </cell>
          <cell r="K15833">
            <v>3.5</v>
          </cell>
        </row>
        <row r="15834">
          <cell r="C15834" t="str">
            <v>王瀚霆</v>
          </cell>
          <cell r="F15834" t="str">
            <v>M240703R1</v>
          </cell>
          <cell r="J15834">
            <v>45702</v>
          </cell>
          <cell r="K15834">
            <v>1</v>
          </cell>
        </row>
        <row r="15835">
          <cell r="C15835" t="str">
            <v>王瀚霆</v>
          </cell>
          <cell r="F15835" t="str">
            <v>D240901R1</v>
          </cell>
          <cell r="J15835">
            <v>45702</v>
          </cell>
          <cell r="K15835">
            <v>1.5</v>
          </cell>
        </row>
        <row r="15836">
          <cell r="C15836" t="str">
            <v>王瀚霆</v>
          </cell>
          <cell r="F15836" t="str">
            <v>K241201R1</v>
          </cell>
          <cell r="J15836">
            <v>45705</v>
          </cell>
          <cell r="K15836">
            <v>1</v>
          </cell>
        </row>
        <row r="15837">
          <cell r="C15837" t="str">
            <v>王瀚霆</v>
          </cell>
          <cell r="F15837" t="str">
            <v>D240902R1</v>
          </cell>
          <cell r="J15837">
            <v>45705</v>
          </cell>
          <cell r="K15837">
            <v>2</v>
          </cell>
        </row>
        <row r="15838">
          <cell r="C15838" t="str">
            <v>王瀚霆</v>
          </cell>
          <cell r="F15838" t="str">
            <v>K231101P1</v>
          </cell>
          <cell r="J15838">
            <v>45705</v>
          </cell>
          <cell r="K15838">
            <v>1</v>
          </cell>
        </row>
        <row r="15839">
          <cell r="C15839" t="str">
            <v>王瀚霆</v>
          </cell>
          <cell r="F15839" t="str">
            <v>K240801R2</v>
          </cell>
          <cell r="J15839">
            <v>45705</v>
          </cell>
          <cell r="K15839">
            <v>1</v>
          </cell>
        </row>
        <row r="15840">
          <cell r="C15840" t="str">
            <v>王瀚霆</v>
          </cell>
          <cell r="F15840" t="str">
            <v>D240902R1</v>
          </cell>
          <cell r="J15840">
            <v>45705</v>
          </cell>
          <cell r="K15840">
            <v>1.5</v>
          </cell>
        </row>
        <row r="15841">
          <cell r="C15841" t="str">
            <v>王瀚霆</v>
          </cell>
          <cell r="F15841" t="str">
            <v>M240704R1</v>
          </cell>
          <cell r="J15841">
            <v>45705</v>
          </cell>
          <cell r="K15841">
            <v>3</v>
          </cell>
        </row>
        <row r="15842">
          <cell r="C15842" t="str">
            <v>王瀚霆</v>
          </cell>
          <cell r="J15842">
            <v>45706</v>
          </cell>
          <cell r="K15842">
            <v>2.5</v>
          </cell>
        </row>
        <row r="15843">
          <cell r="C15843" t="str">
            <v>王瀚霆</v>
          </cell>
          <cell r="J15843">
            <v>45706</v>
          </cell>
          <cell r="K15843">
            <v>0.5</v>
          </cell>
        </row>
        <row r="15844">
          <cell r="C15844" t="str">
            <v>王瀚霆</v>
          </cell>
          <cell r="F15844" t="str">
            <v>M240704R1</v>
          </cell>
          <cell r="J15844">
            <v>45706</v>
          </cell>
          <cell r="K15844">
            <v>6.5</v>
          </cell>
        </row>
        <row r="15845">
          <cell r="C15845" t="str">
            <v>王瀚霆</v>
          </cell>
          <cell r="J15845">
            <v>45707</v>
          </cell>
          <cell r="K15845">
            <v>2</v>
          </cell>
        </row>
        <row r="15846">
          <cell r="C15846" t="str">
            <v>王瀚霆</v>
          </cell>
          <cell r="F15846" t="str">
            <v>D240902R1</v>
          </cell>
          <cell r="J15846">
            <v>45707</v>
          </cell>
          <cell r="K15846">
            <v>2.5</v>
          </cell>
        </row>
        <row r="15847">
          <cell r="C15847" t="str">
            <v>王瀚霆</v>
          </cell>
          <cell r="F15847" t="str">
            <v>M240704R1</v>
          </cell>
          <cell r="J15847">
            <v>45707</v>
          </cell>
          <cell r="K15847">
            <v>4</v>
          </cell>
        </row>
        <row r="15848">
          <cell r="C15848" t="str">
            <v>王瀚霆</v>
          </cell>
          <cell r="J15848">
            <v>45708</v>
          </cell>
          <cell r="K15848">
            <v>1</v>
          </cell>
        </row>
        <row r="15849">
          <cell r="C15849" t="str">
            <v>王瀚霆</v>
          </cell>
          <cell r="J15849">
            <v>45708</v>
          </cell>
          <cell r="K15849">
            <v>1</v>
          </cell>
        </row>
        <row r="15850">
          <cell r="C15850" t="str">
            <v>王瀚霆</v>
          </cell>
          <cell r="J15850">
            <v>45708</v>
          </cell>
          <cell r="K15850">
            <v>2.5</v>
          </cell>
        </row>
        <row r="15851">
          <cell r="C15851" t="str">
            <v>王瀚霆</v>
          </cell>
          <cell r="F15851" t="str">
            <v>M240704R1</v>
          </cell>
          <cell r="J15851">
            <v>45708</v>
          </cell>
          <cell r="K15851">
            <v>4</v>
          </cell>
        </row>
        <row r="15852">
          <cell r="C15852" t="str">
            <v>王瀚霆</v>
          </cell>
          <cell r="F15852" t="str">
            <v>M240704R1</v>
          </cell>
          <cell r="J15852">
            <v>45708</v>
          </cell>
          <cell r="K15852">
            <v>1</v>
          </cell>
        </row>
        <row r="15853">
          <cell r="C15853" t="str">
            <v>王瀚霆</v>
          </cell>
          <cell r="J15853">
            <v>45709</v>
          </cell>
          <cell r="K15853">
            <v>4.5</v>
          </cell>
        </row>
        <row r="15854">
          <cell r="C15854" t="str">
            <v>王瀚霆</v>
          </cell>
          <cell r="F15854" t="str">
            <v>M240704R1</v>
          </cell>
          <cell r="J15854">
            <v>45709</v>
          </cell>
          <cell r="K15854">
            <v>3.5</v>
          </cell>
        </row>
        <row r="15855">
          <cell r="C15855" t="str">
            <v>王瀚霆</v>
          </cell>
          <cell r="F15855" t="str">
            <v>K241001R1</v>
          </cell>
          <cell r="J15855">
            <v>45712</v>
          </cell>
          <cell r="K15855">
            <v>0.5</v>
          </cell>
        </row>
        <row r="15856">
          <cell r="C15856" t="str">
            <v>王瀚霆</v>
          </cell>
          <cell r="J15856">
            <v>45712</v>
          </cell>
          <cell r="K15856">
            <v>3.5</v>
          </cell>
        </row>
        <row r="15857">
          <cell r="C15857" t="str">
            <v>王瀚霆</v>
          </cell>
          <cell r="F15857" t="str">
            <v>K241201R1</v>
          </cell>
          <cell r="J15857">
            <v>45712</v>
          </cell>
          <cell r="K15857">
            <v>0.5</v>
          </cell>
        </row>
        <row r="15858">
          <cell r="C15858" t="str">
            <v>王瀚霆</v>
          </cell>
          <cell r="F15858" t="str">
            <v>M240704R1</v>
          </cell>
          <cell r="J15858">
            <v>45712</v>
          </cell>
          <cell r="K15858">
            <v>0.5</v>
          </cell>
        </row>
        <row r="15859">
          <cell r="C15859" t="str">
            <v>王瀚霆</v>
          </cell>
          <cell r="F15859" t="str">
            <v>M240703R1</v>
          </cell>
          <cell r="J15859">
            <v>45712</v>
          </cell>
          <cell r="K15859">
            <v>0.5</v>
          </cell>
        </row>
        <row r="15860">
          <cell r="C15860" t="str">
            <v>王瀚霆</v>
          </cell>
          <cell r="F15860" t="str">
            <v>M240804R1</v>
          </cell>
          <cell r="J15860">
            <v>45712</v>
          </cell>
          <cell r="K15860">
            <v>1</v>
          </cell>
        </row>
        <row r="15861">
          <cell r="C15861" t="str">
            <v>王瀚霆</v>
          </cell>
          <cell r="F15861" t="str">
            <v>M240702R1</v>
          </cell>
          <cell r="J15861">
            <v>45712</v>
          </cell>
          <cell r="K15861">
            <v>0.5</v>
          </cell>
        </row>
        <row r="15862">
          <cell r="C15862" t="str">
            <v>王瀚霆</v>
          </cell>
          <cell r="F15862" t="str">
            <v>K240801R2</v>
          </cell>
          <cell r="J15862">
            <v>45712</v>
          </cell>
          <cell r="K15862">
            <v>0.5</v>
          </cell>
        </row>
        <row r="15863">
          <cell r="C15863" t="str">
            <v>王瀚霆</v>
          </cell>
          <cell r="F15863" t="str">
            <v>M240704R1</v>
          </cell>
          <cell r="J15863">
            <v>45712</v>
          </cell>
          <cell r="K15863">
            <v>2</v>
          </cell>
        </row>
        <row r="15864">
          <cell r="C15864" t="str">
            <v>王瀚霆</v>
          </cell>
          <cell r="J15864">
            <v>45713</v>
          </cell>
          <cell r="K15864">
            <v>3</v>
          </cell>
        </row>
        <row r="15865">
          <cell r="C15865" t="str">
            <v>王瀚霆</v>
          </cell>
          <cell r="J15865">
            <v>45713</v>
          </cell>
          <cell r="K15865">
            <v>2</v>
          </cell>
        </row>
        <row r="15866">
          <cell r="C15866" t="str">
            <v>王瀚霆</v>
          </cell>
          <cell r="F15866" t="str">
            <v>D240902R1</v>
          </cell>
          <cell r="J15866">
            <v>45713</v>
          </cell>
          <cell r="K15866">
            <v>4.5</v>
          </cell>
        </row>
        <row r="15867">
          <cell r="C15867" t="str">
            <v>王瀚霆</v>
          </cell>
          <cell r="J15867">
            <v>45714</v>
          </cell>
          <cell r="K15867">
            <v>2</v>
          </cell>
        </row>
        <row r="15868">
          <cell r="C15868" t="str">
            <v>王瀚霆</v>
          </cell>
          <cell r="J15868">
            <v>45714</v>
          </cell>
          <cell r="K15868">
            <v>1</v>
          </cell>
        </row>
        <row r="15869">
          <cell r="C15869" t="str">
            <v>王瀚霆</v>
          </cell>
          <cell r="F15869" t="str">
            <v>D250101R1</v>
          </cell>
          <cell r="J15869">
            <v>45714</v>
          </cell>
          <cell r="K15869">
            <v>1</v>
          </cell>
        </row>
        <row r="15870">
          <cell r="C15870" t="str">
            <v>王瀚霆</v>
          </cell>
          <cell r="F15870" t="str">
            <v>K240801R2</v>
          </cell>
          <cell r="J15870">
            <v>45714</v>
          </cell>
          <cell r="K15870">
            <v>0.5</v>
          </cell>
        </row>
        <row r="15871">
          <cell r="C15871" t="str">
            <v>王瀚霆</v>
          </cell>
          <cell r="F15871" t="str">
            <v>D240902R1</v>
          </cell>
          <cell r="J15871">
            <v>45714</v>
          </cell>
          <cell r="K15871">
            <v>1</v>
          </cell>
        </row>
        <row r="15872">
          <cell r="C15872" t="str">
            <v>王瀚霆</v>
          </cell>
          <cell r="F15872" t="str">
            <v>D240902R1</v>
          </cell>
          <cell r="J15872">
            <v>45714</v>
          </cell>
          <cell r="K15872">
            <v>2.5</v>
          </cell>
        </row>
        <row r="15873">
          <cell r="C15873" t="str">
            <v>王瀚霆</v>
          </cell>
          <cell r="F15873" t="str">
            <v>K241201R1</v>
          </cell>
          <cell r="J15873">
            <v>45714</v>
          </cell>
          <cell r="K15873">
            <v>0.5</v>
          </cell>
        </row>
        <row r="15874">
          <cell r="C15874" t="str">
            <v>王瀚霆</v>
          </cell>
          <cell r="F15874" t="str">
            <v>M240704R1</v>
          </cell>
          <cell r="J15874">
            <v>45714</v>
          </cell>
          <cell r="K15874">
            <v>1</v>
          </cell>
        </row>
        <row r="15875">
          <cell r="C15875" t="str">
            <v>王瀚霆</v>
          </cell>
          <cell r="J15875">
            <v>45715</v>
          </cell>
          <cell r="K15875">
            <v>2</v>
          </cell>
        </row>
        <row r="15876">
          <cell r="C15876" t="str">
            <v>王瀚霆</v>
          </cell>
          <cell r="J15876">
            <v>45715</v>
          </cell>
          <cell r="K15876">
            <v>1</v>
          </cell>
        </row>
        <row r="15877">
          <cell r="C15877" t="str">
            <v>王瀚霆</v>
          </cell>
          <cell r="F15877" t="str">
            <v>M240703R1</v>
          </cell>
          <cell r="J15877">
            <v>45715</v>
          </cell>
          <cell r="K15877">
            <v>4.5</v>
          </cell>
        </row>
        <row r="15878">
          <cell r="C15878" t="str">
            <v>王瀚霆</v>
          </cell>
          <cell r="F15878" t="str">
            <v>M240704R1</v>
          </cell>
          <cell r="J15878">
            <v>45715</v>
          </cell>
          <cell r="K15878">
            <v>2</v>
          </cell>
        </row>
        <row r="15879">
          <cell r="C15879" t="str">
            <v>王瀚霆</v>
          </cell>
          <cell r="F15879" t="str">
            <v>M240704R1</v>
          </cell>
          <cell r="J15879">
            <v>45719</v>
          </cell>
          <cell r="K15879">
            <v>2.5</v>
          </cell>
        </row>
        <row r="15880">
          <cell r="C15880" t="str">
            <v>王瀚霆</v>
          </cell>
          <cell r="F15880" t="str">
            <v>D240902R1</v>
          </cell>
          <cell r="J15880">
            <v>45719</v>
          </cell>
          <cell r="K15880">
            <v>7</v>
          </cell>
        </row>
        <row r="15881">
          <cell r="C15881" t="str">
            <v>王瀚霆</v>
          </cell>
          <cell r="J15881">
            <v>45720</v>
          </cell>
          <cell r="K15881">
            <v>1</v>
          </cell>
        </row>
        <row r="15882">
          <cell r="C15882" t="str">
            <v>王瀚霆</v>
          </cell>
          <cell r="J15882">
            <v>45720</v>
          </cell>
          <cell r="K15882">
            <v>1.5</v>
          </cell>
        </row>
        <row r="15883">
          <cell r="C15883" t="str">
            <v>王瀚霆</v>
          </cell>
          <cell r="J15883">
            <v>45720</v>
          </cell>
          <cell r="K15883">
            <v>1</v>
          </cell>
        </row>
        <row r="15884">
          <cell r="C15884" t="str">
            <v>王瀚霆</v>
          </cell>
          <cell r="F15884" t="str">
            <v>M240704R1</v>
          </cell>
          <cell r="J15884">
            <v>45720</v>
          </cell>
          <cell r="K15884">
            <v>4</v>
          </cell>
        </row>
        <row r="15885">
          <cell r="C15885" t="str">
            <v>王瀚霆</v>
          </cell>
          <cell r="F15885" t="str">
            <v>D240902R1</v>
          </cell>
          <cell r="J15885">
            <v>45720</v>
          </cell>
          <cell r="K15885">
            <v>2</v>
          </cell>
        </row>
        <row r="15886">
          <cell r="C15886" t="str">
            <v>王瀚霆</v>
          </cell>
          <cell r="J15886">
            <v>45721</v>
          </cell>
          <cell r="K15886">
            <v>3</v>
          </cell>
        </row>
        <row r="15887">
          <cell r="C15887" t="str">
            <v>王瀚霆</v>
          </cell>
          <cell r="F15887" t="str">
            <v>K231101R1</v>
          </cell>
          <cell r="J15887">
            <v>45721</v>
          </cell>
          <cell r="K15887">
            <v>1</v>
          </cell>
        </row>
        <row r="15888">
          <cell r="C15888" t="str">
            <v>王瀚霆</v>
          </cell>
          <cell r="J15888">
            <v>45721</v>
          </cell>
          <cell r="K15888">
            <v>0.5</v>
          </cell>
        </row>
        <row r="15889">
          <cell r="C15889" t="str">
            <v>王瀚霆</v>
          </cell>
          <cell r="F15889" t="str">
            <v>K241001R1</v>
          </cell>
          <cell r="J15889">
            <v>45721</v>
          </cell>
          <cell r="K15889">
            <v>1</v>
          </cell>
        </row>
        <row r="15890">
          <cell r="C15890" t="str">
            <v>王瀚霆</v>
          </cell>
          <cell r="F15890" t="str">
            <v>D240902R1</v>
          </cell>
          <cell r="J15890">
            <v>45721</v>
          </cell>
          <cell r="K15890">
            <v>3</v>
          </cell>
        </row>
        <row r="15891">
          <cell r="C15891" t="str">
            <v>王瀚霆</v>
          </cell>
          <cell r="F15891" t="str">
            <v>M240704R1</v>
          </cell>
          <cell r="J15891">
            <v>45721</v>
          </cell>
          <cell r="K15891">
            <v>1</v>
          </cell>
        </row>
        <row r="15892">
          <cell r="C15892" t="str">
            <v>王瀚霆</v>
          </cell>
          <cell r="J15892">
            <v>45722</v>
          </cell>
          <cell r="K15892">
            <v>2.5</v>
          </cell>
        </row>
        <row r="15893">
          <cell r="C15893" t="str">
            <v>王瀚霆</v>
          </cell>
          <cell r="F15893" t="str">
            <v>M240703R1</v>
          </cell>
          <cell r="J15893">
            <v>45722</v>
          </cell>
          <cell r="K15893">
            <v>1.5</v>
          </cell>
        </row>
        <row r="15894">
          <cell r="C15894" t="str">
            <v>王瀚霆</v>
          </cell>
          <cell r="F15894" t="str">
            <v>D240902R1</v>
          </cell>
          <cell r="J15894">
            <v>45722</v>
          </cell>
          <cell r="K15894">
            <v>1</v>
          </cell>
        </row>
        <row r="15895">
          <cell r="C15895" t="str">
            <v>王瀚霆</v>
          </cell>
          <cell r="F15895" t="str">
            <v>M240704R1</v>
          </cell>
          <cell r="J15895">
            <v>45722</v>
          </cell>
          <cell r="K15895">
            <v>2</v>
          </cell>
        </row>
        <row r="15896">
          <cell r="C15896" t="str">
            <v>王瀚霆</v>
          </cell>
          <cell r="F15896" t="str">
            <v>D240902R1</v>
          </cell>
          <cell r="J15896">
            <v>45722</v>
          </cell>
          <cell r="K15896">
            <v>2.5</v>
          </cell>
        </row>
        <row r="15897">
          <cell r="C15897" t="str">
            <v>王瀚霆</v>
          </cell>
          <cell r="F15897" t="str">
            <v>D240902R1</v>
          </cell>
          <cell r="J15897">
            <v>45723</v>
          </cell>
          <cell r="K15897">
            <v>1.5</v>
          </cell>
        </row>
        <row r="15898">
          <cell r="C15898" t="str">
            <v>王瀚霆</v>
          </cell>
          <cell r="F15898" t="str">
            <v>M240703R1</v>
          </cell>
          <cell r="J15898">
            <v>45723</v>
          </cell>
          <cell r="K15898">
            <v>1.5</v>
          </cell>
        </row>
        <row r="15899">
          <cell r="C15899" t="str">
            <v>王瀚霆</v>
          </cell>
          <cell r="F15899" t="str">
            <v>M240704R1</v>
          </cell>
          <cell r="J15899">
            <v>45723</v>
          </cell>
          <cell r="K15899">
            <v>2</v>
          </cell>
        </row>
        <row r="15900">
          <cell r="C15900" t="str">
            <v>王瀚霆</v>
          </cell>
          <cell r="F15900" t="str">
            <v>D240902R1</v>
          </cell>
          <cell r="J15900">
            <v>45723</v>
          </cell>
          <cell r="K15900">
            <v>3</v>
          </cell>
        </row>
        <row r="15901">
          <cell r="C15901" t="str">
            <v>王瀚霆</v>
          </cell>
          <cell r="J15901">
            <v>45726</v>
          </cell>
          <cell r="K15901">
            <v>2</v>
          </cell>
        </row>
        <row r="15902">
          <cell r="C15902" t="str">
            <v>王瀚霆</v>
          </cell>
          <cell r="F15902" t="str">
            <v>M240704R1</v>
          </cell>
          <cell r="J15902">
            <v>45726</v>
          </cell>
          <cell r="K15902">
            <v>7.5</v>
          </cell>
        </row>
        <row r="15903">
          <cell r="C15903" t="str">
            <v>王瀚霆</v>
          </cell>
          <cell r="J15903">
            <v>45727</v>
          </cell>
          <cell r="K15903">
            <v>3</v>
          </cell>
        </row>
        <row r="15904">
          <cell r="C15904" t="str">
            <v>王瀚霆</v>
          </cell>
          <cell r="F15904" t="str">
            <v>M240704R1</v>
          </cell>
          <cell r="J15904">
            <v>45727</v>
          </cell>
          <cell r="K15904">
            <v>4</v>
          </cell>
        </row>
        <row r="15905">
          <cell r="C15905" t="str">
            <v>王瀚霆</v>
          </cell>
          <cell r="F15905" t="str">
            <v>K240801R2</v>
          </cell>
          <cell r="J15905">
            <v>45727</v>
          </cell>
          <cell r="K15905">
            <v>1</v>
          </cell>
        </row>
        <row r="15906">
          <cell r="C15906" t="str">
            <v>王瀚霆</v>
          </cell>
          <cell r="F15906" t="str">
            <v>K231101P1</v>
          </cell>
          <cell r="J15906">
            <v>45727</v>
          </cell>
          <cell r="K15906">
            <v>1.5</v>
          </cell>
        </row>
        <row r="15907">
          <cell r="C15907" t="str">
            <v>王瀚霆</v>
          </cell>
          <cell r="F15907" t="str">
            <v>K231101P1</v>
          </cell>
          <cell r="J15907">
            <v>45728</v>
          </cell>
          <cell r="K15907">
            <v>1</v>
          </cell>
        </row>
        <row r="15908">
          <cell r="C15908" t="str">
            <v>王瀚霆</v>
          </cell>
          <cell r="J15908">
            <v>45728</v>
          </cell>
          <cell r="K15908">
            <v>2</v>
          </cell>
        </row>
        <row r="15909">
          <cell r="C15909" t="str">
            <v>王瀚霆</v>
          </cell>
          <cell r="F15909" t="str">
            <v>K241001R1</v>
          </cell>
          <cell r="J15909">
            <v>45728</v>
          </cell>
          <cell r="K15909">
            <v>1</v>
          </cell>
        </row>
        <row r="15910">
          <cell r="C15910" t="str">
            <v>王瀚霆</v>
          </cell>
          <cell r="F15910" t="str">
            <v>D240902R1</v>
          </cell>
          <cell r="J15910">
            <v>45728</v>
          </cell>
          <cell r="K15910">
            <v>1</v>
          </cell>
        </row>
        <row r="15911">
          <cell r="C15911" t="str">
            <v>王瀚霆</v>
          </cell>
          <cell r="F15911" t="str">
            <v>M240704R1</v>
          </cell>
          <cell r="J15911">
            <v>45728</v>
          </cell>
          <cell r="K15911">
            <v>1</v>
          </cell>
        </row>
        <row r="15912">
          <cell r="C15912" t="str">
            <v>王瀚霆</v>
          </cell>
          <cell r="F15912" t="str">
            <v>D240902R1</v>
          </cell>
          <cell r="J15912">
            <v>45728</v>
          </cell>
          <cell r="K15912">
            <v>2</v>
          </cell>
        </row>
        <row r="15913">
          <cell r="C15913" t="str">
            <v>王瀚霆</v>
          </cell>
          <cell r="F15913" t="str">
            <v>K241201R1</v>
          </cell>
          <cell r="J15913">
            <v>45728</v>
          </cell>
          <cell r="K15913">
            <v>1.5</v>
          </cell>
        </row>
        <row r="15914">
          <cell r="C15914" t="str">
            <v>王瀚霆</v>
          </cell>
          <cell r="J15914">
            <v>45729</v>
          </cell>
          <cell r="K15914">
            <v>1.5</v>
          </cell>
        </row>
        <row r="15915">
          <cell r="C15915" t="str">
            <v>王瀚霆</v>
          </cell>
          <cell r="J15915">
            <v>45729</v>
          </cell>
          <cell r="K15915">
            <v>1</v>
          </cell>
        </row>
        <row r="15916">
          <cell r="C15916" t="str">
            <v>王瀚霆</v>
          </cell>
          <cell r="J15916">
            <v>45729</v>
          </cell>
          <cell r="K15916">
            <v>0.5</v>
          </cell>
        </row>
        <row r="15917">
          <cell r="C15917" t="str">
            <v>王瀚霆</v>
          </cell>
          <cell r="F15917" t="str">
            <v>M240101R1</v>
          </cell>
          <cell r="J15917">
            <v>45729</v>
          </cell>
          <cell r="K15917">
            <v>2</v>
          </cell>
        </row>
        <row r="15918">
          <cell r="C15918" t="str">
            <v>王瀚霆</v>
          </cell>
          <cell r="F15918" t="str">
            <v>M240703R1</v>
          </cell>
          <cell r="J15918">
            <v>45729</v>
          </cell>
          <cell r="K15918">
            <v>2.5</v>
          </cell>
        </row>
        <row r="15919">
          <cell r="C15919" t="str">
            <v>王瀚霆</v>
          </cell>
          <cell r="F15919" t="str">
            <v>D240902R1</v>
          </cell>
          <cell r="J15919">
            <v>45729</v>
          </cell>
          <cell r="K15919">
            <v>1</v>
          </cell>
        </row>
        <row r="15920">
          <cell r="C15920" t="str">
            <v>王瀚霆</v>
          </cell>
          <cell r="F15920" t="str">
            <v>M240701C1</v>
          </cell>
          <cell r="J15920">
            <v>45729</v>
          </cell>
          <cell r="K15920">
            <v>1</v>
          </cell>
        </row>
        <row r="15921">
          <cell r="C15921" t="str">
            <v>王瀚霆</v>
          </cell>
          <cell r="J15921">
            <v>45730</v>
          </cell>
          <cell r="K15921">
            <v>3</v>
          </cell>
        </row>
        <row r="15922">
          <cell r="C15922" t="str">
            <v>王瀚霆</v>
          </cell>
          <cell r="J15922">
            <v>45730</v>
          </cell>
          <cell r="K15922">
            <v>2</v>
          </cell>
        </row>
        <row r="15923">
          <cell r="C15923" t="str">
            <v>王瀚霆</v>
          </cell>
          <cell r="F15923" t="str">
            <v>D240902R1</v>
          </cell>
          <cell r="J15923">
            <v>45730</v>
          </cell>
          <cell r="K15923">
            <v>2</v>
          </cell>
        </row>
        <row r="15924">
          <cell r="C15924" t="str">
            <v>王瀚霆</v>
          </cell>
          <cell r="F15924" t="str">
            <v>M240101R1</v>
          </cell>
          <cell r="J15924">
            <v>45730</v>
          </cell>
          <cell r="K15924">
            <v>2.5</v>
          </cell>
        </row>
        <row r="15925">
          <cell r="C15925" t="str">
            <v>王瀚霆</v>
          </cell>
          <cell r="F15925" t="str">
            <v>D240902R1</v>
          </cell>
          <cell r="J15925">
            <v>45733</v>
          </cell>
          <cell r="K15925">
            <v>3.5</v>
          </cell>
        </row>
        <row r="15926">
          <cell r="C15926" t="str">
            <v>王瀚霆</v>
          </cell>
          <cell r="F15926" t="str">
            <v>M240704R1</v>
          </cell>
          <cell r="J15926">
            <v>45733</v>
          </cell>
          <cell r="K15926">
            <v>4.5</v>
          </cell>
        </row>
        <row r="15927">
          <cell r="C15927" t="str">
            <v>王瀚霆</v>
          </cell>
          <cell r="F15927" t="str">
            <v>M240101R1</v>
          </cell>
          <cell r="J15927">
            <v>45733</v>
          </cell>
          <cell r="K15927">
            <v>1.5</v>
          </cell>
        </row>
        <row r="15928">
          <cell r="C15928" t="str">
            <v>王瀚霆</v>
          </cell>
          <cell r="F15928" t="str">
            <v>M240704R1</v>
          </cell>
          <cell r="J15928">
            <v>45734</v>
          </cell>
          <cell r="K15928">
            <v>2.5</v>
          </cell>
        </row>
        <row r="15929">
          <cell r="C15929" t="str">
            <v>王瀚霆</v>
          </cell>
          <cell r="F15929" t="str">
            <v>M240704R1</v>
          </cell>
          <cell r="J15929">
            <v>45734</v>
          </cell>
          <cell r="K15929">
            <v>1</v>
          </cell>
        </row>
        <row r="15930">
          <cell r="C15930" t="str">
            <v>王瀚霆</v>
          </cell>
          <cell r="F15930" t="str">
            <v>M240101R1</v>
          </cell>
          <cell r="J15930">
            <v>45734</v>
          </cell>
          <cell r="K15930">
            <v>1</v>
          </cell>
        </row>
        <row r="15931">
          <cell r="C15931" t="str">
            <v>王瀚霆</v>
          </cell>
          <cell r="F15931" t="str">
            <v>D240902R1</v>
          </cell>
          <cell r="J15931">
            <v>45734</v>
          </cell>
          <cell r="K15931">
            <v>5</v>
          </cell>
        </row>
        <row r="15932">
          <cell r="C15932" t="str">
            <v>王瀚霆</v>
          </cell>
          <cell r="J15932">
            <v>45735</v>
          </cell>
          <cell r="K15932">
            <v>1</v>
          </cell>
        </row>
        <row r="15933">
          <cell r="C15933" t="str">
            <v>王瀚霆</v>
          </cell>
          <cell r="J15933">
            <v>45735</v>
          </cell>
          <cell r="K15933">
            <v>1</v>
          </cell>
        </row>
        <row r="15934">
          <cell r="C15934" t="str">
            <v>王瀚霆</v>
          </cell>
          <cell r="J15934">
            <v>45735</v>
          </cell>
          <cell r="K15934">
            <v>2</v>
          </cell>
        </row>
        <row r="15935">
          <cell r="C15935" t="str">
            <v>王瀚霆</v>
          </cell>
          <cell r="F15935" t="str">
            <v>D240902R1</v>
          </cell>
          <cell r="J15935">
            <v>45735</v>
          </cell>
          <cell r="K15935">
            <v>1.5</v>
          </cell>
        </row>
        <row r="15936">
          <cell r="C15936" t="str">
            <v>王瀚霆</v>
          </cell>
          <cell r="F15936" t="str">
            <v>M250201C1</v>
          </cell>
          <cell r="J15936">
            <v>45735</v>
          </cell>
          <cell r="K15936">
            <v>1</v>
          </cell>
        </row>
        <row r="15937">
          <cell r="C15937" t="str">
            <v>王瀚霆</v>
          </cell>
          <cell r="F15937" t="str">
            <v>M240101R1</v>
          </cell>
          <cell r="J15937">
            <v>45735</v>
          </cell>
          <cell r="K15937">
            <v>3</v>
          </cell>
        </row>
        <row r="15938">
          <cell r="C15938" t="str">
            <v>王瀚霆</v>
          </cell>
          <cell r="J15938">
            <v>45736</v>
          </cell>
          <cell r="K15938">
            <v>1</v>
          </cell>
        </row>
        <row r="15939">
          <cell r="C15939" t="str">
            <v>王瀚霆</v>
          </cell>
          <cell r="F15939" t="str">
            <v>M240704R1</v>
          </cell>
          <cell r="J15939">
            <v>45736</v>
          </cell>
          <cell r="K15939">
            <v>1</v>
          </cell>
        </row>
        <row r="15940">
          <cell r="C15940" t="str">
            <v>王瀚霆</v>
          </cell>
          <cell r="J15940">
            <v>45736</v>
          </cell>
          <cell r="K15940">
            <v>1</v>
          </cell>
        </row>
        <row r="15941">
          <cell r="C15941" t="str">
            <v>王瀚霆</v>
          </cell>
          <cell r="F15941" t="str">
            <v>D240902R1</v>
          </cell>
          <cell r="J15941">
            <v>45736</v>
          </cell>
          <cell r="K15941">
            <v>1</v>
          </cell>
        </row>
        <row r="15942">
          <cell r="C15942" t="str">
            <v>王瀚霆</v>
          </cell>
          <cell r="J15942">
            <v>45736</v>
          </cell>
          <cell r="K15942">
            <v>1</v>
          </cell>
        </row>
        <row r="15943">
          <cell r="C15943" t="str">
            <v>王瀚霆</v>
          </cell>
          <cell r="J15943">
            <v>45736</v>
          </cell>
          <cell r="K15943">
            <v>1</v>
          </cell>
        </row>
        <row r="15944">
          <cell r="C15944" t="str">
            <v>王瀚霆</v>
          </cell>
          <cell r="F15944" t="str">
            <v>M240101R1</v>
          </cell>
          <cell r="J15944">
            <v>45736</v>
          </cell>
          <cell r="K15944">
            <v>1.5</v>
          </cell>
        </row>
        <row r="15945">
          <cell r="C15945" t="str">
            <v>王瀚霆</v>
          </cell>
          <cell r="F15945" t="str">
            <v>D240902R1</v>
          </cell>
          <cell r="J15945">
            <v>45736</v>
          </cell>
          <cell r="K15945">
            <v>2</v>
          </cell>
        </row>
        <row r="15946">
          <cell r="C15946" t="str">
            <v>王瀚霆</v>
          </cell>
          <cell r="F15946" t="str">
            <v>D240902R1</v>
          </cell>
          <cell r="J15946">
            <v>45737</v>
          </cell>
          <cell r="K15946">
            <v>1</v>
          </cell>
        </row>
        <row r="15947">
          <cell r="C15947" t="str">
            <v>王瀚霆</v>
          </cell>
          <cell r="F15947" t="str">
            <v>M240703R1</v>
          </cell>
          <cell r="J15947">
            <v>45737</v>
          </cell>
          <cell r="K15947">
            <v>3.5</v>
          </cell>
        </row>
        <row r="15948">
          <cell r="C15948" t="str">
            <v>王瀚霆</v>
          </cell>
          <cell r="F15948" t="str">
            <v>M240704R1</v>
          </cell>
          <cell r="J15948">
            <v>45737</v>
          </cell>
          <cell r="K15948">
            <v>5</v>
          </cell>
        </row>
        <row r="15949">
          <cell r="C15949" t="str">
            <v>王瀚霆</v>
          </cell>
          <cell r="J15949">
            <v>45740</v>
          </cell>
          <cell r="K15949">
            <v>3.5</v>
          </cell>
        </row>
        <row r="15950">
          <cell r="C15950" t="str">
            <v>王瀚霆</v>
          </cell>
          <cell r="J15950">
            <v>45740</v>
          </cell>
          <cell r="K15950">
            <v>2.5</v>
          </cell>
        </row>
        <row r="15951">
          <cell r="C15951" t="str">
            <v>王瀚霆</v>
          </cell>
          <cell r="F15951" t="str">
            <v>M240704R1</v>
          </cell>
          <cell r="J15951">
            <v>45740</v>
          </cell>
          <cell r="K15951">
            <v>1</v>
          </cell>
        </row>
        <row r="15952">
          <cell r="C15952" t="str">
            <v>王瀚霆</v>
          </cell>
          <cell r="F15952" t="str">
            <v>M240703R1</v>
          </cell>
          <cell r="J15952">
            <v>45740</v>
          </cell>
          <cell r="K15952">
            <v>2.5</v>
          </cell>
        </row>
        <row r="15953">
          <cell r="C15953" t="str">
            <v>王瀚霆</v>
          </cell>
          <cell r="F15953" t="str">
            <v>K231101P1</v>
          </cell>
          <cell r="J15953">
            <v>45741</v>
          </cell>
          <cell r="K15953">
            <v>1.5</v>
          </cell>
        </row>
        <row r="15954">
          <cell r="C15954" t="str">
            <v>王瀚霆</v>
          </cell>
          <cell r="J15954">
            <v>45741</v>
          </cell>
          <cell r="K15954">
            <v>7</v>
          </cell>
        </row>
        <row r="15955">
          <cell r="C15955" t="str">
            <v>王瀚霆</v>
          </cell>
          <cell r="F15955" t="str">
            <v>M240803R1</v>
          </cell>
          <cell r="J15955">
            <v>45741</v>
          </cell>
          <cell r="K15955">
            <v>1</v>
          </cell>
        </row>
        <row r="15956">
          <cell r="C15956" t="str">
            <v>王瀚霆</v>
          </cell>
          <cell r="J15956">
            <v>45742</v>
          </cell>
          <cell r="K15956">
            <v>5</v>
          </cell>
        </row>
        <row r="15957">
          <cell r="C15957" t="str">
            <v>王瀚霆</v>
          </cell>
          <cell r="J15957">
            <v>45742</v>
          </cell>
          <cell r="K15957">
            <v>3.5</v>
          </cell>
        </row>
        <row r="15958">
          <cell r="C15958" t="str">
            <v>王瀚霆</v>
          </cell>
          <cell r="F15958" t="str">
            <v>D240902R1</v>
          </cell>
          <cell r="J15958">
            <v>45742</v>
          </cell>
          <cell r="K15958">
            <v>1</v>
          </cell>
        </row>
        <row r="15959">
          <cell r="C15959" t="str">
            <v>王瀚霆</v>
          </cell>
          <cell r="J15959">
            <v>45743</v>
          </cell>
          <cell r="K15959">
            <v>1</v>
          </cell>
        </row>
        <row r="15960">
          <cell r="C15960" t="str">
            <v>王瀚霆</v>
          </cell>
          <cell r="J15960">
            <v>45743</v>
          </cell>
          <cell r="K15960">
            <v>1</v>
          </cell>
        </row>
        <row r="15961">
          <cell r="C15961" t="str">
            <v>王瀚霆</v>
          </cell>
          <cell r="F15961" t="str">
            <v>M240703R1</v>
          </cell>
          <cell r="J15961">
            <v>45743</v>
          </cell>
          <cell r="K15961">
            <v>1</v>
          </cell>
        </row>
        <row r="15962">
          <cell r="C15962" t="str">
            <v>王瀚霆</v>
          </cell>
          <cell r="F15962" t="str">
            <v>M240704R1</v>
          </cell>
          <cell r="J15962">
            <v>45743</v>
          </cell>
          <cell r="K15962">
            <v>2</v>
          </cell>
        </row>
        <row r="15963">
          <cell r="C15963" t="str">
            <v>王瀚霆</v>
          </cell>
          <cell r="F15963" t="str">
            <v>D240902R1</v>
          </cell>
          <cell r="J15963">
            <v>45743</v>
          </cell>
          <cell r="K15963">
            <v>1.5</v>
          </cell>
        </row>
        <row r="15964">
          <cell r="C15964" t="str">
            <v>王瀚霆</v>
          </cell>
          <cell r="F15964" t="str">
            <v>D241001R1</v>
          </cell>
          <cell r="J15964">
            <v>45743</v>
          </cell>
          <cell r="K15964">
            <v>3</v>
          </cell>
        </row>
        <row r="15965">
          <cell r="C15965" t="str">
            <v>王瀚霆</v>
          </cell>
          <cell r="F15965" t="str">
            <v>D240902R1</v>
          </cell>
          <cell r="J15965">
            <v>45744</v>
          </cell>
          <cell r="K15965">
            <v>1</v>
          </cell>
        </row>
        <row r="15966">
          <cell r="C15966" t="str">
            <v>王瀚霆</v>
          </cell>
          <cell r="F15966" t="str">
            <v>D241001R1</v>
          </cell>
          <cell r="J15966">
            <v>45744</v>
          </cell>
          <cell r="K15966">
            <v>5</v>
          </cell>
        </row>
        <row r="15967">
          <cell r="C15967" t="str">
            <v>王瀚霆</v>
          </cell>
          <cell r="F15967" t="str">
            <v>D241001R1</v>
          </cell>
          <cell r="J15967">
            <v>45744</v>
          </cell>
          <cell r="K15967">
            <v>3.5</v>
          </cell>
        </row>
        <row r="15968">
          <cell r="C15968" t="str">
            <v>王瀚霆</v>
          </cell>
          <cell r="J15968">
            <v>45747</v>
          </cell>
          <cell r="K15968">
            <v>1</v>
          </cell>
        </row>
        <row r="15969">
          <cell r="C15969" t="str">
            <v>王瀚霆</v>
          </cell>
          <cell r="F15969" t="str">
            <v>D250101R1</v>
          </cell>
          <cell r="J15969">
            <v>45747</v>
          </cell>
          <cell r="K15969">
            <v>1</v>
          </cell>
        </row>
        <row r="15970">
          <cell r="C15970" t="str">
            <v>王瀚霆</v>
          </cell>
          <cell r="F15970" t="str">
            <v>M240704R1</v>
          </cell>
          <cell r="J15970">
            <v>45747</v>
          </cell>
          <cell r="K15970">
            <v>1</v>
          </cell>
        </row>
        <row r="15971">
          <cell r="C15971" t="str">
            <v>王瀚霆</v>
          </cell>
          <cell r="F15971" t="str">
            <v>K240801R2</v>
          </cell>
          <cell r="J15971">
            <v>45747</v>
          </cell>
          <cell r="K15971">
            <v>1</v>
          </cell>
        </row>
        <row r="15972">
          <cell r="C15972" t="str">
            <v>王瀚霆</v>
          </cell>
          <cell r="F15972" t="str">
            <v>M240703R1</v>
          </cell>
          <cell r="J15972">
            <v>45747</v>
          </cell>
          <cell r="K15972">
            <v>1</v>
          </cell>
        </row>
        <row r="15973">
          <cell r="C15973" t="str">
            <v>王瀚霆</v>
          </cell>
          <cell r="F15973" t="str">
            <v>K241201R1</v>
          </cell>
          <cell r="J15973">
            <v>45747</v>
          </cell>
          <cell r="K15973">
            <v>1</v>
          </cell>
        </row>
        <row r="15974">
          <cell r="C15974" t="str">
            <v>王瀚霆</v>
          </cell>
          <cell r="F15974" t="str">
            <v>M240804R1</v>
          </cell>
          <cell r="J15974">
            <v>45747</v>
          </cell>
          <cell r="K15974">
            <v>1</v>
          </cell>
        </row>
        <row r="15975">
          <cell r="C15975" t="str">
            <v>王瀚霆</v>
          </cell>
          <cell r="F15975" t="str">
            <v>D241001R1</v>
          </cell>
          <cell r="J15975">
            <v>45747</v>
          </cell>
          <cell r="K15975">
            <v>2.5</v>
          </cell>
        </row>
        <row r="15976">
          <cell r="C15976" t="str">
            <v>王瀚霆</v>
          </cell>
          <cell r="J15976">
            <v>45748</v>
          </cell>
          <cell r="K15976">
            <v>3</v>
          </cell>
        </row>
        <row r="15977">
          <cell r="C15977" t="str">
            <v>王瀚霆</v>
          </cell>
          <cell r="J15977">
            <v>45748</v>
          </cell>
          <cell r="K15977">
            <v>2.5</v>
          </cell>
        </row>
        <row r="15978">
          <cell r="C15978" t="str">
            <v>王瀚霆</v>
          </cell>
          <cell r="F15978" t="str">
            <v>M240704R1</v>
          </cell>
          <cell r="J15978">
            <v>45748</v>
          </cell>
          <cell r="K15978">
            <v>4</v>
          </cell>
        </row>
        <row r="15979">
          <cell r="C15979" t="str">
            <v>王瀚霆</v>
          </cell>
          <cell r="J15979">
            <v>45749</v>
          </cell>
          <cell r="K15979">
            <v>1</v>
          </cell>
        </row>
        <row r="15980">
          <cell r="C15980" t="str">
            <v>王瀚霆</v>
          </cell>
          <cell r="F15980" t="str">
            <v>D240902R1</v>
          </cell>
          <cell r="J15980">
            <v>45749</v>
          </cell>
          <cell r="K15980">
            <v>3.5</v>
          </cell>
        </row>
        <row r="15981">
          <cell r="C15981" t="str">
            <v>王瀚霆</v>
          </cell>
          <cell r="F15981" t="str">
            <v>M240704R1</v>
          </cell>
          <cell r="J15981">
            <v>45749</v>
          </cell>
          <cell r="K15981">
            <v>5</v>
          </cell>
        </row>
        <row r="15982">
          <cell r="C15982" t="str">
            <v>王瀚霆</v>
          </cell>
          <cell r="F15982" t="str">
            <v>M240703R1</v>
          </cell>
          <cell r="J15982">
            <v>45754</v>
          </cell>
          <cell r="K15982">
            <v>1</v>
          </cell>
        </row>
        <row r="15983">
          <cell r="C15983" t="str">
            <v>王瀚霆</v>
          </cell>
          <cell r="F15983" t="str">
            <v>M250201C1</v>
          </cell>
          <cell r="J15983">
            <v>45754</v>
          </cell>
          <cell r="K15983">
            <v>0.5</v>
          </cell>
        </row>
        <row r="15984">
          <cell r="C15984" t="str">
            <v>王瀚霆</v>
          </cell>
          <cell r="F15984" t="str">
            <v>K240801R2</v>
          </cell>
          <cell r="J15984">
            <v>45754</v>
          </cell>
          <cell r="K15984">
            <v>1</v>
          </cell>
        </row>
        <row r="15985">
          <cell r="C15985" t="str">
            <v>王瀚霆</v>
          </cell>
          <cell r="F15985" t="str">
            <v>K241201R1</v>
          </cell>
          <cell r="J15985">
            <v>45754</v>
          </cell>
          <cell r="K15985">
            <v>0.5</v>
          </cell>
        </row>
        <row r="15986">
          <cell r="C15986" t="str">
            <v>王瀚霆</v>
          </cell>
          <cell r="F15986" t="str">
            <v>M240804R1</v>
          </cell>
          <cell r="J15986">
            <v>45754</v>
          </cell>
          <cell r="K15986">
            <v>0.5</v>
          </cell>
        </row>
        <row r="15987">
          <cell r="C15987" t="str">
            <v>王瀚霆</v>
          </cell>
          <cell r="F15987" t="str">
            <v>M240704R1</v>
          </cell>
          <cell r="J15987">
            <v>45754</v>
          </cell>
          <cell r="K15987">
            <v>0.5</v>
          </cell>
        </row>
        <row r="15988">
          <cell r="C15988" t="str">
            <v>王瀚霆</v>
          </cell>
          <cell r="F15988" t="str">
            <v>M240702C1</v>
          </cell>
          <cell r="J15988">
            <v>45754</v>
          </cell>
          <cell r="K15988">
            <v>1</v>
          </cell>
        </row>
        <row r="15989">
          <cell r="C15989" t="str">
            <v>王瀚霆</v>
          </cell>
          <cell r="F15989" t="str">
            <v>K231101P1</v>
          </cell>
          <cell r="J15989">
            <v>45754</v>
          </cell>
          <cell r="K15989">
            <v>3</v>
          </cell>
        </row>
        <row r="15990">
          <cell r="C15990" t="str">
            <v>王瀚霆</v>
          </cell>
          <cell r="F15990" t="str">
            <v>M240803R1</v>
          </cell>
          <cell r="J15990">
            <v>45754</v>
          </cell>
          <cell r="K15990">
            <v>1.5</v>
          </cell>
        </row>
        <row r="15991">
          <cell r="C15991" t="str">
            <v>王瀚霆</v>
          </cell>
          <cell r="J15991">
            <v>45755</v>
          </cell>
          <cell r="K15991">
            <v>3.5</v>
          </cell>
        </row>
        <row r="15992">
          <cell r="C15992" t="str">
            <v>王瀚霆</v>
          </cell>
          <cell r="F15992" t="str">
            <v>M240704R1</v>
          </cell>
          <cell r="J15992">
            <v>45755</v>
          </cell>
          <cell r="K15992">
            <v>2.5</v>
          </cell>
        </row>
        <row r="15993">
          <cell r="C15993" t="str">
            <v>王瀚霆</v>
          </cell>
          <cell r="F15993" t="str">
            <v>K231101P1</v>
          </cell>
          <cell r="J15993">
            <v>45755</v>
          </cell>
          <cell r="K15993">
            <v>3.5</v>
          </cell>
        </row>
        <row r="15994">
          <cell r="C15994" t="str">
            <v>王瀚霆</v>
          </cell>
          <cell r="J15994">
            <v>45756</v>
          </cell>
          <cell r="K15994">
            <v>1.5</v>
          </cell>
        </row>
        <row r="15995">
          <cell r="C15995" t="str">
            <v>王瀚霆</v>
          </cell>
          <cell r="F15995" t="str">
            <v>D240902R1</v>
          </cell>
          <cell r="J15995">
            <v>45756</v>
          </cell>
          <cell r="K15995">
            <v>4</v>
          </cell>
        </row>
        <row r="15996">
          <cell r="C15996" t="str">
            <v>王瀚霆</v>
          </cell>
          <cell r="F15996" t="str">
            <v>M240704R1</v>
          </cell>
          <cell r="J15996">
            <v>45756</v>
          </cell>
          <cell r="K15996">
            <v>4</v>
          </cell>
        </row>
        <row r="15997">
          <cell r="C15997" t="str">
            <v>王瀚霆</v>
          </cell>
          <cell r="J15997">
            <v>45757</v>
          </cell>
          <cell r="K15997">
            <v>1.5</v>
          </cell>
        </row>
        <row r="15998">
          <cell r="C15998" t="str">
            <v>王瀚霆</v>
          </cell>
          <cell r="F15998" t="str">
            <v>M240101R1</v>
          </cell>
          <cell r="J15998">
            <v>45757</v>
          </cell>
          <cell r="K15998">
            <v>4</v>
          </cell>
        </row>
        <row r="15999">
          <cell r="C15999" t="str">
            <v>王瀚霆</v>
          </cell>
          <cell r="F15999" t="str">
            <v>M240704R1</v>
          </cell>
          <cell r="J15999">
            <v>45757</v>
          </cell>
          <cell r="K15999">
            <v>4</v>
          </cell>
        </row>
        <row r="16000">
          <cell r="C16000" t="str">
            <v>王瀚霆</v>
          </cell>
          <cell r="J16000">
            <v>45758</v>
          </cell>
          <cell r="K16000">
            <v>3.5</v>
          </cell>
        </row>
        <row r="16001">
          <cell r="C16001" t="str">
            <v>王瀚霆</v>
          </cell>
          <cell r="F16001" t="str">
            <v>D240902R1</v>
          </cell>
          <cell r="J16001">
            <v>45758</v>
          </cell>
          <cell r="K16001">
            <v>1.5</v>
          </cell>
        </row>
        <row r="16002">
          <cell r="C16002" t="str">
            <v>王瀚霆</v>
          </cell>
          <cell r="F16002" t="str">
            <v>M240101R1</v>
          </cell>
          <cell r="J16002">
            <v>45758</v>
          </cell>
          <cell r="K16002">
            <v>3</v>
          </cell>
        </row>
        <row r="16003">
          <cell r="C16003" t="str">
            <v>王瀚霆</v>
          </cell>
          <cell r="J16003">
            <v>45761</v>
          </cell>
          <cell r="K16003">
            <v>3.5</v>
          </cell>
        </row>
        <row r="16004">
          <cell r="C16004" t="str">
            <v>王瀚霆</v>
          </cell>
          <cell r="F16004" t="str">
            <v>D240902R1</v>
          </cell>
          <cell r="J16004">
            <v>45761</v>
          </cell>
          <cell r="K16004">
            <v>2</v>
          </cell>
        </row>
        <row r="16005">
          <cell r="C16005" t="str">
            <v>王瀚霆</v>
          </cell>
          <cell r="F16005" t="str">
            <v>M240704R1</v>
          </cell>
          <cell r="J16005">
            <v>45761</v>
          </cell>
          <cell r="K16005">
            <v>3</v>
          </cell>
        </row>
        <row r="16006">
          <cell r="C16006" t="str">
            <v>王瀚霆</v>
          </cell>
          <cell r="F16006" t="str">
            <v>M240704R1</v>
          </cell>
          <cell r="J16006">
            <v>45761</v>
          </cell>
          <cell r="K16006">
            <v>1</v>
          </cell>
        </row>
        <row r="16007">
          <cell r="C16007" t="str">
            <v>王瀚霆</v>
          </cell>
          <cell r="J16007">
            <v>45762</v>
          </cell>
          <cell r="K16007">
            <v>2.5</v>
          </cell>
        </row>
        <row r="16008">
          <cell r="C16008" t="str">
            <v>王瀚霆</v>
          </cell>
          <cell r="F16008" t="str">
            <v>D240902R1</v>
          </cell>
          <cell r="J16008">
            <v>45762</v>
          </cell>
          <cell r="K16008">
            <v>1</v>
          </cell>
        </row>
        <row r="16009">
          <cell r="C16009" t="str">
            <v>王瀚霆</v>
          </cell>
          <cell r="F16009" t="str">
            <v>M240704R1</v>
          </cell>
          <cell r="J16009">
            <v>45762</v>
          </cell>
          <cell r="K16009">
            <v>3.5</v>
          </cell>
        </row>
        <row r="16010">
          <cell r="C16010" t="str">
            <v>王瀚霆</v>
          </cell>
          <cell r="F16010" t="str">
            <v>M240101P1</v>
          </cell>
          <cell r="J16010">
            <v>45762</v>
          </cell>
          <cell r="K16010">
            <v>2.5</v>
          </cell>
        </row>
        <row r="16011">
          <cell r="C16011" t="str">
            <v>王瀚霆</v>
          </cell>
          <cell r="J16011">
            <v>45763</v>
          </cell>
          <cell r="K16011">
            <v>2.5</v>
          </cell>
        </row>
        <row r="16012">
          <cell r="C16012" t="str">
            <v>王瀚霆</v>
          </cell>
          <cell r="J16012">
            <v>45763</v>
          </cell>
          <cell r="K16012">
            <v>1.5</v>
          </cell>
        </row>
        <row r="16013">
          <cell r="C16013" t="str">
            <v>王瀚霆</v>
          </cell>
          <cell r="F16013" t="str">
            <v>M240704R1</v>
          </cell>
          <cell r="J16013">
            <v>45763</v>
          </cell>
          <cell r="K16013">
            <v>1.5</v>
          </cell>
        </row>
        <row r="16014">
          <cell r="C16014" t="str">
            <v>王瀚霆</v>
          </cell>
          <cell r="F16014" t="str">
            <v>D240902R1</v>
          </cell>
          <cell r="J16014">
            <v>45763</v>
          </cell>
          <cell r="K16014">
            <v>2.5</v>
          </cell>
        </row>
        <row r="16015">
          <cell r="C16015" t="str">
            <v>王瀚霆</v>
          </cell>
          <cell r="F16015" t="str">
            <v>K201002P1</v>
          </cell>
          <cell r="J16015">
            <v>45763</v>
          </cell>
          <cell r="K16015">
            <v>1.5</v>
          </cell>
        </row>
        <row r="16016">
          <cell r="C16016" t="str">
            <v>王瀚霆</v>
          </cell>
          <cell r="J16016">
            <v>45764</v>
          </cell>
          <cell r="K16016">
            <v>1</v>
          </cell>
        </row>
        <row r="16017">
          <cell r="C16017" t="str">
            <v>王瀚霆</v>
          </cell>
          <cell r="F16017" t="str">
            <v>M240704R1</v>
          </cell>
          <cell r="J16017">
            <v>45764</v>
          </cell>
          <cell r="K16017">
            <v>2</v>
          </cell>
        </row>
        <row r="16018">
          <cell r="C16018" t="str">
            <v>王瀚霆</v>
          </cell>
          <cell r="F16018" t="str">
            <v>D240902R1</v>
          </cell>
          <cell r="J16018">
            <v>45764</v>
          </cell>
          <cell r="K16018">
            <v>4.5</v>
          </cell>
        </row>
        <row r="16019">
          <cell r="C16019" t="str">
            <v>王瀚霆</v>
          </cell>
          <cell r="F16019" t="str">
            <v>K231101P1</v>
          </cell>
          <cell r="J16019">
            <v>45764</v>
          </cell>
          <cell r="K16019">
            <v>2</v>
          </cell>
        </row>
        <row r="16020">
          <cell r="C16020" t="str">
            <v>王瀚霆</v>
          </cell>
          <cell r="F16020" t="str">
            <v>D240902R1</v>
          </cell>
          <cell r="J16020">
            <v>45765</v>
          </cell>
          <cell r="K16020">
            <v>1</v>
          </cell>
        </row>
        <row r="16021">
          <cell r="C16021" t="str">
            <v>王瀚霆</v>
          </cell>
          <cell r="F16021" t="str">
            <v>M240703R1</v>
          </cell>
          <cell r="J16021">
            <v>45765</v>
          </cell>
          <cell r="K16021">
            <v>2.5</v>
          </cell>
        </row>
        <row r="16022">
          <cell r="C16022" t="str">
            <v>王瀚霆</v>
          </cell>
          <cell r="F16022" t="str">
            <v>M240704R1</v>
          </cell>
          <cell r="J16022">
            <v>45765</v>
          </cell>
          <cell r="K16022">
            <v>2.5</v>
          </cell>
        </row>
        <row r="16023">
          <cell r="C16023" t="str">
            <v>王瀚霆</v>
          </cell>
          <cell r="F16023" t="str">
            <v>D240902R1</v>
          </cell>
          <cell r="J16023">
            <v>45765</v>
          </cell>
          <cell r="K16023">
            <v>2</v>
          </cell>
        </row>
        <row r="16024">
          <cell r="C16024" t="str">
            <v>王瀚霆</v>
          </cell>
          <cell r="J16024">
            <v>45768</v>
          </cell>
          <cell r="K16024">
            <v>3.5</v>
          </cell>
        </row>
        <row r="16025">
          <cell r="C16025" t="str">
            <v>王瀚霆</v>
          </cell>
          <cell r="J16025">
            <v>45768</v>
          </cell>
          <cell r="K16025">
            <v>1</v>
          </cell>
        </row>
        <row r="16026">
          <cell r="C16026" t="str">
            <v>王瀚霆</v>
          </cell>
          <cell r="F16026" t="str">
            <v>M240704R1</v>
          </cell>
          <cell r="J16026">
            <v>45768</v>
          </cell>
          <cell r="K16026">
            <v>1</v>
          </cell>
        </row>
        <row r="16027">
          <cell r="C16027" t="str">
            <v>王瀚霆</v>
          </cell>
          <cell r="F16027" t="str">
            <v>D240902R1</v>
          </cell>
          <cell r="J16027">
            <v>45768</v>
          </cell>
          <cell r="K16027">
            <v>1</v>
          </cell>
        </row>
        <row r="16028">
          <cell r="C16028" t="str">
            <v>王瀚霆</v>
          </cell>
          <cell r="F16028" t="str">
            <v>M240704R1</v>
          </cell>
          <cell r="J16028">
            <v>45768</v>
          </cell>
          <cell r="K16028">
            <v>1</v>
          </cell>
        </row>
        <row r="16029">
          <cell r="C16029" t="str">
            <v>王瀚霆</v>
          </cell>
          <cell r="F16029" t="str">
            <v>D240902R1</v>
          </cell>
          <cell r="J16029">
            <v>45768</v>
          </cell>
          <cell r="K16029">
            <v>2</v>
          </cell>
        </row>
        <row r="16030">
          <cell r="C16030" t="str">
            <v>王瀚霆</v>
          </cell>
          <cell r="J16030">
            <v>45769</v>
          </cell>
          <cell r="K16030">
            <v>3</v>
          </cell>
        </row>
        <row r="16031">
          <cell r="C16031" t="str">
            <v>王瀚霆</v>
          </cell>
          <cell r="F16031" t="str">
            <v>D240902R1</v>
          </cell>
          <cell r="J16031">
            <v>45769</v>
          </cell>
          <cell r="K16031">
            <v>1</v>
          </cell>
        </row>
        <row r="16032">
          <cell r="C16032" t="str">
            <v>王瀚霆</v>
          </cell>
          <cell r="F16032" t="str">
            <v>M240703R1</v>
          </cell>
          <cell r="J16032">
            <v>45769</v>
          </cell>
          <cell r="K16032">
            <v>1</v>
          </cell>
        </row>
        <row r="16033">
          <cell r="C16033" t="str">
            <v>王瀚霆</v>
          </cell>
          <cell r="F16033" t="str">
            <v>M240704R1</v>
          </cell>
          <cell r="J16033">
            <v>45769</v>
          </cell>
          <cell r="K16033">
            <v>2.5</v>
          </cell>
        </row>
        <row r="16034">
          <cell r="C16034" t="str">
            <v>王瀚霆</v>
          </cell>
          <cell r="F16034" t="str">
            <v>D240902R1</v>
          </cell>
          <cell r="J16034">
            <v>45769</v>
          </cell>
          <cell r="K16034">
            <v>2</v>
          </cell>
        </row>
        <row r="16035">
          <cell r="C16035" t="str">
            <v>王瀚霆</v>
          </cell>
          <cell r="J16035">
            <v>45770</v>
          </cell>
          <cell r="K16035">
            <v>1.5</v>
          </cell>
        </row>
        <row r="16036">
          <cell r="C16036" t="str">
            <v>王瀚霆</v>
          </cell>
          <cell r="J16036">
            <v>45770</v>
          </cell>
          <cell r="K16036">
            <v>3</v>
          </cell>
        </row>
        <row r="16037">
          <cell r="C16037" t="str">
            <v>王瀚霆</v>
          </cell>
          <cell r="F16037" t="str">
            <v>D240902R1</v>
          </cell>
          <cell r="J16037">
            <v>45770</v>
          </cell>
          <cell r="K16037">
            <v>1</v>
          </cell>
        </row>
        <row r="16038">
          <cell r="C16038" t="str">
            <v>王瀚霆</v>
          </cell>
          <cell r="F16038" t="str">
            <v>M240704R1</v>
          </cell>
          <cell r="J16038">
            <v>45770</v>
          </cell>
          <cell r="K16038">
            <v>1</v>
          </cell>
        </row>
        <row r="16039">
          <cell r="C16039" t="str">
            <v>王瀚霆</v>
          </cell>
          <cell r="F16039" t="str">
            <v>D240902R1</v>
          </cell>
          <cell r="J16039">
            <v>45770</v>
          </cell>
          <cell r="K16039">
            <v>3</v>
          </cell>
        </row>
        <row r="16040">
          <cell r="C16040" t="str">
            <v>王瀚霆</v>
          </cell>
          <cell r="J16040">
            <v>45771</v>
          </cell>
          <cell r="K16040">
            <v>1.5</v>
          </cell>
        </row>
        <row r="16041">
          <cell r="C16041" t="str">
            <v>王瀚霆</v>
          </cell>
          <cell r="J16041">
            <v>45771</v>
          </cell>
          <cell r="K16041">
            <v>1</v>
          </cell>
        </row>
        <row r="16042">
          <cell r="C16042" t="str">
            <v>王瀚霆</v>
          </cell>
          <cell r="J16042">
            <v>45771</v>
          </cell>
          <cell r="K16042">
            <v>2.5</v>
          </cell>
        </row>
        <row r="16043">
          <cell r="C16043" t="str">
            <v>王瀚霆</v>
          </cell>
          <cell r="J16043">
            <v>45771</v>
          </cell>
          <cell r="K16043">
            <v>1</v>
          </cell>
        </row>
        <row r="16044">
          <cell r="C16044" t="str">
            <v>王瀚霆</v>
          </cell>
          <cell r="F16044" t="str">
            <v>M240704R1</v>
          </cell>
          <cell r="J16044">
            <v>45771</v>
          </cell>
          <cell r="K16044">
            <v>1</v>
          </cell>
        </row>
        <row r="16045">
          <cell r="C16045" t="str">
            <v>王瀚霆</v>
          </cell>
          <cell r="F16045" t="str">
            <v>M240703R1</v>
          </cell>
          <cell r="J16045">
            <v>45771</v>
          </cell>
          <cell r="K16045">
            <v>2.5</v>
          </cell>
        </row>
        <row r="16046">
          <cell r="C16046" t="str">
            <v>王瀚霆</v>
          </cell>
          <cell r="J16046">
            <v>45772</v>
          </cell>
          <cell r="K16046">
            <v>1</v>
          </cell>
        </row>
        <row r="16047">
          <cell r="C16047" t="str">
            <v>王瀚霆</v>
          </cell>
          <cell r="J16047">
            <v>45772</v>
          </cell>
          <cell r="K16047">
            <v>2.5</v>
          </cell>
        </row>
        <row r="16048">
          <cell r="C16048" t="str">
            <v>王瀚霆</v>
          </cell>
          <cell r="F16048" t="str">
            <v>M240703R1</v>
          </cell>
          <cell r="J16048">
            <v>45772</v>
          </cell>
          <cell r="K16048">
            <v>3</v>
          </cell>
        </row>
        <row r="16049">
          <cell r="C16049" t="str">
            <v>王瀚霆</v>
          </cell>
          <cell r="F16049" t="str">
            <v>D240902R1</v>
          </cell>
          <cell r="J16049">
            <v>45772</v>
          </cell>
          <cell r="K16049">
            <v>1</v>
          </cell>
        </row>
        <row r="16050">
          <cell r="C16050" t="str">
            <v>王瀚霆</v>
          </cell>
          <cell r="F16050" t="str">
            <v>M240704R1</v>
          </cell>
          <cell r="J16050">
            <v>45772</v>
          </cell>
          <cell r="K16050">
            <v>2</v>
          </cell>
        </row>
        <row r="16051">
          <cell r="C16051" t="str">
            <v>王瀚霆</v>
          </cell>
          <cell r="F16051" t="str">
            <v>K240801R2</v>
          </cell>
          <cell r="J16051">
            <v>45775</v>
          </cell>
          <cell r="K16051">
            <v>1</v>
          </cell>
        </row>
        <row r="16052">
          <cell r="C16052" t="str">
            <v>王瀚霆</v>
          </cell>
          <cell r="F16052" t="str">
            <v>K231101P1</v>
          </cell>
          <cell r="J16052">
            <v>45775</v>
          </cell>
          <cell r="K16052">
            <v>1.5</v>
          </cell>
        </row>
        <row r="16053">
          <cell r="C16053" t="str">
            <v>王瀚霆</v>
          </cell>
          <cell r="J16053">
            <v>45775</v>
          </cell>
          <cell r="K16053">
            <v>1.5</v>
          </cell>
        </row>
        <row r="16054">
          <cell r="C16054" t="str">
            <v>王瀚霆</v>
          </cell>
          <cell r="J16054">
            <v>45775</v>
          </cell>
          <cell r="K16054">
            <v>4.5</v>
          </cell>
        </row>
        <row r="16055">
          <cell r="C16055" t="str">
            <v>王瀚霆</v>
          </cell>
          <cell r="F16055" t="str">
            <v>D240902R1</v>
          </cell>
          <cell r="J16055">
            <v>45775</v>
          </cell>
          <cell r="K16055">
            <v>1</v>
          </cell>
        </row>
        <row r="16056">
          <cell r="C16056" t="str">
            <v>王瀚霆</v>
          </cell>
          <cell r="F16056" t="str">
            <v>M240704R1</v>
          </cell>
          <cell r="J16056">
            <v>45775</v>
          </cell>
          <cell r="K16056">
            <v>0.5</v>
          </cell>
        </row>
        <row r="16057">
          <cell r="C16057" t="str">
            <v>王瀚霆</v>
          </cell>
          <cell r="J16057">
            <v>45776</v>
          </cell>
          <cell r="K16057">
            <v>6.5</v>
          </cell>
        </row>
        <row r="16058">
          <cell r="C16058" t="str">
            <v>王瀚霆</v>
          </cell>
          <cell r="F16058" t="str">
            <v>D240902R1</v>
          </cell>
          <cell r="J16058">
            <v>45776</v>
          </cell>
          <cell r="K16058">
            <v>3</v>
          </cell>
        </row>
        <row r="16059">
          <cell r="C16059" t="str">
            <v>王瀚霆</v>
          </cell>
          <cell r="F16059" t="str">
            <v>D240902R1</v>
          </cell>
          <cell r="J16059">
            <v>45777</v>
          </cell>
          <cell r="K16059">
            <v>4</v>
          </cell>
        </row>
        <row r="16060">
          <cell r="C16060" t="str">
            <v>王瀚霆</v>
          </cell>
          <cell r="F16060" t="str">
            <v>M240704R1</v>
          </cell>
          <cell r="J16060">
            <v>45777</v>
          </cell>
          <cell r="K16060">
            <v>3</v>
          </cell>
        </row>
        <row r="16061">
          <cell r="C16061" t="str">
            <v>王瀚霆</v>
          </cell>
          <cell r="F16061" t="str">
            <v>M250201C1</v>
          </cell>
          <cell r="J16061">
            <v>45777</v>
          </cell>
          <cell r="K16061">
            <v>2.5</v>
          </cell>
        </row>
        <row r="16062">
          <cell r="C16062" t="str">
            <v>王瀚霆</v>
          </cell>
          <cell r="J16062">
            <v>45779</v>
          </cell>
          <cell r="K16062">
            <v>2</v>
          </cell>
        </row>
        <row r="16063">
          <cell r="C16063" t="str">
            <v>王瀚霆</v>
          </cell>
          <cell r="F16063" t="str">
            <v>D240902R1</v>
          </cell>
          <cell r="J16063">
            <v>45779</v>
          </cell>
          <cell r="K16063">
            <v>1.5</v>
          </cell>
        </row>
        <row r="16064">
          <cell r="C16064" t="str">
            <v>王瀚霆</v>
          </cell>
          <cell r="F16064" t="str">
            <v>M250201C1</v>
          </cell>
          <cell r="J16064">
            <v>45779</v>
          </cell>
          <cell r="K16064">
            <v>6</v>
          </cell>
        </row>
        <row r="16065">
          <cell r="C16065" t="str">
            <v>王瀚霆</v>
          </cell>
          <cell r="F16065" t="str">
            <v>M250201C1</v>
          </cell>
          <cell r="J16065">
            <v>45782</v>
          </cell>
          <cell r="K16065">
            <v>1</v>
          </cell>
        </row>
        <row r="16066">
          <cell r="C16066" t="str">
            <v>王瀚霆</v>
          </cell>
          <cell r="F16066" t="str">
            <v>D240902R1</v>
          </cell>
          <cell r="J16066">
            <v>45782</v>
          </cell>
          <cell r="K16066">
            <v>0.5</v>
          </cell>
        </row>
        <row r="16067">
          <cell r="C16067" t="str">
            <v>王瀚霆</v>
          </cell>
          <cell r="F16067" t="str">
            <v>K231101P1</v>
          </cell>
          <cell r="J16067">
            <v>45782</v>
          </cell>
          <cell r="K16067">
            <v>1</v>
          </cell>
        </row>
        <row r="16068">
          <cell r="C16068" t="str">
            <v>王瀚霆</v>
          </cell>
          <cell r="F16068" t="str">
            <v>K241201R1</v>
          </cell>
          <cell r="J16068">
            <v>45782</v>
          </cell>
          <cell r="K16068">
            <v>0.5</v>
          </cell>
        </row>
        <row r="16069">
          <cell r="C16069" t="str">
            <v>王瀚霆</v>
          </cell>
          <cell r="F16069" t="str">
            <v>D240902R1</v>
          </cell>
          <cell r="J16069">
            <v>45782</v>
          </cell>
          <cell r="K16069">
            <v>1</v>
          </cell>
        </row>
        <row r="16070">
          <cell r="C16070" t="str">
            <v>王瀚霆</v>
          </cell>
          <cell r="F16070" t="str">
            <v>M250201C1</v>
          </cell>
          <cell r="J16070">
            <v>45782</v>
          </cell>
          <cell r="K16070">
            <v>5</v>
          </cell>
        </row>
        <row r="16071">
          <cell r="C16071" t="str">
            <v>王瀚霆</v>
          </cell>
          <cell r="F16071" t="str">
            <v>D250501R1</v>
          </cell>
          <cell r="J16071">
            <v>45782</v>
          </cell>
          <cell r="K16071">
            <v>0.5</v>
          </cell>
        </row>
        <row r="16072">
          <cell r="C16072" t="str">
            <v>王瀚霆</v>
          </cell>
          <cell r="J16072">
            <v>45783</v>
          </cell>
          <cell r="K16072">
            <v>1</v>
          </cell>
        </row>
        <row r="16073">
          <cell r="C16073" t="str">
            <v>王瀚霆</v>
          </cell>
          <cell r="F16073" t="str">
            <v>M240704R1</v>
          </cell>
          <cell r="J16073">
            <v>45783</v>
          </cell>
          <cell r="K16073">
            <v>1</v>
          </cell>
        </row>
        <row r="16074">
          <cell r="C16074" t="str">
            <v>王瀚霆</v>
          </cell>
          <cell r="F16074" t="str">
            <v>M250301C1</v>
          </cell>
          <cell r="J16074">
            <v>45783</v>
          </cell>
          <cell r="K16074">
            <v>1</v>
          </cell>
        </row>
        <row r="16075">
          <cell r="C16075" t="str">
            <v>王瀚霆</v>
          </cell>
          <cell r="F16075" t="str">
            <v>K241201R1</v>
          </cell>
          <cell r="J16075">
            <v>45783</v>
          </cell>
          <cell r="K16075">
            <v>1</v>
          </cell>
        </row>
        <row r="16076">
          <cell r="C16076" t="str">
            <v>王瀚霆</v>
          </cell>
          <cell r="F16076" t="str">
            <v>M250201C1</v>
          </cell>
          <cell r="J16076">
            <v>45783</v>
          </cell>
          <cell r="K16076">
            <v>5.5</v>
          </cell>
        </row>
        <row r="16077">
          <cell r="C16077" t="str">
            <v>王瀚霆</v>
          </cell>
          <cell r="J16077">
            <v>45784</v>
          </cell>
          <cell r="K16077">
            <v>1</v>
          </cell>
        </row>
        <row r="16078">
          <cell r="C16078" t="str">
            <v>王瀚霆</v>
          </cell>
          <cell r="J16078">
            <v>45784</v>
          </cell>
          <cell r="K16078">
            <v>1.5</v>
          </cell>
        </row>
        <row r="16079">
          <cell r="C16079" t="str">
            <v>王瀚霆</v>
          </cell>
          <cell r="F16079" t="str">
            <v>D240902R1</v>
          </cell>
          <cell r="J16079">
            <v>45784</v>
          </cell>
          <cell r="K16079">
            <v>1</v>
          </cell>
        </row>
        <row r="16080">
          <cell r="C16080" t="str">
            <v>王瀚霆</v>
          </cell>
          <cell r="F16080" t="str">
            <v>M240704R1</v>
          </cell>
          <cell r="J16080">
            <v>45784</v>
          </cell>
          <cell r="K16080">
            <v>1</v>
          </cell>
        </row>
        <row r="16081">
          <cell r="C16081" t="str">
            <v>王瀚霆</v>
          </cell>
          <cell r="F16081" t="str">
            <v>D240902R1</v>
          </cell>
          <cell r="J16081">
            <v>45784</v>
          </cell>
          <cell r="K16081">
            <v>1</v>
          </cell>
        </row>
        <row r="16082">
          <cell r="C16082" t="str">
            <v>王瀚霆</v>
          </cell>
          <cell r="F16082" t="str">
            <v>M250201C1</v>
          </cell>
          <cell r="J16082">
            <v>45784</v>
          </cell>
          <cell r="K16082">
            <v>4</v>
          </cell>
        </row>
        <row r="16083">
          <cell r="C16083" t="str">
            <v>王瀚霆</v>
          </cell>
          <cell r="J16083">
            <v>45785</v>
          </cell>
          <cell r="K16083">
            <v>1</v>
          </cell>
        </row>
        <row r="16084">
          <cell r="C16084" t="str">
            <v>王瀚霆</v>
          </cell>
          <cell r="J16084">
            <v>45785</v>
          </cell>
          <cell r="K16084">
            <v>1.5</v>
          </cell>
        </row>
        <row r="16085">
          <cell r="C16085" t="str">
            <v>王瀚霆</v>
          </cell>
          <cell r="F16085" t="str">
            <v>M240704R1</v>
          </cell>
          <cell r="J16085">
            <v>45785</v>
          </cell>
          <cell r="K16085">
            <v>2</v>
          </cell>
        </row>
        <row r="16086">
          <cell r="C16086" t="str">
            <v>王瀚霆</v>
          </cell>
          <cell r="F16086" t="str">
            <v>M240704R1</v>
          </cell>
          <cell r="J16086">
            <v>45785</v>
          </cell>
          <cell r="K16086">
            <v>2</v>
          </cell>
        </row>
        <row r="16087">
          <cell r="C16087" t="str">
            <v>王瀚霆</v>
          </cell>
          <cell r="F16087" t="str">
            <v>M220301C1</v>
          </cell>
          <cell r="J16087">
            <v>45785</v>
          </cell>
          <cell r="K16087">
            <v>2</v>
          </cell>
        </row>
        <row r="16088">
          <cell r="C16088" t="str">
            <v>王瀚霆</v>
          </cell>
          <cell r="F16088" t="str">
            <v>K240801R2</v>
          </cell>
          <cell r="J16088">
            <v>45785</v>
          </cell>
          <cell r="K16088">
            <v>1</v>
          </cell>
        </row>
        <row r="16089">
          <cell r="C16089" t="str">
            <v>王瀚霆</v>
          </cell>
          <cell r="J16089">
            <v>45786</v>
          </cell>
          <cell r="K16089">
            <v>3.5</v>
          </cell>
        </row>
        <row r="16090">
          <cell r="C16090" t="str">
            <v>王瀚霆</v>
          </cell>
          <cell r="F16090" t="str">
            <v>D240902R1</v>
          </cell>
          <cell r="J16090">
            <v>45786</v>
          </cell>
          <cell r="K16090">
            <v>1</v>
          </cell>
        </row>
        <row r="16091">
          <cell r="C16091" t="str">
            <v>王瀚霆</v>
          </cell>
          <cell r="F16091" t="str">
            <v>M250201C1</v>
          </cell>
          <cell r="J16091">
            <v>45786</v>
          </cell>
          <cell r="K16091">
            <v>1</v>
          </cell>
        </row>
        <row r="16092">
          <cell r="C16092" t="str">
            <v>王瀚霆</v>
          </cell>
          <cell r="F16092" t="str">
            <v>D240902R1</v>
          </cell>
          <cell r="J16092">
            <v>45786</v>
          </cell>
          <cell r="K16092">
            <v>1</v>
          </cell>
        </row>
        <row r="16093">
          <cell r="C16093" t="str">
            <v>王瀚霆</v>
          </cell>
          <cell r="F16093" t="str">
            <v>M240704R1</v>
          </cell>
          <cell r="J16093">
            <v>45786</v>
          </cell>
          <cell r="K16093">
            <v>2</v>
          </cell>
        </row>
        <row r="16094">
          <cell r="C16094" t="str">
            <v>王瀚霆</v>
          </cell>
          <cell r="J16094">
            <v>45789</v>
          </cell>
          <cell r="K16094">
            <v>1</v>
          </cell>
        </row>
        <row r="16095">
          <cell r="C16095" t="str">
            <v>王瀚霆</v>
          </cell>
          <cell r="J16095">
            <v>45789</v>
          </cell>
          <cell r="K16095">
            <v>1</v>
          </cell>
        </row>
        <row r="16096">
          <cell r="C16096" t="str">
            <v>王瀚霆</v>
          </cell>
          <cell r="J16096">
            <v>45789</v>
          </cell>
          <cell r="K16096">
            <v>1</v>
          </cell>
        </row>
        <row r="16097">
          <cell r="C16097" t="str">
            <v>王瀚霆</v>
          </cell>
          <cell r="F16097" t="str">
            <v>E250101I1</v>
          </cell>
          <cell r="J16097">
            <v>45789</v>
          </cell>
          <cell r="K16097">
            <v>1</v>
          </cell>
        </row>
        <row r="16098">
          <cell r="C16098" t="str">
            <v>王瀚霆</v>
          </cell>
          <cell r="F16098" t="str">
            <v>D240902R1</v>
          </cell>
          <cell r="J16098">
            <v>45789</v>
          </cell>
          <cell r="K16098">
            <v>3</v>
          </cell>
        </row>
        <row r="16099">
          <cell r="C16099" t="str">
            <v>王瀚霆</v>
          </cell>
          <cell r="F16099" t="str">
            <v>K231101P1</v>
          </cell>
          <cell r="J16099">
            <v>45789</v>
          </cell>
          <cell r="K16099">
            <v>1.5</v>
          </cell>
        </row>
        <row r="16100">
          <cell r="C16100" t="str">
            <v>王瀚霆</v>
          </cell>
          <cell r="F16100" t="str">
            <v>D240902R1</v>
          </cell>
          <cell r="J16100">
            <v>45789</v>
          </cell>
          <cell r="K16100">
            <v>1</v>
          </cell>
        </row>
        <row r="16101">
          <cell r="C16101" t="str">
            <v>王瀚霆</v>
          </cell>
          <cell r="F16101" t="str">
            <v>D250501R1</v>
          </cell>
          <cell r="J16101">
            <v>45790</v>
          </cell>
          <cell r="K16101">
            <v>2</v>
          </cell>
        </row>
        <row r="16102">
          <cell r="C16102" t="str">
            <v>王瀚霆</v>
          </cell>
          <cell r="F16102" t="str">
            <v>D240902R1</v>
          </cell>
          <cell r="J16102">
            <v>45790</v>
          </cell>
          <cell r="K16102">
            <v>1</v>
          </cell>
        </row>
        <row r="16103">
          <cell r="C16103" t="str">
            <v>王瀚霆</v>
          </cell>
          <cell r="F16103" t="str">
            <v>D250501R1</v>
          </cell>
          <cell r="J16103">
            <v>45790</v>
          </cell>
          <cell r="K16103">
            <v>6.5</v>
          </cell>
        </row>
        <row r="16104">
          <cell r="C16104" t="str">
            <v>王瀚霆</v>
          </cell>
          <cell r="J16104">
            <v>45791</v>
          </cell>
          <cell r="K16104">
            <v>2.5</v>
          </cell>
        </row>
        <row r="16105">
          <cell r="C16105" t="str">
            <v>王瀚霆</v>
          </cell>
          <cell r="J16105">
            <v>45791</v>
          </cell>
          <cell r="K16105">
            <v>1</v>
          </cell>
        </row>
        <row r="16106">
          <cell r="C16106" t="str">
            <v>王瀚霆</v>
          </cell>
          <cell r="F16106" t="str">
            <v>M240703R1</v>
          </cell>
          <cell r="J16106">
            <v>45791</v>
          </cell>
          <cell r="K16106">
            <v>1</v>
          </cell>
        </row>
        <row r="16107">
          <cell r="C16107" t="str">
            <v>王瀚霆</v>
          </cell>
          <cell r="F16107" t="str">
            <v>D240902R1</v>
          </cell>
          <cell r="J16107">
            <v>45791</v>
          </cell>
          <cell r="K16107">
            <v>1.5</v>
          </cell>
        </row>
        <row r="16108">
          <cell r="C16108" t="str">
            <v>王瀚霆</v>
          </cell>
          <cell r="F16108" t="str">
            <v>D250501R1</v>
          </cell>
          <cell r="J16108">
            <v>45791</v>
          </cell>
          <cell r="K16108">
            <v>2.5</v>
          </cell>
        </row>
        <row r="16109">
          <cell r="C16109" t="str">
            <v>王瀚霆</v>
          </cell>
          <cell r="F16109" t="str">
            <v>M250301R1</v>
          </cell>
          <cell r="J16109">
            <v>45791</v>
          </cell>
          <cell r="K16109">
            <v>1</v>
          </cell>
        </row>
        <row r="16110">
          <cell r="C16110" t="str">
            <v>王瀚霆</v>
          </cell>
          <cell r="J16110">
            <v>45792</v>
          </cell>
          <cell r="K16110">
            <v>1</v>
          </cell>
        </row>
        <row r="16111">
          <cell r="C16111" t="str">
            <v>王瀚霆</v>
          </cell>
          <cell r="J16111">
            <v>45792</v>
          </cell>
          <cell r="K16111">
            <v>3.5</v>
          </cell>
        </row>
        <row r="16112">
          <cell r="C16112" t="str">
            <v>王瀚霆</v>
          </cell>
          <cell r="J16112">
            <v>45792</v>
          </cell>
          <cell r="K16112">
            <v>1</v>
          </cell>
        </row>
        <row r="16113">
          <cell r="C16113" t="str">
            <v>王瀚霆</v>
          </cell>
          <cell r="J16113">
            <v>45792</v>
          </cell>
          <cell r="K16113">
            <v>2</v>
          </cell>
        </row>
        <row r="16114">
          <cell r="C16114" t="str">
            <v>王瀚霆</v>
          </cell>
          <cell r="F16114" t="str">
            <v>D240902R1</v>
          </cell>
          <cell r="J16114">
            <v>45792</v>
          </cell>
          <cell r="K16114">
            <v>1</v>
          </cell>
        </row>
        <row r="16115">
          <cell r="C16115" t="str">
            <v>王瀚霆</v>
          </cell>
          <cell r="F16115" t="str">
            <v>D240902R1</v>
          </cell>
          <cell r="J16115">
            <v>45792</v>
          </cell>
          <cell r="K16115">
            <v>0.5</v>
          </cell>
        </row>
        <row r="16116">
          <cell r="C16116" t="str">
            <v>王瀚霆</v>
          </cell>
          <cell r="F16116" t="str">
            <v>M250301C1</v>
          </cell>
          <cell r="J16116">
            <v>45792</v>
          </cell>
          <cell r="K16116">
            <v>0.5</v>
          </cell>
        </row>
        <row r="16117">
          <cell r="C16117" t="str">
            <v>王瀚霆</v>
          </cell>
          <cell r="J16117">
            <v>45793</v>
          </cell>
          <cell r="K16117">
            <v>8.5</v>
          </cell>
        </row>
        <row r="16118">
          <cell r="C16118" t="str">
            <v>王瀚霆</v>
          </cell>
          <cell r="F16118" t="str">
            <v>D240902R1</v>
          </cell>
          <cell r="J16118">
            <v>45793</v>
          </cell>
          <cell r="K16118">
            <v>1</v>
          </cell>
        </row>
        <row r="16119">
          <cell r="C16119" t="str">
            <v>王瀚霆</v>
          </cell>
          <cell r="J16119">
            <v>45796</v>
          </cell>
          <cell r="K16119">
            <v>1.5</v>
          </cell>
        </row>
        <row r="16120">
          <cell r="C16120" t="str">
            <v>王瀚霆</v>
          </cell>
          <cell r="J16120">
            <v>45796</v>
          </cell>
          <cell r="K16120">
            <v>5</v>
          </cell>
        </row>
        <row r="16121">
          <cell r="C16121" t="str">
            <v>王瀚霆</v>
          </cell>
          <cell r="F16121" t="str">
            <v>K231101P1</v>
          </cell>
          <cell r="J16121">
            <v>45796</v>
          </cell>
          <cell r="K16121">
            <v>1.5</v>
          </cell>
        </row>
        <row r="16122">
          <cell r="C16122" t="str">
            <v>王瀚霆</v>
          </cell>
          <cell r="F16122" t="str">
            <v>M250201C1</v>
          </cell>
          <cell r="J16122">
            <v>45796</v>
          </cell>
          <cell r="K16122">
            <v>1.5</v>
          </cell>
        </row>
        <row r="16123">
          <cell r="C16123" t="str">
            <v>王瀚霆</v>
          </cell>
          <cell r="J16123">
            <v>45797</v>
          </cell>
          <cell r="K16123">
            <v>2.5</v>
          </cell>
        </row>
        <row r="16124">
          <cell r="C16124" t="str">
            <v>王瀚霆</v>
          </cell>
          <cell r="F16124" t="str">
            <v>K231101P1</v>
          </cell>
          <cell r="J16124">
            <v>45797</v>
          </cell>
          <cell r="K16124">
            <v>1</v>
          </cell>
        </row>
        <row r="16125">
          <cell r="C16125" t="str">
            <v>王瀚霆</v>
          </cell>
          <cell r="F16125" t="str">
            <v>D250501R1</v>
          </cell>
          <cell r="J16125">
            <v>45797</v>
          </cell>
          <cell r="K16125">
            <v>1</v>
          </cell>
        </row>
        <row r="16126">
          <cell r="C16126" t="str">
            <v>王瀚霆</v>
          </cell>
          <cell r="F16126" t="str">
            <v>D250501R1</v>
          </cell>
          <cell r="J16126">
            <v>45797</v>
          </cell>
          <cell r="K16126">
            <v>5</v>
          </cell>
        </row>
        <row r="16127">
          <cell r="C16127" t="str">
            <v>王瀚霆</v>
          </cell>
          <cell r="J16127">
            <v>45798</v>
          </cell>
          <cell r="K16127">
            <v>1</v>
          </cell>
        </row>
        <row r="16128">
          <cell r="C16128" t="str">
            <v>王瀚霆</v>
          </cell>
          <cell r="F16128" t="str">
            <v>M250301R1</v>
          </cell>
          <cell r="J16128">
            <v>45798</v>
          </cell>
          <cell r="K16128">
            <v>1</v>
          </cell>
        </row>
        <row r="16129">
          <cell r="C16129" t="str">
            <v>王瀚霆</v>
          </cell>
          <cell r="F16129" t="str">
            <v>D240902R1</v>
          </cell>
          <cell r="J16129">
            <v>45798</v>
          </cell>
          <cell r="K16129">
            <v>2.5</v>
          </cell>
        </row>
        <row r="16130">
          <cell r="C16130" t="str">
            <v>王瀚霆</v>
          </cell>
          <cell r="F16130" t="str">
            <v>K231101P1</v>
          </cell>
          <cell r="J16130">
            <v>45798</v>
          </cell>
          <cell r="K16130">
            <v>5</v>
          </cell>
        </row>
        <row r="16131">
          <cell r="C16131" t="str">
            <v>王瀚霆</v>
          </cell>
          <cell r="F16131" t="str">
            <v>M240704R1</v>
          </cell>
          <cell r="J16131">
            <v>45799</v>
          </cell>
          <cell r="K16131">
            <v>1</v>
          </cell>
        </row>
        <row r="16132">
          <cell r="C16132" t="str">
            <v>王瀚霆</v>
          </cell>
          <cell r="F16132" t="str">
            <v>D250501R1</v>
          </cell>
          <cell r="J16132">
            <v>45799</v>
          </cell>
          <cell r="K16132">
            <v>1</v>
          </cell>
        </row>
        <row r="16133">
          <cell r="C16133" t="str">
            <v>王瀚霆</v>
          </cell>
          <cell r="F16133" t="str">
            <v>M240704R1</v>
          </cell>
          <cell r="J16133">
            <v>45799</v>
          </cell>
          <cell r="K16133">
            <v>4</v>
          </cell>
        </row>
        <row r="16134">
          <cell r="C16134" t="str">
            <v>王瀚霆</v>
          </cell>
          <cell r="F16134" t="str">
            <v>D240902R1</v>
          </cell>
          <cell r="J16134">
            <v>45799</v>
          </cell>
          <cell r="K16134">
            <v>2.5</v>
          </cell>
        </row>
        <row r="16135">
          <cell r="C16135" t="str">
            <v>王瀚霆</v>
          </cell>
          <cell r="F16135" t="str">
            <v>D240902R1</v>
          </cell>
          <cell r="J16135">
            <v>45800</v>
          </cell>
          <cell r="K16135">
            <v>1.5</v>
          </cell>
        </row>
        <row r="16136">
          <cell r="C16136" t="str">
            <v>王瀚霆</v>
          </cell>
          <cell r="F16136" t="str">
            <v>M240704R1</v>
          </cell>
          <cell r="J16136">
            <v>45800</v>
          </cell>
          <cell r="K16136">
            <v>5</v>
          </cell>
        </row>
        <row r="16137">
          <cell r="C16137" t="str">
            <v>王瀚霆</v>
          </cell>
          <cell r="F16137" t="str">
            <v>M240704R1</v>
          </cell>
          <cell r="J16137">
            <v>45800</v>
          </cell>
          <cell r="K16137">
            <v>2</v>
          </cell>
        </row>
        <row r="16138">
          <cell r="C16138" t="str">
            <v>王瀚霆</v>
          </cell>
          <cell r="F16138" t="str">
            <v>M240704R1</v>
          </cell>
          <cell r="J16138">
            <v>45800</v>
          </cell>
          <cell r="K16138">
            <v>1</v>
          </cell>
        </row>
        <row r="16139">
          <cell r="C16139" t="str">
            <v>王瀚霆</v>
          </cell>
          <cell r="F16139" t="str">
            <v>M240704R1</v>
          </cell>
          <cell r="J16139">
            <v>45803</v>
          </cell>
          <cell r="K16139">
            <v>1</v>
          </cell>
        </row>
        <row r="16140">
          <cell r="C16140" t="str">
            <v>王瀚霆</v>
          </cell>
          <cell r="F16140" t="str">
            <v>M240704R1</v>
          </cell>
          <cell r="J16140">
            <v>45803</v>
          </cell>
          <cell r="K16140">
            <v>1.5</v>
          </cell>
        </row>
        <row r="16141">
          <cell r="C16141" t="str">
            <v>王瀚霆</v>
          </cell>
          <cell r="F16141" t="str">
            <v>M240704R1</v>
          </cell>
          <cell r="J16141">
            <v>45803</v>
          </cell>
          <cell r="K16141">
            <v>5</v>
          </cell>
        </row>
        <row r="16142">
          <cell r="C16142" t="str">
            <v>王瀚霆</v>
          </cell>
          <cell r="F16142" t="str">
            <v>D240902R1</v>
          </cell>
          <cell r="J16142">
            <v>45803</v>
          </cell>
          <cell r="K16142">
            <v>1</v>
          </cell>
        </row>
        <row r="16143">
          <cell r="C16143" t="str">
            <v>王瀚霆</v>
          </cell>
          <cell r="F16143" t="str">
            <v>K231101P1</v>
          </cell>
          <cell r="J16143">
            <v>45803</v>
          </cell>
          <cell r="K16143">
            <v>1</v>
          </cell>
        </row>
        <row r="16144">
          <cell r="C16144" t="str">
            <v>王瀚霆</v>
          </cell>
          <cell r="J16144">
            <v>45804</v>
          </cell>
          <cell r="K16144">
            <v>1</v>
          </cell>
        </row>
        <row r="16145">
          <cell r="C16145" t="str">
            <v>王瀚霆</v>
          </cell>
          <cell r="J16145">
            <v>45804</v>
          </cell>
          <cell r="K16145">
            <v>4.5</v>
          </cell>
        </row>
        <row r="16146">
          <cell r="C16146" t="str">
            <v>王瀚霆</v>
          </cell>
          <cell r="F16146" t="str">
            <v>M240101P1</v>
          </cell>
          <cell r="J16146">
            <v>45804</v>
          </cell>
          <cell r="K16146">
            <v>2.5</v>
          </cell>
        </row>
        <row r="16147">
          <cell r="C16147" t="str">
            <v>王瀚霆</v>
          </cell>
          <cell r="F16147" t="str">
            <v>D240902R1</v>
          </cell>
          <cell r="J16147">
            <v>45805</v>
          </cell>
          <cell r="K16147">
            <v>0.5</v>
          </cell>
        </row>
        <row r="16148">
          <cell r="C16148" t="str">
            <v>王瀚霆</v>
          </cell>
          <cell r="F16148" t="str">
            <v>M240704R1</v>
          </cell>
          <cell r="J16148">
            <v>45805</v>
          </cell>
          <cell r="K16148">
            <v>4</v>
          </cell>
        </row>
        <row r="16149">
          <cell r="C16149" t="str">
            <v>王瀚霆</v>
          </cell>
          <cell r="F16149" t="str">
            <v>M240704R1</v>
          </cell>
          <cell r="J16149">
            <v>45805</v>
          </cell>
          <cell r="K16149">
            <v>2</v>
          </cell>
        </row>
        <row r="16150">
          <cell r="C16150" t="str">
            <v>王瀚霆</v>
          </cell>
          <cell r="F16150" t="str">
            <v>K240801R2</v>
          </cell>
          <cell r="J16150">
            <v>45805</v>
          </cell>
          <cell r="K16150">
            <v>1</v>
          </cell>
        </row>
        <row r="16151">
          <cell r="C16151" t="str">
            <v>王瀚霆</v>
          </cell>
          <cell r="F16151" t="str">
            <v>D240902R1</v>
          </cell>
          <cell r="J16151">
            <v>45805</v>
          </cell>
          <cell r="K16151">
            <v>1.5</v>
          </cell>
        </row>
        <row r="16152">
          <cell r="C16152" t="str">
            <v>王瀚霆</v>
          </cell>
          <cell r="F16152" t="str">
            <v>K231101P1</v>
          </cell>
          <cell r="J16152">
            <v>45805</v>
          </cell>
          <cell r="K16152">
            <v>0.5</v>
          </cell>
        </row>
        <row r="16153">
          <cell r="C16153" t="str">
            <v>王瀚霆</v>
          </cell>
          <cell r="J16153">
            <v>45806</v>
          </cell>
          <cell r="K16153">
            <v>1.5</v>
          </cell>
        </row>
        <row r="16154">
          <cell r="C16154" t="str">
            <v>王瀚霆</v>
          </cell>
          <cell r="J16154">
            <v>45806</v>
          </cell>
          <cell r="K16154">
            <v>0.5</v>
          </cell>
        </row>
        <row r="16155">
          <cell r="C16155" t="str">
            <v>王瀚霆</v>
          </cell>
          <cell r="J16155">
            <v>45806</v>
          </cell>
          <cell r="K16155">
            <v>1</v>
          </cell>
        </row>
        <row r="16156">
          <cell r="C16156" t="str">
            <v>王瀚霆</v>
          </cell>
          <cell r="F16156" t="str">
            <v>D240902R1</v>
          </cell>
          <cell r="J16156">
            <v>45806</v>
          </cell>
          <cell r="K16156">
            <v>6.5</v>
          </cell>
        </row>
        <row r="16157">
          <cell r="C16157" t="str">
            <v>王瀚霆</v>
          </cell>
          <cell r="J16157">
            <v>45810</v>
          </cell>
          <cell r="K16157">
            <v>1</v>
          </cell>
        </row>
        <row r="16158">
          <cell r="C16158" t="str">
            <v>王瀚霆</v>
          </cell>
          <cell r="F16158" t="str">
            <v>M240704R1</v>
          </cell>
          <cell r="J16158">
            <v>45810</v>
          </cell>
          <cell r="K16158">
            <v>1</v>
          </cell>
        </row>
        <row r="16159">
          <cell r="C16159" t="str">
            <v>王瀚霆</v>
          </cell>
          <cell r="F16159" t="str">
            <v>D240902R1</v>
          </cell>
          <cell r="J16159">
            <v>45810</v>
          </cell>
          <cell r="K16159">
            <v>3.5</v>
          </cell>
        </row>
        <row r="16160">
          <cell r="C16160" t="str">
            <v>王瀚霆</v>
          </cell>
          <cell r="F16160" t="str">
            <v>M240704R1</v>
          </cell>
          <cell r="J16160">
            <v>45810</v>
          </cell>
          <cell r="K16160">
            <v>2</v>
          </cell>
        </row>
        <row r="16161">
          <cell r="C16161" t="str">
            <v>王瀚霆</v>
          </cell>
          <cell r="F16161" t="str">
            <v>M240704R1</v>
          </cell>
          <cell r="J16161">
            <v>45810</v>
          </cell>
          <cell r="K16161">
            <v>2</v>
          </cell>
        </row>
        <row r="16162">
          <cell r="C16162" t="str">
            <v>王瀚霆</v>
          </cell>
          <cell r="F16162" t="str">
            <v>D240902R1</v>
          </cell>
          <cell r="J16162">
            <v>45811</v>
          </cell>
          <cell r="K16162">
            <v>3.5</v>
          </cell>
        </row>
        <row r="16163">
          <cell r="C16163" t="str">
            <v>王瀚霆</v>
          </cell>
          <cell r="F16163" t="str">
            <v>M240704R1</v>
          </cell>
          <cell r="J16163">
            <v>45811</v>
          </cell>
          <cell r="K16163">
            <v>3</v>
          </cell>
        </row>
        <row r="16164">
          <cell r="C16164" t="str">
            <v>王瀚霆</v>
          </cell>
          <cell r="F16164" t="str">
            <v>M240704R1</v>
          </cell>
          <cell r="J16164">
            <v>45811</v>
          </cell>
          <cell r="K16164">
            <v>3</v>
          </cell>
        </row>
        <row r="16165">
          <cell r="C16165" t="str">
            <v>王瀚霆</v>
          </cell>
          <cell r="F16165" t="str">
            <v>D240902R1</v>
          </cell>
          <cell r="J16165">
            <v>45812</v>
          </cell>
          <cell r="K16165">
            <v>1</v>
          </cell>
        </row>
        <row r="16166">
          <cell r="C16166" t="str">
            <v>王瀚霆</v>
          </cell>
          <cell r="F16166" t="str">
            <v>M240704R1</v>
          </cell>
          <cell r="J16166">
            <v>45812</v>
          </cell>
          <cell r="K16166">
            <v>1.5</v>
          </cell>
        </row>
        <row r="16167">
          <cell r="C16167" t="str">
            <v>王瀚霆</v>
          </cell>
          <cell r="F16167" t="str">
            <v>D240902R1</v>
          </cell>
          <cell r="J16167">
            <v>45812</v>
          </cell>
          <cell r="K16167">
            <v>1.5</v>
          </cell>
        </row>
        <row r="16168">
          <cell r="C16168" t="str">
            <v>王瀚霆</v>
          </cell>
          <cell r="F16168" t="str">
            <v>M240704R1</v>
          </cell>
          <cell r="J16168">
            <v>45812</v>
          </cell>
          <cell r="K16168">
            <v>3.5</v>
          </cell>
        </row>
        <row r="16169">
          <cell r="C16169" t="str">
            <v>王瀚霆</v>
          </cell>
          <cell r="F16169" t="str">
            <v>M240704R1</v>
          </cell>
          <cell r="J16169">
            <v>45812</v>
          </cell>
          <cell r="K16169">
            <v>2</v>
          </cell>
        </row>
        <row r="16170">
          <cell r="C16170" t="str">
            <v>王瀚霆</v>
          </cell>
          <cell r="F16170" t="str">
            <v>M240704R1</v>
          </cell>
          <cell r="J16170">
            <v>45813</v>
          </cell>
          <cell r="K16170">
            <v>1.5</v>
          </cell>
        </row>
        <row r="16171">
          <cell r="C16171" t="str">
            <v>王瀚霆</v>
          </cell>
          <cell r="F16171" t="str">
            <v>D240902R1</v>
          </cell>
          <cell r="J16171">
            <v>45813</v>
          </cell>
          <cell r="K16171">
            <v>3.5</v>
          </cell>
        </row>
        <row r="16172">
          <cell r="C16172" t="str">
            <v>王瀚霆</v>
          </cell>
          <cell r="F16172" t="str">
            <v>M240704R1</v>
          </cell>
          <cell r="J16172">
            <v>45813</v>
          </cell>
          <cell r="K16172">
            <v>4.5</v>
          </cell>
        </row>
        <row r="16173">
          <cell r="C16173" t="str">
            <v>王瀚霆</v>
          </cell>
          <cell r="F16173" t="str">
            <v>D240902R1</v>
          </cell>
          <cell r="J16173">
            <v>45814</v>
          </cell>
          <cell r="K16173">
            <v>1</v>
          </cell>
        </row>
        <row r="16174">
          <cell r="C16174" t="str">
            <v>王瀚霆</v>
          </cell>
          <cell r="F16174" t="str">
            <v>M240704R1</v>
          </cell>
          <cell r="J16174">
            <v>45814</v>
          </cell>
          <cell r="K16174">
            <v>1.5</v>
          </cell>
        </row>
        <row r="16175">
          <cell r="C16175" t="str">
            <v>王瀚霆</v>
          </cell>
          <cell r="F16175" t="str">
            <v>D250501R1</v>
          </cell>
          <cell r="J16175">
            <v>45814</v>
          </cell>
          <cell r="K16175">
            <v>1</v>
          </cell>
        </row>
        <row r="16176">
          <cell r="C16176" t="str">
            <v>王瀚霆</v>
          </cell>
          <cell r="F16176" t="str">
            <v>D240902R1</v>
          </cell>
          <cell r="J16176">
            <v>45814</v>
          </cell>
          <cell r="K16176">
            <v>1</v>
          </cell>
        </row>
        <row r="16177">
          <cell r="C16177" t="str">
            <v>王瀚霆</v>
          </cell>
          <cell r="F16177" t="str">
            <v>M240704R1</v>
          </cell>
          <cell r="J16177">
            <v>45814</v>
          </cell>
          <cell r="K16177">
            <v>3</v>
          </cell>
        </row>
        <row r="16178">
          <cell r="C16178" t="str">
            <v>王瀚霆</v>
          </cell>
          <cell r="F16178" t="str">
            <v>M240704R1</v>
          </cell>
          <cell r="J16178">
            <v>45814</v>
          </cell>
          <cell r="K16178">
            <v>2</v>
          </cell>
        </row>
        <row r="16179">
          <cell r="C16179" t="str">
            <v>王瀚霆</v>
          </cell>
          <cell r="J16179">
            <v>45817</v>
          </cell>
          <cell r="K16179">
            <v>8</v>
          </cell>
        </row>
        <row r="16180">
          <cell r="C16180" t="str">
            <v>王瀚霆</v>
          </cell>
          <cell r="J16180">
            <v>45818</v>
          </cell>
          <cell r="K16180">
            <v>2</v>
          </cell>
        </row>
        <row r="16181">
          <cell r="C16181" t="str">
            <v>王瀚霆</v>
          </cell>
          <cell r="F16181" t="str">
            <v>M240101P1</v>
          </cell>
          <cell r="J16181">
            <v>45818</v>
          </cell>
          <cell r="K16181">
            <v>2</v>
          </cell>
        </row>
        <row r="16182">
          <cell r="C16182" t="str">
            <v>王瀚霆</v>
          </cell>
          <cell r="F16182" t="str">
            <v>M250301C1</v>
          </cell>
          <cell r="J16182">
            <v>45818</v>
          </cell>
          <cell r="K16182">
            <v>1</v>
          </cell>
        </row>
        <row r="16183">
          <cell r="C16183" t="str">
            <v>王瀚霆</v>
          </cell>
          <cell r="F16183" t="str">
            <v>D240902R1</v>
          </cell>
          <cell r="J16183">
            <v>45818</v>
          </cell>
          <cell r="K16183">
            <v>1</v>
          </cell>
        </row>
        <row r="16184">
          <cell r="C16184" t="str">
            <v>王瀚霆</v>
          </cell>
          <cell r="F16184" t="str">
            <v>D240902R1</v>
          </cell>
          <cell r="J16184">
            <v>45818</v>
          </cell>
          <cell r="K16184">
            <v>1.5</v>
          </cell>
        </row>
        <row r="16185">
          <cell r="C16185" t="str">
            <v>王瀚霆</v>
          </cell>
          <cell r="F16185" t="str">
            <v>M240704R1</v>
          </cell>
          <cell r="J16185">
            <v>45818</v>
          </cell>
          <cell r="K16185">
            <v>2</v>
          </cell>
        </row>
        <row r="16186">
          <cell r="C16186" t="str">
            <v>王瀚霆</v>
          </cell>
          <cell r="J16186">
            <v>45819</v>
          </cell>
          <cell r="K16186">
            <v>2.5</v>
          </cell>
        </row>
        <row r="16187">
          <cell r="C16187" t="str">
            <v>王瀚霆</v>
          </cell>
          <cell r="F16187" t="str">
            <v>D240902R1</v>
          </cell>
          <cell r="J16187">
            <v>45819</v>
          </cell>
          <cell r="K16187">
            <v>1</v>
          </cell>
        </row>
        <row r="16188">
          <cell r="C16188" t="str">
            <v>王瀚霆</v>
          </cell>
          <cell r="F16188" t="str">
            <v>M240101P1</v>
          </cell>
          <cell r="J16188">
            <v>45819</v>
          </cell>
          <cell r="K16188">
            <v>3</v>
          </cell>
        </row>
        <row r="16189">
          <cell r="C16189" t="str">
            <v>王瀚霆</v>
          </cell>
          <cell r="F16189" t="str">
            <v>M250301C1</v>
          </cell>
          <cell r="J16189">
            <v>45819</v>
          </cell>
          <cell r="K16189">
            <v>3</v>
          </cell>
        </row>
        <row r="16190">
          <cell r="C16190" t="str">
            <v>王瀚霆</v>
          </cell>
          <cell r="J16190">
            <v>45820</v>
          </cell>
          <cell r="K16190">
            <v>2</v>
          </cell>
        </row>
        <row r="16191">
          <cell r="C16191" t="str">
            <v>王瀚霆</v>
          </cell>
          <cell r="J16191">
            <v>45820</v>
          </cell>
          <cell r="K16191">
            <v>1</v>
          </cell>
        </row>
        <row r="16192">
          <cell r="C16192" t="str">
            <v>王瀚霆</v>
          </cell>
          <cell r="J16192">
            <v>45820</v>
          </cell>
          <cell r="K16192">
            <v>1</v>
          </cell>
        </row>
        <row r="16193">
          <cell r="C16193" t="str">
            <v>王瀚霆</v>
          </cell>
          <cell r="J16193">
            <v>45820</v>
          </cell>
          <cell r="K16193">
            <v>0.5</v>
          </cell>
        </row>
        <row r="16194">
          <cell r="C16194" t="str">
            <v>王瀚霆</v>
          </cell>
          <cell r="J16194">
            <v>45820</v>
          </cell>
          <cell r="K16194">
            <v>1</v>
          </cell>
        </row>
        <row r="16195">
          <cell r="C16195" t="str">
            <v>王瀚霆</v>
          </cell>
          <cell r="J16195">
            <v>45820</v>
          </cell>
          <cell r="K16195">
            <v>1</v>
          </cell>
        </row>
        <row r="16196">
          <cell r="C16196" t="str">
            <v>王瀚霆</v>
          </cell>
          <cell r="F16196" t="str">
            <v>D240902R1</v>
          </cell>
          <cell r="J16196">
            <v>45820</v>
          </cell>
          <cell r="K16196">
            <v>3</v>
          </cell>
        </row>
        <row r="16197">
          <cell r="C16197" t="str">
            <v>王瀚霆</v>
          </cell>
          <cell r="F16197" t="str">
            <v>D240902R1</v>
          </cell>
          <cell r="J16197">
            <v>45821</v>
          </cell>
          <cell r="K16197">
            <v>0.5</v>
          </cell>
        </row>
        <row r="16198">
          <cell r="C16198" t="str">
            <v>王瀚霆</v>
          </cell>
          <cell r="F16198" t="str">
            <v>D240902R1</v>
          </cell>
          <cell r="J16198">
            <v>45821</v>
          </cell>
          <cell r="K16198">
            <v>4</v>
          </cell>
        </row>
        <row r="16199">
          <cell r="C16199" t="str">
            <v>王瀚霆</v>
          </cell>
          <cell r="F16199" t="str">
            <v>K231101P1</v>
          </cell>
          <cell r="J16199">
            <v>45821</v>
          </cell>
          <cell r="K16199">
            <v>4</v>
          </cell>
        </row>
        <row r="16200">
          <cell r="C16200" t="str">
            <v>王瀚霆</v>
          </cell>
          <cell r="F16200" t="str">
            <v>M240704R1</v>
          </cell>
          <cell r="J16200">
            <v>45821</v>
          </cell>
          <cell r="K16200">
            <v>1</v>
          </cell>
        </row>
        <row r="16201">
          <cell r="C16201" t="str">
            <v>王瀚霆</v>
          </cell>
          <cell r="F16201" t="str">
            <v>M250201C1</v>
          </cell>
          <cell r="J16201">
            <v>45824</v>
          </cell>
          <cell r="K16201">
            <v>1</v>
          </cell>
        </row>
        <row r="16202">
          <cell r="C16202" t="str">
            <v>王瀚霆</v>
          </cell>
          <cell r="F16202" t="str">
            <v>D240902R1</v>
          </cell>
          <cell r="J16202">
            <v>45824</v>
          </cell>
          <cell r="K16202">
            <v>1.5</v>
          </cell>
        </row>
        <row r="16203">
          <cell r="C16203" t="str">
            <v>王瀚霆</v>
          </cell>
          <cell r="F16203" t="str">
            <v>M240804R1</v>
          </cell>
          <cell r="J16203">
            <v>45824</v>
          </cell>
          <cell r="K16203">
            <v>1</v>
          </cell>
        </row>
        <row r="16204">
          <cell r="C16204" t="str">
            <v>王瀚霆</v>
          </cell>
          <cell r="F16204" t="str">
            <v>K231101P1</v>
          </cell>
          <cell r="J16204">
            <v>45824</v>
          </cell>
          <cell r="K16204">
            <v>1.5</v>
          </cell>
        </row>
        <row r="16205">
          <cell r="C16205" t="str">
            <v>王瀚霆</v>
          </cell>
          <cell r="F16205" t="str">
            <v>D240902R1</v>
          </cell>
          <cell r="J16205">
            <v>45824</v>
          </cell>
          <cell r="K16205">
            <v>3</v>
          </cell>
        </row>
        <row r="16206">
          <cell r="C16206" t="str">
            <v>王瀚霆</v>
          </cell>
          <cell r="F16206" t="str">
            <v>D240902R1</v>
          </cell>
          <cell r="J16206">
            <v>45824</v>
          </cell>
          <cell r="K16206">
            <v>1.5</v>
          </cell>
        </row>
        <row r="16207">
          <cell r="C16207" t="str">
            <v>王瀚霆</v>
          </cell>
          <cell r="F16207" t="str">
            <v>M250201C1</v>
          </cell>
          <cell r="J16207">
            <v>45825</v>
          </cell>
          <cell r="K16207">
            <v>3</v>
          </cell>
        </row>
        <row r="16208">
          <cell r="C16208" t="str">
            <v>王瀚霆</v>
          </cell>
          <cell r="F16208" t="str">
            <v>D240902R1</v>
          </cell>
          <cell r="J16208">
            <v>45825</v>
          </cell>
          <cell r="K16208">
            <v>6.5</v>
          </cell>
        </row>
        <row r="16209">
          <cell r="C16209" t="str">
            <v>王瀚霆</v>
          </cell>
          <cell r="J16209">
            <v>45826</v>
          </cell>
          <cell r="K16209">
            <v>1.5</v>
          </cell>
        </row>
        <row r="16210">
          <cell r="C16210" t="str">
            <v>王瀚霆</v>
          </cell>
          <cell r="J16210">
            <v>45826</v>
          </cell>
          <cell r="K16210">
            <v>0.5</v>
          </cell>
        </row>
        <row r="16211">
          <cell r="C16211" t="str">
            <v>王瀚霆</v>
          </cell>
          <cell r="F16211" t="str">
            <v>D240902R1</v>
          </cell>
          <cell r="J16211">
            <v>45826</v>
          </cell>
          <cell r="K16211">
            <v>1</v>
          </cell>
        </row>
        <row r="16212">
          <cell r="C16212" t="str">
            <v>王瀚霆</v>
          </cell>
          <cell r="F16212" t="str">
            <v>D250101R1</v>
          </cell>
          <cell r="J16212">
            <v>45826</v>
          </cell>
          <cell r="K16212">
            <v>1</v>
          </cell>
        </row>
        <row r="16213">
          <cell r="C16213" t="str">
            <v>王瀚霆</v>
          </cell>
          <cell r="F16213" t="str">
            <v>D240902R1</v>
          </cell>
          <cell r="J16213">
            <v>45826</v>
          </cell>
          <cell r="K16213">
            <v>1.5</v>
          </cell>
        </row>
        <row r="16214">
          <cell r="C16214" t="str">
            <v>王瀚霆</v>
          </cell>
          <cell r="F16214" t="str">
            <v>D250101R1</v>
          </cell>
          <cell r="J16214">
            <v>45826</v>
          </cell>
          <cell r="K16214">
            <v>4</v>
          </cell>
        </row>
        <row r="16215">
          <cell r="C16215" t="str">
            <v>王瀚霆</v>
          </cell>
          <cell r="J16215">
            <v>45827</v>
          </cell>
          <cell r="K16215">
            <v>1.5</v>
          </cell>
        </row>
        <row r="16216">
          <cell r="C16216" t="str">
            <v>王瀚霆</v>
          </cell>
          <cell r="J16216">
            <v>45827</v>
          </cell>
          <cell r="K16216">
            <v>3</v>
          </cell>
        </row>
        <row r="16217">
          <cell r="C16217" t="str">
            <v>王瀚霆</v>
          </cell>
          <cell r="F16217" t="str">
            <v>D250501R1</v>
          </cell>
          <cell r="J16217">
            <v>45827</v>
          </cell>
          <cell r="K16217">
            <v>1.5</v>
          </cell>
        </row>
        <row r="16218">
          <cell r="C16218" t="str">
            <v>王瀚霆</v>
          </cell>
          <cell r="F16218" t="str">
            <v>D240902R1</v>
          </cell>
          <cell r="J16218">
            <v>45827</v>
          </cell>
          <cell r="K16218">
            <v>1.5</v>
          </cell>
        </row>
        <row r="16219">
          <cell r="C16219" t="str">
            <v>王瀚霆</v>
          </cell>
          <cell r="F16219" t="str">
            <v>D250101R1</v>
          </cell>
          <cell r="J16219">
            <v>45827</v>
          </cell>
          <cell r="K16219">
            <v>2</v>
          </cell>
        </row>
        <row r="16220">
          <cell r="C16220" t="str">
            <v>王瀚霆</v>
          </cell>
          <cell r="J16220">
            <v>45828</v>
          </cell>
          <cell r="K16220">
            <v>2</v>
          </cell>
        </row>
        <row r="16221">
          <cell r="C16221" t="str">
            <v>王瀚霆</v>
          </cell>
          <cell r="F16221" t="str">
            <v>D240902R1</v>
          </cell>
          <cell r="J16221">
            <v>45828</v>
          </cell>
          <cell r="K16221">
            <v>0.5</v>
          </cell>
        </row>
        <row r="16222">
          <cell r="C16222" t="str">
            <v>王瀚霆</v>
          </cell>
          <cell r="F16222" t="str">
            <v>D240902R1</v>
          </cell>
          <cell r="J16222">
            <v>45828</v>
          </cell>
          <cell r="K16222">
            <v>4.5</v>
          </cell>
        </row>
        <row r="16223">
          <cell r="C16223" t="str">
            <v>王瀚霆</v>
          </cell>
          <cell r="F16223" t="str">
            <v>M230705P1</v>
          </cell>
          <cell r="J16223">
            <v>45828</v>
          </cell>
          <cell r="K16223">
            <v>2.5</v>
          </cell>
        </row>
        <row r="16224">
          <cell r="C16224" t="str">
            <v>王瀚霆</v>
          </cell>
          <cell r="F16224" t="str">
            <v>D250101R1</v>
          </cell>
          <cell r="J16224">
            <v>45831</v>
          </cell>
          <cell r="K16224">
            <v>2</v>
          </cell>
        </row>
        <row r="16225">
          <cell r="C16225" t="str">
            <v>王瀚霆</v>
          </cell>
          <cell r="F16225" t="str">
            <v>D250501R1</v>
          </cell>
          <cell r="J16225">
            <v>45831</v>
          </cell>
          <cell r="K16225">
            <v>3.5</v>
          </cell>
        </row>
        <row r="16226">
          <cell r="C16226" t="str">
            <v>王瀚霆</v>
          </cell>
          <cell r="F16226" t="str">
            <v>D240902R1</v>
          </cell>
          <cell r="J16226">
            <v>45831</v>
          </cell>
          <cell r="K16226">
            <v>1.5</v>
          </cell>
        </row>
        <row r="16227">
          <cell r="C16227" t="str">
            <v>王瀚霆</v>
          </cell>
          <cell r="F16227" t="str">
            <v>M230705P1</v>
          </cell>
          <cell r="J16227">
            <v>45831</v>
          </cell>
          <cell r="K16227">
            <v>2.5</v>
          </cell>
        </row>
        <row r="16228">
          <cell r="C16228" t="str">
            <v>王瀚霆</v>
          </cell>
          <cell r="F16228" t="str">
            <v>K231101R1</v>
          </cell>
          <cell r="J16228">
            <v>45832</v>
          </cell>
          <cell r="K16228">
            <v>1</v>
          </cell>
        </row>
        <row r="16229">
          <cell r="C16229" t="str">
            <v>王瀚霆</v>
          </cell>
          <cell r="F16229" t="str">
            <v>M220402R1</v>
          </cell>
          <cell r="J16229">
            <v>45832</v>
          </cell>
          <cell r="K16229">
            <v>1</v>
          </cell>
        </row>
        <row r="16230">
          <cell r="C16230" t="str">
            <v>王瀚霆</v>
          </cell>
          <cell r="F16230" t="str">
            <v>M240704R1</v>
          </cell>
          <cell r="J16230">
            <v>45832</v>
          </cell>
          <cell r="K16230">
            <v>0.5</v>
          </cell>
        </row>
        <row r="16231">
          <cell r="C16231" t="str">
            <v>王瀚霆</v>
          </cell>
          <cell r="F16231" t="str">
            <v>D250101R1</v>
          </cell>
          <cell r="J16231">
            <v>45832</v>
          </cell>
          <cell r="K16231">
            <v>1.5</v>
          </cell>
        </row>
        <row r="16232">
          <cell r="C16232" t="str">
            <v>王瀚霆</v>
          </cell>
          <cell r="F16232" t="str">
            <v>D240902R1</v>
          </cell>
          <cell r="J16232">
            <v>45832</v>
          </cell>
          <cell r="K16232">
            <v>2.5</v>
          </cell>
        </row>
        <row r="16233">
          <cell r="C16233" t="str">
            <v>王瀚霆</v>
          </cell>
          <cell r="F16233" t="str">
            <v>M240704R1</v>
          </cell>
          <cell r="J16233">
            <v>45832</v>
          </cell>
          <cell r="K16233">
            <v>3</v>
          </cell>
        </row>
        <row r="16234">
          <cell r="C16234" t="str">
            <v>王瀚霆</v>
          </cell>
          <cell r="J16234">
            <v>45833</v>
          </cell>
          <cell r="K16234">
            <v>1</v>
          </cell>
        </row>
        <row r="16235">
          <cell r="C16235" t="str">
            <v>王瀚霆</v>
          </cell>
          <cell r="F16235" t="str">
            <v>K231101R1</v>
          </cell>
          <cell r="J16235">
            <v>45833</v>
          </cell>
          <cell r="K16235">
            <v>2</v>
          </cell>
        </row>
        <row r="16236">
          <cell r="C16236" t="str">
            <v>王瀚霆</v>
          </cell>
          <cell r="J16236">
            <v>45833</v>
          </cell>
          <cell r="K16236">
            <v>3</v>
          </cell>
        </row>
        <row r="16237">
          <cell r="C16237" t="str">
            <v>王瀚霆</v>
          </cell>
          <cell r="F16237" t="str">
            <v>D240902R1</v>
          </cell>
          <cell r="J16237">
            <v>45833</v>
          </cell>
          <cell r="K16237">
            <v>1</v>
          </cell>
        </row>
        <row r="16238">
          <cell r="C16238" t="str">
            <v>王瀚霆</v>
          </cell>
          <cell r="F16238" t="str">
            <v>D250501R1</v>
          </cell>
          <cell r="J16238">
            <v>45833</v>
          </cell>
          <cell r="K16238">
            <v>1.5</v>
          </cell>
        </row>
        <row r="16239">
          <cell r="C16239" t="str">
            <v>王瀚霆</v>
          </cell>
          <cell r="F16239" t="str">
            <v>K231101R1</v>
          </cell>
          <cell r="J16239">
            <v>45833</v>
          </cell>
          <cell r="K16239">
            <v>1</v>
          </cell>
        </row>
        <row r="16240">
          <cell r="C16240" t="str">
            <v>王瀚霆</v>
          </cell>
          <cell r="J16240">
            <v>45834</v>
          </cell>
          <cell r="K16240">
            <v>1</v>
          </cell>
        </row>
        <row r="16241">
          <cell r="C16241" t="str">
            <v>王瀚霆</v>
          </cell>
          <cell r="J16241">
            <v>45834</v>
          </cell>
          <cell r="K16241">
            <v>5.5</v>
          </cell>
        </row>
        <row r="16242">
          <cell r="C16242" t="str">
            <v>王瀚霆</v>
          </cell>
          <cell r="J16242">
            <v>45834</v>
          </cell>
          <cell r="K16242">
            <v>1</v>
          </cell>
        </row>
        <row r="16243">
          <cell r="C16243" t="str">
            <v>王瀚霆</v>
          </cell>
          <cell r="F16243" t="str">
            <v>D250501R1</v>
          </cell>
          <cell r="J16243">
            <v>45834</v>
          </cell>
          <cell r="K16243">
            <v>1</v>
          </cell>
        </row>
        <row r="16244">
          <cell r="C16244" t="str">
            <v>王瀚霆</v>
          </cell>
          <cell r="F16244" t="str">
            <v>K231101R1</v>
          </cell>
          <cell r="J16244">
            <v>45834</v>
          </cell>
          <cell r="K16244">
            <v>1</v>
          </cell>
        </row>
        <row r="16245">
          <cell r="C16245" t="str">
            <v>王瀚霆</v>
          </cell>
          <cell r="J16245">
            <v>45835</v>
          </cell>
          <cell r="K16245">
            <v>6</v>
          </cell>
        </row>
        <row r="16246">
          <cell r="C16246" t="str">
            <v>王瀚霆</v>
          </cell>
          <cell r="F16246" t="str">
            <v>D250101R1</v>
          </cell>
          <cell r="J16246">
            <v>45835</v>
          </cell>
          <cell r="K16246">
            <v>3.5</v>
          </cell>
        </row>
        <row r="16247">
          <cell r="C16247" t="str">
            <v>王瀚霆</v>
          </cell>
          <cell r="F16247" t="str">
            <v>K231101P1</v>
          </cell>
          <cell r="J16247">
            <v>45838</v>
          </cell>
          <cell r="K16247">
            <v>1.5</v>
          </cell>
        </row>
        <row r="16248">
          <cell r="C16248" t="str">
            <v>王瀚霆</v>
          </cell>
          <cell r="J16248">
            <v>45838</v>
          </cell>
          <cell r="K16248">
            <v>6</v>
          </cell>
        </row>
        <row r="16249">
          <cell r="C16249" t="str">
            <v>王瀚霆</v>
          </cell>
          <cell r="F16249" t="str">
            <v>D250101R1</v>
          </cell>
          <cell r="J16249">
            <v>45838</v>
          </cell>
          <cell r="K16249">
            <v>1</v>
          </cell>
        </row>
        <row r="16250">
          <cell r="C16250" t="str">
            <v>王瀚霆</v>
          </cell>
          <cell r="F16250" t="str">
            <v>K231101P1</v>
          </cell>
          <cell r="J16250">
            <v>45838</v>
          </cell>
          <cell r="K16250">
            <v>1</v>
          </cell>
        </row>
        <row r="16251">
          <cell r="C16251" t="str">
            <v>王瀚霆</v>
          </cell>
          <cell r="J16251">
            <v>45839</v>
          </cell>
          <cell r="K16251">
            <v>2</v>
          </cell>
        </row>
        <row r="16252">
          <cell r="C16252" t="str">
            <v>王瀚霆</v>
          </cell>
          <cell r="F16252" t="str">
            <v>D250101R1</v>
          </cell>
          <cell r="J16252">
            <v>45839</v>
          </cell>
          <cell r="K16252">
            <v>1</v>
          </cell>
        </row>
        <row r="16253">
          <cell r="C16253" t="str">
            <v>王瀚霆</v>
          </cell>
          <cell r="J16253">
            <v>45839</v>
          </cell>
          <cell r="K16253">
            <v>1</v>
          </cell>
        </row>
        <row r="16254">
          <cell r="C16254" t="str">
            <v>王瀚霆</v>
          </cell>
          <cell r="F16254" t="str">
            <v>D240902R1</v>
          </cell>
          <cell r="J16254">
            <v>45839</v>
          </cell>
          <cell r="K16254">
            <v>1</v>
          </cell>
        </row>
        <row r="16255">
          <cell r="C16255" t="str">
            <v>王瀚霆</v>
          </cell>
          <cell r="F16255" t="str">
            <v>K231101P1</v>
          </cell>
          <cell r="J16255">
            <v>45839</v>
          </cell>
          <cell r="K16255">
            <v>4.5</v>
          </cell>
        </row>
        <row r="16256">
          <cell r="C16256" t="str">
            <v>王瀚霆</v>
          </cell>
          <cell r="J16256">
            <v>45840</v>
          </cell>
          <cell r="K16256">
            <v>2.5</v>
          </cell>
        </row>
        <row r="16257">
          <cell r="C16257" t="str">
            <v>王瀚霆</v>
          </cell>
          <cell r="J16257">
            <v>45840</v>
          </cell>
          <cell r="K16257">
            <v>0.5</v>
          </cell>
        </row>
        <row r="16258">
          <cell r="C16258" t="str">
            <v>王瀚霆</v>
          </cell>
          <cell r="J16258">
            <v>45840</v>
          </cell>
          <cell r="K16258">
            <v>3</v>
          </cell>
        </row>
        <row r="16259">
          <cell r="C16259" t="str">
            <v>王瀚霆</v>
          </cell>
          <cell r="F16259" t="str">
            <v>D240902R1</v>
          </cell>
          <cell r="J16259">
            <v>45840</v>
          </cell>
          <cell r="K16259">
            <v>3.5</v>
          </cell>
        </row>
        <row r="16260">
          <cell r="C16260" t="str">
            <v>王瀚霆</v>
          </cell>
          <cell r="J16260">
            <v>45841</v>
          </cell>
          <cell r="K16260">
            <v>1.5</v>
          </cell>
        </row>
        <row r="16261">
          <cell r="C16261" t="str">
            <v>王瀚霆</v>
          </cell>
          <cell r="F16261" t="str">
            <v>D250101R1</v>
          </cell>
          <cell r="J16261">
            <v>45841</v>
          </cell>
          <cell r="K16261">
            <v>1</v>
          </cell>
        </row>
        <row r="16262">
          <cell r="C16262" t="str">
            <v>王瀚霆</v>
          </cell>
          <cell r="J16262">
            <v>45841</v>
          </cell>
          <cell r="K16262">
            <v>1</v>
          </cell>
        </row>
        <row r="16263">
          <cell r="C16263" t="str">
            <v>王瀚霆</v>
          </cell>
          <cell r="F16263" t="str">
            <v>D240902R1</v>
          </cell>
          <cell r="J16263">
            <v>45841</v>
          </cell>
          <cell r="K16263">
            <v>1</v>
          </cell>
        </row>
        <row r="16264">
          <cell r="C16264" t="str">
            <v>王瀚霆</v>
          </cell>
          <cell r="F16264" t="str">
            <v>D250501R1</v>
          </cell>
          <cell r="J16264">
            <v>45841</v>
          </cell>
          <cell r="K16264">
            <v>1</v>
          </cell>
        </row>
        <row r="16265">
          <cell r="C16265" t="str">
            <v>王瀚霆</v>
          </cell>
          <cell r="F16265" t="str">
            <v>K231101P1</v>
          </cell>
          <cell r="J16265">
            <v>45841</v>
          </cell>
          <cell r="K16265">
            <v>4</v>
          </cell>
        </row>
        <row r="16266">
          <cell r="C16266" t="str">
            <v>王瀚霆</v>
          </cell>
          <cell r="J16266">
            <v>45842</v>
          </cell>
          <cell r="K16266">
            <v>2.5</v>
          </cell>
        </row>
        <row r="16267">
          <cell r="C16267" t="str">
            <v>王瀚霆</v>
          </cell>
          <cell r="J16267">
            <v>45842</v>
          </cell>
          <cell r="K16267">
            <v>4.5</v>
          </cell>
        </row>
        <row r="16268">
          <cell r="C16268" t="str">
            <v>王瀚霆</v>
          </cell>
          <cell r="F16268" t="str">
            <v>K231101P1</v>
          </cell>
          <cell r="J16268">
            <v>45842</v>
          </cell>
          <cell r="K16268">
            <v>1</v>
          </cell>
        </row>
        <row r="16269">
          <cell r="C16269" t="str">
            <v>王瀚霆</v>
          </cell>
          <cell r="F16269" t="str">
            <v>K231101P1</v>
          </cell>
          <cell r="J16269">
            <v>45845</v>
          </cell>
          <cell r="K16269">
            <v>1.5</v>
          </cell>
        </row>
        <row r="16270">
          <cell r="C16270" t="str">
            <v>王瀚霆</v>
          </cell>
          <cell r="J16270">
            <v>45845</v>
          </cell>
          <cell r="K16270">
            <v>2.5</v>
          </cell>
        </row>
        <row r="16271">
          <cell r="C16271" t="str">
            <v>王瀚霆</v>
          </cell>
          <cell r="F16271" t="str">
            <v>M230705P1</v>
          </cell>
          <cell r="J16271">
            <v>45845</v>
          </cell>
          <cell r="K16271">
            <v>0.5</v>
          </cell>
        </row>
        <row r="16272">
          <cell r="C16272" t="str">
            <v>王瀚霆</v>
          </cell>
          <cell r="F16272" t="str">
            <v>K250501R1</v>
          </cell>
          <cell r="J16272">
            <v>45845</v>
          </cell>
          <cell r="K16272">
            <v>0.5</v>
          </cell>
        </row>
        <row r="16273">
          <cell r="C16273" t="str">
            <v>王瀚霆</v>
          </cell>
          <cell r="F16273" t="str">
            <v>D240902R1</v>
          </cell>
          <cell r="J16273">
            <v>45845</v>
          </cell>
          <cell r="K16273">
            <v>4.5</v>
          </cell>
        </row>
        <row r="16274">
          <cell r="C16274" t="str">
            <v>王瀚霆</v>
          </cell>
          <cell r="J16274">
            <v>45846</v>
          </cell>
          <cell r="K16274">
            <v>1.5</v>
          </cell>
        </row>
        <row r="16275">
          <cell r="C16275" t="str">
            <v>王瀚霆</v>
          </cell>
          <cell r="F16275" t="str">
            <v>D240902R1</v>
          </cell>
          <cell r="J16275">
            <v>45846</v>
          </cell>
          <cell r="K16275">
            <v>2.5</v>
          </cell>
        </row>
        <row r="16276">
          <cell r="C16276" t="str">
            <v>王瀚霆</v>
          </cell>
          <cell r="F16276" t="str">
            <v>D240902R1</v>
          </cell>
          <cell r="J16276">
            <v>45846</v>
          </cell>
          <cell r="K16276">
            <v>5.5</v>
          </cell>
        </row>
        <row r="16277">
          <cell r="C16277" t="str">
            <v>王瀚霆</v>
          </cell>
          <cell r="J16277">
            <v>45847</v>
          </cell>
          <cell r="K16277">
            <v>8</v>
          </cell>
        </row>
        <row r="16278">
          <cell r="C16278" t="str">
            <v>王瀚霆</v>
          </cell>
          <cell r="J16278">
            <v>45848</v>
          </cell>
          <cell r="K16278">
            <v>1</v>
          </cell>
        </row>
        <row r="16279">
          <cell r="C16279" t="str">
            <v>王瀚霆</v>
          </cell>
          <cell r="F16279" t="str">
            <v>D250101R1</v>
          </cell>
          <cell r="J16279">
            <v>45848</v>
          </cell>
          <cell r="K16279">
            <v>2.5</v>
          </cell>
        </row>
        <row r="16280">
          <cell r="C16280" t="str">
            <v>王瀚霆</v>
          </cell>
          <cell r="F16280" t="str">
            <v>D240902R1</v>
          </cell>
          <cell r="J16280">
            <v>45848</v>
          </cell>
          <cell r="K16280">
            <v>6</v>
          </cell>
        </row>
        <row r="16281">
          <cell r="C16281" t="str">
            <v>王瀚霆</v>
          </cell>
          <cell r="J16281">
            <v>45849</v>
          </cell>
          <cell r="K16281">
            <v>2.5</v>
          </cell>
        </row>
        <row r="16282">
          <cell r="C16282" t="str">
            <v>王瀚霆</v>
          </cell>
          <cell r="F16282" t="str">
            <v>D240902R1</v>
          </cell>
          <cell r="J16282">
            <v>45849</v>
          </cell>
          <cell r="K16282">
            <v>3.5</v>
          </cell>
        </row>
        <row r="16283">
          <cell r="C16283" t="str">
            <v>王瀚霆</v>
          </cell>
          <cell r="F16283" t="str">
            <v>M240703R1</v>
          </cell>
          <cell r="J16283">
            <v>45849</v>
          </cell>
          <cell r="K16283">
            <v>1.5</v>
          </cell>
        </row>
        <row r="16284">
          <cell r="C16284" t="str">
            <v>王瀚霆</v>
          </cell>
          <cell r="F16284" t="str">
            <v>D250501R1</v>
          </cell>
          <cell r="J16284">
            <v>45849</v>
          </cell>
          <cell r="K16284">
            <v>2</v>
          </cell>
        </row>
        <row r="16285">
          <cell r="C16285" t="str">
            <v>王瀚霆</v>
          </cell>
          <cell r="F16285" t="str">
            <v>D250101R1</v>
          </cell>
          <cell r="J16285">
            <v>45852</v>
          </cell>
          <cell r="K16285">
            <v>2</v>
          </cell>
        </row>
        <row r="16286">
          <cell r="C16286" t="str">
            <v>王瀚霆</v>
          </cell>
          <cell r="J16286">
            <v>45852</v>
          </cell>
          <cell r="K16286">
            <v>3</v>
          </cell>
        </row>
        <row r="16287">
          <cell r="C16287" t="str">
            <v>王瀚霆</v>
          </cell>
          <cell r="F16287" t="str">
            <v>D250501R1</v>
          </cell>
          <cell r="J16287">
            <v>45852</v>
          </cell>
          <cell r="K16287">
            <v>4.5</v>
          </cell>
        </row>
        <row r="16288">
          <cell r="C16288" t="str">
            <v>王瀚霆</v>
          </cell>
          <cell r="J16288">
            <v>45853</v>
          </cell>
          <cell r="K16288">
            <v>1.5</v>
          </cell>
        </row>
        <row r="16289">
          <cell r="C16289" t="str">
            <v>王瀚霆</v>
          </cell>
          <cell r="J16289">
            <v>45853</v>
          </cell>
          <cell r="K16289">
            <v>1</v>
          </cell>
        </row>
        <row r="16290">
          <cell r="C16290" t="str">
            <v>王瀚霆</v>
          </cell>
          <cell r="F16290" t="str">
            <v>M230705P1</v>
          </cell>
          <cell r="J16290">
            <v>45853</v>
          </cell>
          <cell r="K16290">
            <v>1.5</v>
          </cell>
        </row>
        <row r="16291">
          <cell r="C16291" t="str">
            <v>王瀚霆</v>
          </cell>
          <cell r="F16291" t="str">
            <v>D250101R1</v>
          </cell>
          <cell r="J16291">
            <v>45853</v>
          </cell>
          <cell r="K16291">
            <v>5</v>
          </cell>
        </row>
        <row r="16292">
          <cell r="C16292" t="str">
            <v>王瀚霆</v>
          </cell>
          <cell r="F16292" t="str">
            <v>M240704R1</v>
          </cell>
          <cell r="J16292">
            <v>45853</v>
          </cell>
          <cell r="K16292">
            <v>0.5</v>
          </cell>
        </row>
        <row r="16293">
          <cell r="C16293" t="str">
            <v>王瀚霆</v>
          </cell>
          <cell r="F16293" t="str">
            <v>D250101R1</v>
          </cell>
          <cell r="J16293">
            <v>45854</v>
          </cell>
          <cell r="K16293">
            <v>4</v>
          </cell>
        </row>
        <row r="16294">
          <cell r="C16294" t="str">
            <v>王瀚霆</v>
          </cell>
          <cell r="F16294" t="str">
            <v>D250501R1</v>
          </cell>
          <cell r="J16294">
            <v>45854</v>
          </cell>
          <cell r="K16294">
            <v>5.5</v>
          </cell>
        </row>
        <row r="16295">
          <cell r="C16295" t="str">
            <v>王瀚霆</v>
          </cell>
          <cell r="J16295">
            <v>45855</v>
          </cell>
          <cell r="K16295">
            <v>0.5</v>
          </cell>
        </row>
        <row r="16296">
          <cell r="C16296" t="str">
            <v>王瀚霆</v>
          </cell>
          <cell r="J16296">
            <v>45855</v>
          </cell>
          <cell r="K16296">
            <v>1.5</v>
          </cell>
        </row>
        <row r="16297">
          <cell r="C16297" t="str">
            <v>王瀚霆</v>
          </cell>
          <cell r="J16297">
            <v>45855</v>
          </cell>
          <cell r="K16297">
            <v>0.5</v>
          </cell>
        </row>
        <row r="16298">
          <cell r="C16298" t="str">
            <v>王瀚霆</v>
          </cell>
          <cell r="J16298">
            <v>45855</v>
          </cell>
          <cell r="K16298">
            <v>2</v>
          </cell>
        </row>
        <row r="16299">
          <cell r="C16299" t="str">
            <v>王瀚霆</v>
          </cell>
          <cell r="J16299">
            <v>45855</v>
          </cell>
          <cell r="K16299">
            <v>1</v>
          </cell>
        </row>
        <row r="16300">
          <cell r="C16300" t="str">
            <v>王瀚霆</v>
          </cell>
          <cell r="J16300">
            <v>45855</v>
          </cell>
          <cell r="K16300">
            <v>1.5</v>
          </cell>
        </row>
        <row r="16301">
          <cell r="C16301" t="str">
            <v>王瀚霆</v>
          </cell>
          <cell r="J16301">
            <v>45855</v>
          </cell>
          <cell r="K16301">
            <v>1</v>
          </cell>
        </row>
        <row r="16302">
          <cell r="C16302" t="str">
            <v>王瀚霆</v>
          </cell>
          <cell r="J16302">
            <v>45855</v>
          </cell>
          <cell r="K16302">
            <v>0.5</v>
          </cell>
        </row>
        <row r="16303">
          <cell r="C16303" t="str">
            <v>王瀚霆</v>
          </cell>
          <cell r="F16303" t="str">
            <v>D250501R1</v>
          </cell>
          <cell r="J16303">
            <v>45855</v>
          </cell>
          <cell r="K16303">
            <v>1</v>
          </cell>
        </row>
        <row r="16304">
          <cell r="C16304" t="str">
            <v>王瀚霆</v>
          </cell>
          <cell r="J16304">
            <v>45856</v>
          </cell>
          <cell r="K16304">
            <v>8</v>
          </cell>
        </row>
        <row r="16305">
          <cell r="C16305" t="str">
            <v>王瀚霆</v>
          </cell>
          <cell r="F16305" t="str">
            <v>K240801R2</v>
          </cell>
          <cell r="J16305">
            <v>45859</v>
          </cell>
          <cell r="K16305">
            <v>1</v>
          </cell>
        </row>
        <row r="16306">
          <cell r="C16306" t="str">
            <v>王瀚霆</v>
          </cell>
          <cell r="J16306">
            <v>45859</v>
          </cell>
          <cell r="K16306">
            <v>4.5</v>
          </cell>
        </row>
        <row r="16307">
          <cell r="C16307" t="str">
            <v>王瀚霆</v>
          </cell>
          <cell r="J16307">
            <v>45859</v>
          </cell>
          <cell r="K16307">
            <v>1</v>
          </cell>
        </row>
        <row r="16308">
          <cell r="C16308" t="str">
            <v>王瀚霆</v>
          </cell>
          <cell r="F16308" t="str">
            <v>D250501R1</v>
          </cell>
          <cell r="J16308">
            <v>45859</v>
          </cell>
          <cell r="K16308">
            <v>1</v>
          </cell>
        </row>
        <row r="16309">
          <cell r="C16309" t="str">
            <v>王瀚霆</v>
          </cell>
          <cell r="F16309" t="str">
            <v>D240902R1</v>
          </cell>
          <cell r="J16309">
            <v>45859</v>
          </cell>
          <cell r="K16309">
            <v>2</v>
          </cell>
        </row>
        <row r="16310">
          <cell r="C16310" t="str">
            <v>王瀚霆</v>
          </cell>
          <cell r="J16310">
            <v>45860</v>
          </cell>
          <cell r="K16310">
            <v>3</v>
          </cell>
        </row>
        <row r="16311">
          <cell r="C16311" t="str">
            <v>王瀚霆</v>
          </cell>
          <cell r="J16311">
            <v>45860</v>
          </cell>
          <cell r="K16311">
            <v>3</v>
          </cell>
        </row>
        <row r="16312">
          <cell r="C16312" t="str">
            <v>王瀚霆</v>
          </cell>
          <cell r="F16312" t="str">
            <v>D240902R1</v>
          </cell>
          <cell r="J16312">
            <v>45860</v>
          </cell>
          <cell r="K16312">
            <v>3.5</v>
          </cell>
        </row>
        <row r="16313">
          <cell r="C16313" t="str">
            <v>王瀚霆</v>
          </cell>
          <cell r="J16313">
            <v>45861</v>
          </cell>
          <cell r="K16313">
            <v>1.5</v>
          </cell>
        </row>
        <row r="16314">
          <cell r="C16314" t="str">
            <v>王瀚霆</v>
          </cell>
          <cell r="F16314" t="str">
            <v>D240902R1</v>
          </cell>
          <cell r="J16314">
            <v>45861</v>
          </cell>
          <cell r="K16314">
            <v>1</v>
          </cell>
        </row>
        <row r="16315">
          <cell r="C16315" t="str">
            <v>王瀚霆</v>
          </cell>
          <cell r="F16315" t="str">
            <v>D250501R1</v>
          </cell>
          <cell r="J16315">
            <v>45861</v>
          </cell>
          <cell r="K16315">
            <v>2</v>
          </cell>
        </row>
        <row r="16316">
          <cell r="C16316" t="str">
            <v>王瀚霆</v>
          </cell>
          <cell r="F16316" t="str">
            <v>D240902R1</v>
          </cell>
          <cell r="J16316">
            <v>45861</v>
          </cell>
          <cell r="K16316">
            <v>2</v>
          </cell>
        </row>
        <row r="16317">
          <cell r="C16317" t="str">
            <v>王瀚霆</v>
          </cell>
          <cell r="F16317" t="str">
            <v>K231101P1</v>
          </cell>
          <cell r="J16317">
            <v>45861</v>
          </cell>
          <cell r="K16317">
            <v>1.5</v>
          </cell>
        </row>
        <row r="16318">
          <cell r="C16318" t="str">
            <v>王瀚霆</v>
          </cell>
          <cell r="F16318" t="str">
            <v>D240902R1</v>
          </cell>
          <cell r="J16318">
            <v>45861</v>
          </cell>
          <cell r="K16318">
            <v>1.5</v>
          </cell>
        </row>
        <row r="16319">
          <cell r="C16319" t="str">
            <v>王瀚霆</v>
          </cell>
          <cell r="J16319">
            <v>45862</v>
          </cell>
          <cell r="K16319">
            <v>1.5</v>
          </cell>
        </row>
        <row r="16320">
          <cell r="C16320" t="str">
            <v>王瀚霆</v>
          </cell>
          <cell r="J16320">
            <v>45862</v>
          </cell>
          <cell r="K16320">
            <v>2</v>
          </cell>
        </row>
        <row r="16321">
          <cell r="C16321" t="str">
            <v>王瀚霆</v>
          </cell>
          <cell r="J16321">
            <v>45862</v>
          </cell>
          <cell r="K16321">
            <v>2.5</v>
          </cell>
        </row>
        <row r="16322">
          <cell r="C16322" t="str">
            <v>王瀚霆</v>
          </cell>
          <cell r="F16322" t="str">
            <v>D240902R1</v>
          </cell>
          <cell r="J16322">
            <v>45862</v>
          </cell>
          <cell r="K16322">
            <v>1</v>
          </cell>
        </row>
        <row r="16323">
          <cell r="C16323" t="str">
            <v>王瀚霆</v>
          </cell>
          <cell r="F16323" t="str">
            <v>D240902R1</v>
          </cell>
          <cell r="J16323">
            <v>45862</v>
          </cell>
          <cell r="K16323">
            <v>1.5</v>
          </cell>
        </row>
        <row r="16324">
          <cell r="C16324" t="str">
            <v>王瀚霆</v>
          </cell>
          <cell r="F16324" t="str">
            <v>D240902R1</v>
          </cell>
          <cell r="J16324">
            <v>45862</v>
          </cell>
          <cell r="K16324">
            <v>1</v>
          </cell>
        </row>
        <row r="16325">
          <cell r="C16325" t="str">
            <v>王瀚霆</v>
          </cell>
          <cell r="J16325">
            <v>45863</v>
          </cell>
          <cell r="K16325">
            <v>1</v>
          </cell>
        </row>
        <row r="16326">
          <cell r="C16326" t="str">
            <v>王瀚霆</v>
          </cell>
          <cell r="J16326">
            <v>45863</v>
          </cell>
          <cell r="K16326">
            <v>1</v>
          </cell>
        </row>
        <row r="16327">
          <cell r="C16327" t="str">
            <v>王瀚霆</v>
          </cell>
          <cell r="J16327">
            <v>45863</v>
          </cell>
          <cell r="K16327">
            <v>1.5</v>
          </cell>
        </row>
        <row r="16328">
          <cell r="C16328" t="str">
            <v>王瀚霆</v>
          </cell>
          <cell r="J16328">
            <v>45863</v>
          </cell>
          <cell r="K16328">
            <v>1</v>
          </cell>
        </row>
        <row r="16329">
          <cell r="C16329" t="str">
            <v>王瀚霆</v>
          </cell>
          <cell r="J16329">
            <v>45863</v>
          </cell>
          <cell r="K16329">
            <v>1</v>
          </cell>
        </row>
        <row r="16330">
          <cell r="C16330" t="str">
            <v>王瀚霆</v>
          </cell>
          <cell r="F16330" t="str">
            <v>D240902R1</v>
          </cell>
          <cell r="J16330">
            <v>45863</v>
          </cell>
          <cell r="K16330">
            <v>1</v>
          </cell>
        </row>
        <row r="16331">
          <cell r="C16331" t="str">
            <v>王瀚霆</v>
          </cell>
          <cell r="F16331" t="str">
            <v>D250501R1</v>
          </cell>
          <cell r="J16331">
            <v>45863</v>
          </cell>
          <cell r="K16331">
            <v>1</v>
          </cell>
        </row>
        <row r="16332">
          <cell r="C16332" t="str">
            <v>王瀚霆</v>
          </cell>
          <cell r="F16332" t="str">
            <v>K231101P1</v>
          </cell>
          <cell r="J16332">
            <v>45863</v>
          </cell>
          <cell r="K16332">
            <v>2</v>
          </cell>
        </row>
        <row r="16333">
          <cell r="C16333" t="str">
            <v>王瀚霆</v>
          </cell>
          <cell r="F16333" t="str">
            <v>K240801R2</v>
          </cell>
          <cell r="J16333">
            <v>45866</v>
          </cell>
          <cell r="K16333">
            <v>0.5</v>
          </cell>
        </row>
        <row r="16334">
          <cell r="C16334" t="str">
            <v>王瀚霆</v>
          </cell>
          <cell r="F16334" t="str">
            <v>K231101R1</v>
          </cell>
          <cell r="J16334">
            <v>45866</v>
          </cell>
          <cell r="K16334">
            <v>1</v>
          </cell>
        </row>
        <row r="16335">
          <cell r="C16335" t="str">
            <v>王瀚霆</v>
          </cell>
          <cell r="J16335">
            <v>45866</v>
          </cell>
          <cell r="K16335">
            <v>2.5</v>
          </cell>
        </row>
        <row r="16336">
          <cell r="C16336" t="str">
            <v>王瀚霆</v>
          </cell>
          <cell r="J16336">
            <v>45866</v>
          </cell>
          <cell r="K16336">
            <v>0.5</v>
          </cell>
        </row>
        <row r="16337">
          <cell r="C16337" t="str">
            <v>王瀚霆</v>
          </cell>
          <cell r="F16337" t="str">
            <v>D240902R1</v>
          </cell>
          <cell r="J16337">
            <v>45866</v>
          </cell>
          <cell r="K16337">
            <v>4</v>
          </cell>
        </row>
        <row r="16338">
          <cell r="C16338" t="str">
            <v>王瀚霆</v>
          </cell>
          <cell r="F16338" t="str">
            <v>D250501R1</v>
          </cell>
          <cell r="J16338">
            <v>45866</v>
          </cell>
          <cell r="K16338">
            <v>1</v>
          </cell>
        </row>
        <row r="16339">
          <cell r="C16339" t="str">
            <v>王瀚霆</v>
          </cell>
          <cell r="J16339">
            <v>45867</v>
          </cell>
          <cell r="K16339">
            <v>0.5</v>
          </cell>
        </row>
        <row r="16340">
          <cell r="C16340" t="str">
            <v>王瀚霆</v>
          </cell>
          <cell r="J16340">
            <v>45867</v>
          </cell>
          <cell r="K16340">
            <v>0.5</v>
          </cell>
        </row>
        <row r="16341">
          <cell r="C16341" t="str">
            <v>王瀚霆</v>
          </cell>
          <cell r="J16341">
            <v>45867</v>
          </cell>
          <cell r="K16341">
            <v>0.5</v>
          </cell>
        </row>
        <row r="16342">
          <cell r="C16342" t="str">
            <v>王瀚霆</v>
          </cell>
          <cell r="J16342">
            <v>45867</v>
          </cell>
          <cell r="K16342">
            <v>3.5</v>
          </cell>
        </row>
        <row r="16343">
          <cell r="C16343" t="str">
            <v>王瀚霆</v>
          </cell>
          <cell r="F16343" t="str">
            <v>K240801R2</v>
          </cell>
          <cell r="J16343">
            <v>45867</v>
          </cell>
          <cell r="K16343">
            <v>0.5</v>
          </cell>
        </row>
        <row r="16344">
          <cell r="C16344" t="str">
            <v>王瀚霆</v>
          </cell>
          <cell r="F16344" t="str">
            <v>D250501R1</v>
          </cell>
          <cell r="J16344">
            <v>45867</v>
          </cell>
          <cell r="K16344">
            <v>4</v>
          </cell>
        </row>
        <row r="16345">
          <cell r="C16345" t="str">
            <v>王瀚霆</v>
          </cell>
          <cell r="J16345">
            <v>45868</v>
          </cell>
          <cell r="K16345">
            <v>1</v>
          </cell>
        </row>
        <row r="16346">
          <cell r="C16346" t="str">
            <v>王瀚霆</v>
          </cell>
          <cell r="J16346">
            <v>45868</v>
          </cell>
          <cell r="K16346">
            <v>1</v>
          </cell>
        </row>
        <row r="16347">
          <cell r="C16347" t="str">
            <v>王瀚霆</v>
          </cell>
          <cell r="F16347" t="str">
            <v>D240902R1</v>
          </cell>
          <cell r="J16347">
            <v>45868</v>
          </cell>
          <cell r="K16347">
            <v>3</v>
          </cell>
        </row>
        <row r="16348">
          <cell r="C16348" t="str">
            <v>王瀚霆</v>
          </cell>
          <cell r="F16348" t="str">
            <v>D250501R1</v>
          </cell>
          <cell r="J16348">
            <v>45868</v>
          </cell>
          <cell r="K16348">
            <v>3</v>
          </cell>
        </row>
        <row r="16349">
          <cell r="C16349" t="str">
            <v>王瀚霆</v>
          </cell>
          <cell r="F16349" t="str">
            <v>K240801R2</v>
          </cell>
          <cell r="J16349">
            <v>45868</v>
          </cell>
          <cell r="K16349">
            <v>1.5</v>
          </cell>
        </row>
        <row r="16350">
          <cell r="C16350" t="str">
            <v>王瀚霆</v>
          </cell>
          <cell r="J16350">
            <v>45869</v>
          </cell>
          <cell r="K16350">
            <v>1.5</v>
          </cell>
        </row>
        <row r="16351">
          <cell r="C16351" t="str">
            <v>王瀚霆</v>
          </cell>
          <cell r="J16351">
            <v>45869</v>
          </cell>
          <cell r="K16351">
            <v>2</v>
          </cell>
        </row>
        <row r="16352">
          <cell r="C16352" t="str">
            <v>王瀚霆</v>
          </cell>
          <cell r="J16352">
            <v>45869</v>
          </cell>
          <cell r="K16352">
            <v>4</v>
          </cell>
        </row>
        <row r="16353">
          <cell r="C16353" t="str">
            <v>王瀚霆</v>
          </cell>
          <cell r="F16353" t="str">
            <v>D250501R1</v>
          </cell>
          <cell r="J16353">
            <v>45869</v>
          </cell>
          <cell r="K16353">
            <v>1</v>
          </cell>
        </row>
        <row r="16354">
          <cell r="C16354" t="str">
            <v>王瀚霆</v>
          </cell>
          <cell r="F16354" t="str">
            <v>K231101P1</v>
          </cell>
          <cell r="J16354">
            <v>45869</v>
          </cell>
          <cell r="K16354">
            <v>1</v>
          </cell>
        </row>
        <row r="16355">
          <cell r="C16355" t="str">
            <v>王瀚霆</v>
          </cell>
          <cell r="J16355">
            <v>45870</v>
          </cell>
          <cell r="K16355">
            <v>8</v>
          </cell>
        </row>
        <row r="16356">
          <cell r="C16356" t="str">
            <v>王瀚霆</v>
          </cell>
          <cell r="J16356">
            <v>45873</v>
          </cell>
          <cell r="K16356">
            <v>2</v>
          </cell>
        </row>
        <row r="16357">
          <cell r="C16357" t="str">
            <v>王瀚霆</v>
          </cell>
          <cell r="J16357">
            <v>45873</v>
          </cell>
          <cell r="K16357">
            <v>1.5</v>
          </cell>
        </row>
        <row r="16358">
          <cell r="C16358" t="str">
            <v>王瀚霆</v>
          </cell>
          <cell r="J16358">
            <v>45873</v>
          </cell>
          <cell r="K16358">
            <v>1.5</v>
          </cell>
        </row>
        <row r="16359">
          <cell r="C16359" t="str">
            <v>王瀚霆</v>
          </cell>
          <cell r="J16359">
            <v>45873</v>
          </cell>
          <cell r="K16359">
            <v>3.5</v>
          </cell>
        </row>
        <row r="16360">
          <cell r="C16360" t="str">
            <v>王瀚霆</v>
          </cell>
          <cell r="J16360">
            <v>45873</v>
          </cell>
          <cell r="K16360">
            <v>1</v>
          </cell>
        </row>
        <row r="16361">
          <cell r="C16361" t="str">
            <v>王瀚霆</v>
          </cell>
          <cell r="J16361">
            <v>45874</v>
          </cell>
          <cell r="K16361">
            <v>1.5</v>
          </cell>
        </row>
        <row r="16362">
          <cell r="C16362" t="str">
            <v>王瀚霆</v>
          </cell>
          <cell r="J16362">
            <v>45874</v>
          </cell>
          <cell r="K16362">
            <v>0.5</v>
          </cell>
        </row>
        <row r="16363">
          <cell r="C16363" t="str">
            <v>王瀚霆</v>
          </cell>
          <cell r="J16363">
            <v>45874</v>
          </cell>
          <cell r="K16363">
            <v>1.5</v>
          </cell>
        </row>
        <row r="16364">
          <cell r="C16364" t="str">
            <v>王瀚霆</v>
          </cell>
          <cell r="J16364">
            <v>45874</v>
          </cell>
          <cell r="K16364">
            <v>2</v>
          </cell>
        </row>
        <row r="16365">
          <cell r="C16365" t="str">
            <v>王瀚霆</v>
          </cell>
          <cell r="J16365">
            <v>45874</v>
          </cell>
          <cell r="K16365">
            <v>1</v>
          </cell>
        </row>
        <row r="16366">
          <cell r="C16366" t="str">
            <v>王瀚霆</v>
          </cell>
          <cell r="J16366">
            <v>45874</v>
          </cell>
          <cell r="K16366">
            <v>2</v>
          </cell>
        </row>
        <row r="16367">
          <cell r="C16367" t="str">
            <v>王瀚霆</v>
          </cell>
          <cell r="F16367" t="str">
            <v>D240902R1</v>
          </cell>
          <cell r="J16367">
            <v>45874</v>
          </cell>
          <cell r="K16367">
            <v>1</v>
          </cell>
        </row>
        <row r="16368">
          <cell r="C16368" t="str">
            <v>王瀚霆</v>
          </cell>
          <cell r="F16368" t="str">
            <v>K231101P1</v>
          </cell>
          <cell r="J16368">
            <v>45875</v>
          </cell>
          <cell r="K16368">
            <v>1</v>
          </cell>
        </row>
        <row r="16369">
          <cell r="C16369" t="str">
            <v>王瀚霆</v>
          </cell>
          <cell r="J16369">
            <v>45875</v>
          </cell>
          <cell r="K16369">
            <v>1.5</v>
          </cell>
        </row>
        <row r="16370">
          <cell r="C16370" t="str">
            <v>王瀚霆</v>
          </cell>
          <cell r="J16370">
            <v>45875</v>
          </cell>
          <cell r="K16370">
            <v>1.5</v>
          </cell>
        </row>
        <row r="16371">
          <cell r="C16371" t="str">
            <v>王瀚霆</v>
          </cell>
          <cell r="J16371">
            <v>45875</v>
          </cell>
          <cell r="K16371">
            <v>2</v>
          </cell>
        </row>
        <row r="16372">
          <cell r="C16372" t="str">
            <v>王瀚霆</v>
          </cell>
          <cell r="J16372">
            <v>45875</v>
          </cell>
          <cell r="K16372">
            <v>2.5</v>
          </cell>
        </row>
        <row r="16373">
          <cell r="C16373" t="str">
            <v>王瀚霆</v>
          </cell>
          <cell r="F16373" t="str">
            <v>D240902R1</v>
          </cell>
          <cell r="J16373">
            <v>45875</v>
          </cell>
          <cell r="K16373">
            <v>1</v>
          </cell>
        </row>
        <row r="16374">
          <cell r="C16374" t="str">
            <v>王瀚霆</v>
          </cell>
          <cell r="J16374">
            <v>45876</v>
          </cell>
          <cell r="K16374">
            <v>1</v>
          </cell>
        </row>
        <row r="16375">
          <cell r="C16375" t="str">
            <v>王瀚霆</v>
          </cell>
          <cell r="J16375">
            <v>45876</v>
          </cell>
          <cell r="K16375">
            <v>1</v>
          </cell>
        </row>
        <row r="16376">
          <cell r="C16376" t="str">
            <v>王瀚霆</v>
          </cell>
          <cell r="F16376" t="str">
            <v>D240902R1</v>
          </cell>
          <cell r="J16376">
            <v>45876</v>
          </cell>
          <cell r="K16376">
            <v>4.5</v>
          </cell>
        </row>
        <row r="16377">
          <cell r="C16377" t="str">
            <v>王瀚霆</v>
          </cell>
          <cell r="F16377" t="str">
            <v>K231101P1</v>
          </cell>
          <cell r="J16377">
            <v>45876</v>
          </cell>
          <cell r="K16377">
            <v>3</v>
          </cell>
        </row>
        <row r="16378">
          <cell r="C16378" t="str">
            <v>王瀚霆</v>
          </cell>
          <cell r="J16378">
            <v>45877</v>
          </cell>
          <cell r="K16378">
            <v>1</v>
          </cell>
        </row>
        <row r="16379">
          <cell r="C16379" t="str">
            <v>王瀚霆</v>
          </cell>
          <cell r="F16379" t="str">
            <v>D240902R1</v>
          </cell>
          <cell r="J16379">
            <v>45877</v>
          </cell>
          <cell r="K16379">
            <v>3.5</v>
          </cell>
        </row>
        <row r="16380">
          <cell r="C16380" t="str">
            <v>王瀚霆</v>
          </cell>
          <cell r="F16380" t="str">
            <v>D250501R1</v>
          </cell>
          <cell r="J16380">
            <v>45877</v>
          </cell>
          <cell r="K16380">
            <v>3</v>
          </cell>
        </row>
        <row r="16381">
          <cell r="C16381" t="str">
            <v>王瀚霆</v>
          </cell>
          <cell r="F16381" t="str">
            <v>K231101P1</v>
          </cell>
          <cell r="J16381">
            <v>45877</v>
          </cell>
          <cell r="K16381">
            <v>1</v>
          </cell>
        </row>
        <row r="16382">
          <cell r="C16382" t="str">
            <v>王瀚霆</v>
          </cell>
          <cell r="J16382">
            <v>45880</v>
          </cell>
          <cell r="K16382">
            <v>1</v>
          </cell>
        </row>
        <row r="16383">
          <cell r="C16383" t="str">
            <v>王瀚霆</v>
          </cell>
          <cell r="F16383" t="str">
            <v>M240705R1</v>
          </cell>
          <cell r="J16383">
            <v>45880</v>
          </cell>
          <cell r="K16383">
            <v>1</v>
          </cell>
        </row>
        <row r="16384">
          <cell r="C16384" t="str">
            <v>王瀚霆</v>
          </cell>
          <cell r="F16384" t="str">
            <v>D240902R1</v>
          </cell>
          <cell r="J16384">
            <v>45880</v>
          </cell>
          <cell r="K16384">
            <v>6.5</v>
          </cell>
        </row>
        <row r="16385">
          <cell r="C16385" t="str">
            <v>王瀚霆</v>
          </cell>
          <cell r="F16385" t="str">
            <v>K231101P1</v>
          </cell>
          <cell r="J16385">
            <v>45880</v>
          </cell>
          <cell r="K16385">
            <v>1</v>
          </cell>
        </row>
        <row r="16386">
          <cell r="C16386" t="str">
            <v>王瀚霆</v>
          </cell>
          <cell r="J16386">
            <v>45881</v>
          </cell>
          <cell r="K16386">
            <v>3.5</v>
          </cell>
        </row>
        <row r="16387">
          <cell r="C16387" t="str">
            <v>王瀚霆</v>
          </cell>
          <cell r="J16387">
            <v>45881</v>
          </cell>
          <cell r="K16387">
            <v>1</v>
          </cell>
        </row>
        <row r="16388">
          <cell r="C16388" t="str">
            <v>王瀚霆</v>
          </cell>
          <cell r="F16388" t="str">
            <v>D240902R1</v>
          </cell>
          <cell r="J16388">
            <v>45881</v>
          </cell>
          <cell r="K16388">
            <v>4.5</v>
          </cell>
        </row>
        <row r="16389">
          <cell r="C16389" t="str">
            <v>王瀚霆</v>
          </cell>
          <cell r="F16389" t="str">
            <v>K231101P1</v>
          </cell>
          <cell r="J16389">
            <v>45881</v>
          </cell>
          <cell r="K16389">
            <v>0.5</v>
          </cell>
        </row>
        <row r="16390">
          <cell r="C16390" t="str">
            <v>王瀚霆</v>
          </cell>
          <cell r="J16390">
            <v>45882</v>
          </cell>
          <cell r="K16390">
            <v>1</v>
          </cell>
        </row>
        <row r="16391">
          <cell r="C16391" t="str">
            <v>王瀚霆</v>
          </cell>
          <cell r="F16391" t="str">
            <v>D240902R1</v>
          </cell>
          <cell r="J16391">
            <v>45882</v>
          </cell>
          <cell r="K16391">
            <v>7.5</v>
          </cell>
        </row>
        <row r="16392">
          <cell r="C16392" t="str">
            <v>王瀚霆</v>
          </cell>
          <cell r="F16392" t="str">
            <v>K240801R2</v>
          </cell>
          <cell r="J16392">
            <v>45882</v>
          </cell>
          <cell r="K16392">
            <v>1</v>
          </cell>
        </row>
        <row r="16393">
          <cell r="C16393" t="str">
            <v>王瀚霆</v>
          </cell>
          <cell r="J16393">
            <v>45883</v>
          </cell>
          <cell r="K16393">
            <v>1.5</v>
          </cell>
        </row>
        <row r="16394">
          <cell r="C16394" t="str">
            <v>王瀚霆</v>
          </cell>
          <cell r="J16394">
            <v>45883</v>
          </cell>
          <cell r="K16394">
            <v>2</v>
          </cell>
        </row>
        <row r="16395">
          <cell r="C16395" t="str">
            <v>王瀚霆</v>
          </cell>
          <cell r="J16395">
            <v>45883</v>
          </cell>
          <cell r="K16395">
            <v>1.5</v>
          </cell>
        </row>
        <row r="16396">
          <cell r="C16396" t="str">
            <v>王瀚霆</v>
          </cell>
          <cell r="F16396" t="str">
            <v>D240902R1</v>
          </cell>
          <cell r="J16396">
            <v>45883</v>
          </cell>
          <cell r="K16396">
            <v>4.5</v>
          </cell>
        </row>
        <row r="16397">
          <cell r="C16397" t="str">
            <v>王瀚霆</v>
          </cell>
          <cell r="J16397">
            <v>45884</v>
          </cell>
          <cell r="K16397">
            <v>2.5</v>
          </cell>
        </row>
        <row r="16398">
          <cell r="C16398" t="str">
            <v>王瀚霆</v>
          </cell>
          <cell r="J16398">
            <v>45884</v>
          </cell>
          <cell r="K16398">
            <v>3.5</v>
          </cell>
        </row>
        <row r="16399">
          <cell r="C16399" t="str">
            <v>王瀚霆</v>
          </cell>
          <cell r="F16399" t="str">
            <v>D240902R1</v>
          </cell>
          <cell r="J16399">
            <v>45884</v>
          </cell>
          <cell r="K16399">
            <v>3.5</v>
          </cell>
        </row>
        <row r="16400">
          <cell r="C16400" t="str">
            <v>王瀚霆</v>
          </cell>
          <cell r="F16400" t="str">
            <v>M240704R1</v>
          </cell>
          <cell r="J16400">
            <v>45887</v>
          </cell>
          <cell r="K16400">
            <v>1</v>
          </cell>
        </row>
        <row r="16401">
          <cell r="C16401" t="str">
            <v>王瀚霆</v>
          </cell>
          <cell r="J16401">
            <v>45887</v>
          </cell>
          <cell r="K16401">
            <v>0.5</v>
          </cell>
        </row>
        <row r="16402">
          <cell r="C16402" t="str">
            <v>王瀚霆</v>
          </cell>
          <cell r="F16402" t="str">
            <v>M240804R1</v>
          </cell>
          <cell r="J16402">
            <v>45887</v>
          </cell>
          <cell r="K16402">
            <v>1</v>
          </cell>
        </row>
        <row r="16403">
          <cell r="C16403" t="str">
            <v>王瀚霆</v>
          </cell>
          <cell r="J16403">
            <v>45887</v>
          </cell>
          <cell r="K16403">
            <v>1</v>
          </cell>
        </row>
        <row r="16404">
          <cell r="C16404" t="str">
            <v>王瀚霆</v>
          </cell>
          <cell r="J16404">
            <v>45887</v>
          </cell>
          <cell r="K16404">
            <v>2</v>
          </cell>
        </row>
        <row r="16405">
          <cell r="C16405" t="str">
            <v>王瀚霆</v>
          </cell>
          <cell r="F16405" t="str">
            <v>D240902R1</v>
          </cell>
          <cell r="J16405">
            <v>45887</v>
          </cell>
          <cell r="K16405">
            <v>4</v>
          </cell>
        </row>
        <row r="16406">
          <cell r="C16406" t="str">
            <v>王瀚霆</v>
          </cell>
          <cell r="J16406">
            <v>45888</v>
          </cell>
          <cell r="K16406">
            <v>1</v>
          </cell>
        </row>
        <row r="16407">
          <cell r="C16407" t="str">
            <v>王瀚霆</v>
          </cell>
          <cell r="J16407">
            <v>45888</v>
          </cell>
          <cell r="K16407">
            <v>3.5</v>
          </cell>
        </row>
        <row r="16408">
          <cell r="C16408" t="str">
            <v>王瀚霆</v>
          </cell>
          <cell r="J16408">
            <v>45888</v>
          </cell>
          <cell r="K16408">
            <v>0.5</v>
          </cell>
        </row>
        <row r="16409">
          <cell r="C16409" t="str">
            <v>王瀚霆</v>
          </cell>
          <cell r="F16409" t="str">
            <v>K240801R2</v>
          </cell>
          <cell r="J16409">
            <v>45888</v>
          </cell>
          <cell r="K16409">
            <v>1</v>
          </cell>
        </row>
        <row r="16410">
          <cell r="C16410" t="str">
            <v>王瀚霆</v>
          </cell>
          <cell r="F16410" t="str">
            <v>K231101P1</v>
          </cell>
          <cell r="J16410">
            <v>45888</v>
          </cell>
          <cell r="K16410">
            <v>3.5</v>
          </cell>
        </row>
        <row r="16411">
          <cell r="C16411" t="str">
            <v>王瀚霆</v>
          </cell>
          <cell r="J16411">
            <v>45889</v>
          </cell>
          <cell r="K16411">
            <v>0.5</v>
          </cell>
        </row>
        <row r="16412">
          <cell r="C16412" t="str">
            <v>王瀚霆</v>
          </cell>
          <cell r="F16412" t="str">
            <v>D240902R1</v>
          </cell>
          <cell r="J16412">
            <v>45889</v>
          </cell>
          <cell r="K16412">
            <v>1</v>
          </cell>
        </row>
        <row r="16413">
          <cell r="C16413" t="str">
            <v>王瀚霆</v>
          </cell>
          <cell r="F16413" t="str">
            <v>D250501R1</v>
          </cell>
          <cell r="J16413">
            <v>45889</v>
          </cell>
          <cell r="K16413">
            <v>5</v>
          </cell>
        </row>
        <row r="16414">
          <cell r="C16414" t="str">
            <v>王瀚霆</v>
          </cell>
          <cell r="F16414" t="str">
            <v>K231101P1</v>
          </cell>
          <cell r="J16414">
            <v>45889</v>
          </cell>
          <cell r="K16414">
            <v>3</v>
          </cell>
        </row>
        <row r="16415">
          <cell r="C16415" t="str">
            <v>王瀚霆</v>
          </cell>
          <cell r="J16415">
            <v>45890</v>
          </cell>
          <cell r="K16415">
            <v>1</v>
          </cell>
        </row>
        <row r="16416">
          <cell r="C16416" t="str">
            <v>王瀚霆</v>
          </cell>
          <cell r="J16416">
            <v>45890</v>
          </cell>
          <cell r="K16416">
            <v>1.5</v>
          </cell>
        </row>
        <row r="16417">
          <cell r="C16417" t="str">
            <v>王瀚霆</v>
          </cell>
          <cell r="J16417">
            <v>45890</v>
          </cell>
          <cell r="K16417">
            <v>1</v>
          </cell>
        </row>
        <row r="16418">
          <cell r="C16418" t="str">
            <v>王瀚霆</v>
          </cell>
          <cell r="F16418" t="str">
            <v>M240703R1</v>
          </cell>
          <cell r="J16418">
            <v>45890</v>
          </cell>
          <cell r="K16418">
            <v>1.5</v>
          </cell>
        </row>
        <row r="16419">
          <cell r="C16419" t="str">
            <v>王瀚霆</v>
          </cell>
          <cell r="F16419" t="str">
            <v>D250501R1</v>
          </cell>
          <cell r="J16419">
            <v>45890</v>
          </cell>
          <cell r="K16419">
            <v>3</v>
          </cell>
        </row>
        <row r="16420">
          <cell r="C16420" t="str">
            <v>王瀚霆</v>
          </cell>
          <cell r="F16420" t="str">
            <v>K231101P1</v>
          </cell>
          <cell r="J16420">
            <v>45890</v>
          </cell>
          <cell r="K16420">
            <v>1.5</v>
          </cell>
        </row>
        <row r="16421">
          <cell r="C16421" t="str">
            <v>王瀚霆</v>
          </cell>
          <cell r="J16421">
            <v>45891</v>
          </cell>
          <cell r="K16421">
            <v>2.5</v>
          </cell>
        </row>
        <row r="16422">
          <cell r="C16422" t="str">
            <v>王瀚霆</v>
          </cell>
          <cell r="F16422" t="str">
            <v>D240902R1</v>
          </cell>
          <cell r="J16422">
            <v>45891</v>
          </cell>
          <cell r="K16422">
            <v>1</v>
          </cell>
        </row>
        <row r="16423">
          <cell r="C16423" t="str">
            <v>王瀚霆</v>
          </cell>
          <cell r="F16423" t="str">
            <v>D250501R1</v>
          </cell>
          <cell r="J16423">
            <v>45891</v>
          </cell>
          <cell r="K16423">
            <v>3.5</v>
          </cell>
        </row>
        <row r="16424">
          <cell r="C16424" t="str">
            <v>王瀚霆</v>
          </cell>
          <cell r="F16424" t="str">
            <v>M240704R1</v>
          </cell>
          <cell r="J16424">
            <v>45891</v>
          </cell>
          <cell r="K16424">
            <v>2.5</v>
          </cell>
        </row>
        <row r="16425">
          <cell r="C16425" t="str">
            <v>王瀚霆</v>
          </cell>
          <cell r="F16425" t="str">
            <v>D240902R1</v>
          </cell>
          <cell r="J16425">
            <v>45894</v>
          </cell>
          <cell r="K16425">
            <v>1</v>
          </cell>
        </row>
        <row r="16426">
          <cell r="C16426" t="str">
            <v>王瀚霆</v>
          </cell>
          <cell r="F16426" t="str">
            <v>K231101P1</v>
          </cell>
          <cell r="J16426">
            <v>45894</v>
          </cell>
          <cell r="K16426">
            <v>1.5</v>
          </cell>
        </row>
        <row r="16427">
          <cell r="C16427" t="str">
            <v>王瀚霆</v>
          </cell>
          <cell r="J16427">
            <v>45894</v>
          </cell>
          <cell r="K16427">
            <v>7</v>
          </cell>
        </row>
        <row r="16428">
          <cell r="C16428" t="str">
            <v>王瀚霆</v>
          </cell>
          <cell r="J16428">
            <v>45895</v>
          </cell>
          <cell r="K16428">
            <v>1.5</v>
          </cell>
        </row>
        <row r="16429">
          <cell r="C16429" t="str">
            <v>王瀚霆</v>
          </cell>
          <cell r="J16429">
            <v>45895</v>
          </cell>
          <cell r="K16429">
            <v>2.5</v>
          </cell>
        </row>
        <row r="16430">
          <cell r="C16430" t="str">
            <v>王瀚霆</v>
          </cell>
          <cell r="F16430" t="str">
            <v>D250501R1</v>
          </cell>
          <cell r="J16430">
            <v>45895</v>
          </cell>
          <cell r="K16430">
            <v>4</v>
          </cell>
        </row>
        <row r="16431">
          <cell r="C16431" t="str">
            <v>王瀚霆</v>
          </cell>
          <cell r="F16431" t="str">
            <v>M240704R1</v>
          </cell>
          <cell r="J16431">
            <v>45895</v>
          </cell>
          <cell r="K16431">
            <v>1.5</v>
          </cell>
        </row>
        <row r="16432">
          <cell r="C16432" t="str">
            <v>王瀚霆</v>
          </cell>
          <cell r="J16432">
            <v>45896</v>
          </cell>
          <cell r="K16432">
            <v>2</v>
          </cell>
        </row>
        <row r="16433">
          <cell r="C16433" t="str">
            <v>王瀚霆</v>
          </cell>
          <cell r="J16433">
            <v>45896</v>
          </cell>
          <cell r="K16433">
            <v>1</v>
          </cell>
        </row>
        <row r="16434">
          <cell r="C16434" t="str">
            <v>王瀚霆</v>
          </cell>
          <cell r="F16434" t="str">
            <v>D240902R1</v>
          </cell>
          <cell r="J16434">
            <v>45896</v>
          </cell>
          <cell r="K16434">
            <v>1.5</v>
          </cell>
        </row>
        <row r="16435">
          <cell r="C16435" t="str">
            <v>王瀚霆</v>
          </cell>
          <cell r="F16435" t="str">
            <v>D250501R1</v>
          </cell>
          <cell r="J16435">
            <v>45896</v>
          </cell>
          <cell r="K16435">
            <v>3.5</v>
          </cell>
        </row>
        <row r="16436">
          <cell r="C16436" t="str">
            <v>王瀚霆</v>
          </cell>
          <cell r="F16436" t="str">
            <v>K231101P1</v>
          </cell>
          <cell r="J16436">
            <v>45896</v>
          </cell>
          <cell r="K16436">
            <v>1</v>
          </cell>
        </row>
        <row r="16437">
          <cell r="C16437" t="str">
            <v>王瀚霆</v>
          </cell>
          <cell r="F16437" t="str">
            <v>M240704R1</v>
          </cell>
          <cell r="J16437">
            <v>45896</v>
          </cell>
          <cell r="K16437">
            <v>0.5</v>
          </cell>
        </row>
        <row r="16438">
          <cell r="C16438" t="str">
            <v>王瀚霆</v>
          </cell>
          <cell r="J16438">
            <v>45897</v>
          </cell>
          <cell r="K16438">
            <v>1.5</v>
          </cell>
        </row>
        <row r="16439">
          <cell r="C16439" t="str">
            <v>王瀚霆</v>
          </cell>
          <cell r="J16439">
            <v>45897</v>
          </cell>
          <cell r="K16439">
            <v>1</v>
          </cell>
        </row>
        <row r="16440">
          <cell r="C16440" t="str">
            <v>王瀚霆</v>
          </cell>
          <cell r="F16440" t="str">
            <v>K241001R1</v>
          </cell>
          <cell r="J16440">
            <v>45897</v>
          </cell>
          <cell r="K16440">
            <v>1</v>
          </cell>
        </row>
        <row r="16441">
          <cell r="C16441" t="str">
            <v>王瀚霆</v>
          </cell>
          <cell r="F16441" t="str">
            <v>D250501R1</v>
          </cell>
          <cell r="J16441">
            <v>45897</v>
          </cell>
          <cell r="K16441">
            <v>4.5</v>
          </cell>
        </row>
        <row r="16442">
          <cell r="C16442" t="str">
            <v>王瀚霆</v>
          </cell>
          <cell r="J16442">
            <v>45898</v>
          </cell>
          <cell r="K16442">
            <v>1</v>
          </cell>
        </row>
        <row r="16443">
          <cell r="C16443" t="str">
            <v>王瀚霆</v>
          </cell>
          <cell r="J16443">
            <v>45898</v>
          </cell>
          <cell r="K16443">
            <v>4.5</v>
          </cell>
        </row>
        <row r="16444">
          <cell r="C16444" t="str">
            <v>王瀚霆</v>
          </cell>
          <cell r="F16444" t="str">
            <v>D250501R1</v>
          </cell>
          <cell r="J16444">
            <v>45898</v>
          </cell>
          <cell r="K16444">
            <v>2.5</v>
          </cell>
        </row>
        <row r="16445">
          <cell r="C16445" t="str">
            <v>王瀚霆</v>
          </cell>
          <cell r="F16445" t="str">
            <v>K231101P1</v>
          </cell>
          <cell r="J16445">
            <v>45901</v>
          </cell>
          <cell r="K16445">
            <v>1</v>
          </cell>
        </row>
        <row r="16446">
          <cell r="C16446" t="str">
            <v>王瀚霆</v>
          </cell>
          <cell r="F16446" t="str">
            <v>K250501R1</v>
          </cell>
          <cell r="J16446">
            <v>45901</v>
          </cell>
          <cell r="K16446">
            <v>1.5</v>
          </cell>
        </row>
        <row r="16447">
          <cell r="C16447" t="str">
            <v>王瀚霆</v>
          </cell>
          <cell r="F16447" t="str">
            <v>D240902R1</v>
          </cell>
          <cell r="J16447">
            <v>45901</v>
          </cell>
          <cell r="K16447">
            <v>0.5</v>
          </cell>
        </row>
        <row r="16448">
          <cell r="C16448" t="str">
            <v>王瀚霆</v>
          </cell>
          <cell r="F16448" t="str">
            <v>K241001R1</v>
          </cell>
          <cell r="J16448">
            <v>45901</v>
          </cell>
          <cell r="K16448">
            <v>1.5</v>
          </cell>
        </row>
        <row r="16449">
          <cell r="C16449" t="str">
            <v>王瀚霆</v>
          </cell>
          <cell r="J16449">
            <v>45901</v>
          </cell>
          <cell r="K16449">
            <v>0.5</v>
          </cell>
        </row>
        <row r="16450">
          <cell r="C16450" t="str">
            <v>王瀚霆</v>
          </cell>
          <cell r="F16450" t="str">
            <v>M240704R1</v>
          </cell>
          <cell r="J16450">
            <v>45901</v>
          </cell>
          <cell r="K16450">
            <v>1.5</v>
          </cell>
        </row>
        <row r="16451">
          <cell r="C16451" t="str">
            <v>王瀚霆</v>
          </cell>
          <cell r="F16451" t="str">
            <v>D250501R1</v>
          </cell>
          <cell r="J16451">
            <v>45901</v>
          </cell>
          <cell r="K16451">
            <v>1.5</v>
          </cell>
        </row>
        <row r="16452">
          <cell r="C16452" t="str">
            <v>王瀚霆</v>
          </cell>
          <cell r="F16452" t="str">
            <v>K231101P1</v>
          </cell>
          <cell r="J16452">
            <v>45901</v>
          </cell>
          <cell r="K16452">
            <v>1.5</v>
          </cell>
        </row>
        <row r="16453">
          <cell r="C16453" t="str">
            <v>王瀚霆</v>
          </cell>
          <cell r="J16453">
            <v>45902</v>
          </cell>
          <cell r="K16453">
            <v>1</v>
          </cell>
        </row>
        <row r="16454">
          <cell r="C16454" t="str">
            <v>王瀚霆</v>
          </cell>
          <cell r="F16454" t="str">
            <v>M240704R1</v>
          </cell>
          <cell r="J16454">
            <v>45902</v>
          </cell>
          <cell r="K16454">
            <v>1.5</v>
          </cell>
        </row>
        <row r="16455">
          <cell r="C16455" t="str">
            <v>王瀚霆</v>
          </cell>
          <cell r="F16455" t="str">
            <v>D240902R1</v>
          </cell>
          <cell r="J16455">
            <v>45902</v>
          </cell>
          <cell r="K16455">
            <v>2</v>
          </cell>
        </row>
        <row r="16456">
          <cell r="C16456" t="str">
            <v>王瀚霆</v>
          </cell>
          <cell r="F16456" t="str">
            <v>D240902R1</v>
          </cell>
          <cell r="J16456">
            <v>45902</v>
          </cell>
          <cell r="K16456">
            <v>1.5</v>
          </cell>
        </row>
        <row r="16457">
          <cell r="C16457" t="str">
            <v>王瀚霆</v>
          </cell>
          <cell r="F16457" t="str">
            <v>K231101P1</v>
          </cell>
          <cell r="J16457">
            <v>45902</v>
          </cell>
          <cell r="K16457">
            <v>2</v>
          </cell>
        </row>
        <row r="16458">
          <cell r="C16458" t="str">
            <v>王瀚霆</v>
          </cell>
          <cell r="F16458" t="str">
            <v>D240902R1</v>
          </cell>
          <cell r="J16458">
            <v>45903</v>
          </cell>
          <cell r="K16458">
            <v>0.5</v>
          </cell>
        </row>
        <row r="16459">
          <cell r="C16459" t="str">
            <v>王瀚霆</v>
          </cell>
          <cell r="F16459" t="str">
            <v>K241001R1</v>
          </cell>
          <cell r="J16459">
            <v>45903</v>
          </cell>
          <cell r="K16459">
            <v>1.5</v>
          </cell>
        </row>
        <row r="16460">
          <cell r="C16460" t="str">
            <v>王瀚霆</v>
          </cell>
          <cell r="F16460" t="str">
            <v>M240704R1</v>
          </cell>
          <cell r="J16460">
            <v>45903</v>
          </cell>
          <cell r="K16460">
            <v>7.5</v>
          </cell>
        </row>
        <row r="16461">
          <cell r="C16461" t="str">
            <v>王瀚霆</v>
          </cell>
          <cell r="J16461">
            <v>45904</v>
          </cell>
          <cell r="K16461">
            <v>2</v>
          </cell>
        </row>
        <row r="16462">
          <cell r="C16462" t="str">
            <v>王瀚霆</v>
          </cell>
          <cell r="J16462">
            <v>45904</v>
          </cell>
          <cell r="K16462">
            <v>3.5</v>
          </cell>
        </row>
        <row r="16463">
          <cell r="C16463" t="str">
            <v>王瀚霆</v>
          </cell>
          <cell r="J16463">
            <v>45904</v>
          </cell>
          <cell r="K16463">
            <v>1.5</v>
          </cell>
        </row>
        <row r="16464">
          <cell r="C16464" t="str">
            <v>王瀚霆</v>
          </cell>
          <cell r="F16464" t="str">
            <v>K241001R1</v>
          </cell>
          <cell r="J16464">
            <v>45904</v>
          </cell>
          <cell r="K16464">
            <v>1.5</v>
          </cell>
        </row>
        <row r="16465">
          <cell r="C16465" t="str">
            <v>王瀚霆</v>
          </cell>
          <cell r="F16465" t="str">
            <v>M240704R1</v>
          </cell>
          <cell r="J16465">
            <v>45904</v>
          </cell>
          <cell r="K16465">
            <v>1</v>
          </cell>
        </row>
        <row r="16466">
          <cell r="C16466" t="str">
            <v>王瀚霆</v>
          </cell>
          <cell r="J16466">
            <v>45905</v>
          </cell>
          <cell r="K16466">
            <v>3</v>
          </cell>
        </row>
        <row r="16467">
          <cell r="C16467" t="str">
            <v>王瀚霆</v>
          </cell>
          <cell r="F16467" t="str">
            <v>M240704R1</v>
          </cell>
          <cell r="J16467">
            <v>45905</v>
          </cell>
          <cell r="K16467">
            <v>5.5</v>
          </cell>
        </row>
        <row r="16468">
          <cell r="C16468" t="str">
            <v>王瀚霆</v>
          </cell>
          <cell r="F16468" t="str">
            <v>D250501R1</v>
          </cell>
          <cell r="J16468">
            <v>45905</v>
          </cell>
          <cell r="K16468">
            <v>1</v>
          </cell>
        </row>
        <row r="16469">
          <cell r="C16469" t="str">
            <v>王瀚霆</v>
          </cell>
          <cell r="F16469" t="str">
            <v>M240704R1</v>
          </cell>
          <cell r="J16469">
            <v>45908</v>
          </cell>
          <cell r="K16469">
            <v>1.5</v>
          </cell>
        </row>
        <row r="16470">
          <cell r="C16470" t="str">
            <v>王瀚霆</v>
          </cell>
          <cell r="J16470">
            <v>45908</v>
          </cell>
          <cell r="K16470">
            <v>0.5</v>
          </cell>
        </row>
        <row r="16471">
          <cell r="C16471" t="str">
            <v>王瀚霆</v>
          </cell>
          <cell r="F16471" t="str">
            <v>D250501R1</v>
          </cell>
          <cell r="J16471">
            <v>45908</v>
          </cell>
          <cell r="K16471">
            <v>2</v>
          </cell>
        </row>
        <row r="16472">
          <cell r="C16472" t="str">
            <v>王瀚霆</v>
          </cell>
          <cell r="F16472" t="str">
            <v>M240704R1</v>
          </cell>
          <cell r="J16472">
            <v>45908</v>
          </cell>
          <cell r="K16472">
            <v>1.5</v>
          </cell>
        </row>
        <row r="16473">
          <cell r="C16473" t="str">
            <v>王瀚霆</v>
          </cell>
          <cell r="F16473" t="str">
            <v>D240902R1</v>
          </cell>
          <cell r="J16473">
            <v>45908</v>
          </cell>
          <cell r="K16473">
            <v>4</v>
          </cell>
        </row>
        <row r="16474">
          <cell r="C16474" t="str">
            <v>王瀚霆</v>
          </cell>
          <cell r="F16474" t="str">
            <v>D240902R1</v>
          </cell>
          <cell r="J16474">
            <v>45909</v>
          </cell>
          <cell r="K16474">
            <v>9.5</v>
          </cell>
        </row>
        <row r="16475">
          <cell r="C16475" t="str">
            <v>王瀚霆</v>
          </cell>
          <cell r="J16475">
            <v>45910</v>
          </cell>
          <cell r="K16475">
            <v>1</v>
          </cell>
        </row>
        <row r="16476">
          <cell r="C16476" t="str">
            <v>王瀚霆</v>
          </cell>
          <cell r="J16476">
            <v>45910</v>
          </cell>
          <cell r="K16476">
            <v>1.5</v>
          </cell>
        </row>
        <row r="16477">
          <cell r="C16477" t="str">
            <v>王瀚霆</v>
          </cell>
          <cell r="J16477">
            <v>45910</v>
          </cell>
          <cell r="K16477">
            <v>2</v>
          </cell>
        </row>
        <row r="16478">
          <cell r="C16478" t="str">
            <v>王瀚霆</v>
          </cell>
          <cell r="F16478" t="str">
            <v>D240902R1</v>
          </cell>
          <cell r="J16478">
            <v>45910</v>
          </cell>
          <cell r="K16478">
            <v>4</v>
          </cell>
        </row>
        <row r="16479">
          <cell r="C16479" t="str">
            <v>王瀚霆</v>
          </cell>
          <cell r="F16479" t="str">
            <v>D250501R1</v>
          </cell>
          <cell r="J16479">
            <v>45910</v>
          </cell>
          <cell r="K16479">
            <v>1</v>
          </cell>
        </row>
        <row r="16480">
          <cell r="C16480" t="str">
            <v>王瀚霆</v>
          </cell>
          <cell r="J16480">
            <v>45911</v>
          </cell>
          <cell r="K16480">
            <v>8</v>
          </cell>
        </row>
        <row r="16481">
          <cell r="C16481" t="str">
            <v>王瀚霆</v>
          </cell>
          <cell r="J16481">
            <v>45912</v>
          </cell>
          <cell r="K16481">
            <v>8</v>
          </cell>
        </row>
        <row r="16482">
          <cell r="C16482" t="str">
            <v>王瀚霆</v>
          </cell>
          <cell r="J16482">
            <v>45915</v>
          </cell>
          <cell r="K16482">
            <v>2</v>
          </cell>
        </row>
        <row r="16483">
          <cell r="C16483" t="str">
            <v>王瀚霆</v>
          </cell>
          <cell r="F16483" t="str">
            <v>D240902R1</v>
          </cell>
          <cell r="J16483">
            <v>45915</v>
          </cell>
          <cell r="K16483">
            <v>3.5</v>
          </cell>
        </row>
        <row r="16484">
          <cell r="C16484" t="str">
            <v>王瀚霆</v>
          </cell>
          <cell r="F16484" t="str">
            <v>K231101P1</v>
          </cell>
          <cell r="J16484">
            <v>45915</v>
          </cell>
          <cell r="K16484">
            <v>2</v>
          </cell>
        </row>
        <row r="16485">
          <cell r="C16485" t="str">
            <v>王瀚霆</v>
          </cell>
          <cell r="F16485" t="str">
            <v>D250101R1</v>
          </cell>
          <cell r="J16485">
            <v>45915</v>
          </cell>
          <cell r="K16485">
            <v>2</v>
          </cell>
        </row>
        <row r="16486">
          <cell r="C16486" t="str">
            <v>王瀚霆</v>
          </cell>
          <cell r="J16486">
            <v>45916</v>
          </cell>
          <cell r="K16486">
            <v>1.5</v>
          </cell>
        </row>
        <row r="16487">
          <cell r="C16487" t="str">
            <v>王瀚霆</v>
          </cell>
          <cell r="F16487" t="str">
            <v>M240704R1</v>
          </cell>
          <cell r="J16487">
            <v>45916</v>
          </cell>
          <cell r="K16487">
            <v>4</v>
          </cell>
        </row>
        <row r="16488">
          <cell r="C16488" t="str">
            <v>王瀚霆</v>
          </cell>
          <cell r="F16488" t="str">
            <v>D250501R1</v>
          </cell>
          <cell r="J16488">
            <v>45916</v>
          </cell>
          <cell r="K16488">
            <v>4</v>
          </cell>
        </row>
        <row r="16489">
          <cell r="C16489" t="str">
            <v>王瀚霆</v>
          </cell>
          <cell r="J16489">
            <v>45917</v>
          </cell>
          <cell r="K16489">
            <v>2</v>
          </cell>
        </row>
        <row r="16490">
          <cell r="C16490" t="str">
            <v>王瀚霆</v>
          </cell>
          <cell r="F16490" t="str">
            <v>M240704R1</v>
          </cell>
          <cell r="J16490">
            <v>45917</v>
          </cell>
          <cell r="K16490">
            <v>2</v>
          </cell>
        </row>
        <row r="16491">
          <cell r="C16491" t="str">
            <v>王瀚霆</v>
          </cell>
          <cell r="F16491" t="str">
            <v>D240902R1</v>
          </cell>
          <cell r="J16491">
            <v>45917</v>
          </cell>
          <cell r="K16491">
            <v>1</v>
          </cell>
        </row>
        <row r="16492">
          <cell r="C16492" t="str">
            <v>王瀚霆</v>
          </cell>
          <cell r="F16492" t="str">
            <v>D250501R1</v>
          </cell>
          <cell r="J16492">
            <v>45917</v>
          </cell>
          <cell r="K16492">
            <v>4</v>
          </cell>
        </row>
        <row r="16493">
          <cell r="C16493" t="str">
            <v>王瀚霆</v>
          </cell>
          <cell r="F16493" t="str">
            <v>K231101R1</v>
          </cell>
          <cell r="J16493">
            <v>45917</v>
          </cell>
          <cell r="K16493">
            <v>0.5</v>
          </cell>
        </row>
        <row r="16494">
          <cell r="C16494" t="str">
            <v>王瀚霆</v>
          </cell>
          <cell r="J16494">
            <v>45918</v>
          </cell>
          <cell r="K16494">
            <v>1</v>
          </cell>
        </row>
        <row r="16495">
          <cell r="C16495" t="str">
            <v>王瀚霆</v>
          </cell>
          <cell r="J16495">
            <v>45918</v>
          </cell>
          <cell r="K16495">
            <v>5.5</v>
          </cell>
        </row>
        <row r="16496">
          <cell r="C16496" t="str">
            <v>王瀚霆</v>
          </cell>
          <cell r="F16496" t="str">
            <v>D240902R1</v>
          </cell>
          <cell r="J16496">
            <v>45918</v>
          </cell>
          <cell r="K16496">
            <v>0.5</v>
          </cell>
        </row>
        <row r="16497">
          <cell r="C16497" t="str">
            <v>王瀚霆</v>
          </cell>
          <cell r="F16497" t="str">
            <v>K231101P1</v>
          </cell>
          <cell r="J16497">
            <v>45918</v>
          </cell>
          <cell r="K16497">
            <v>1</v>
          </cell>
        </row>
        <row r="16498">
          <cell r="C16498" t="str">
            <v>王瀚霆</v>
          </cell>
          <cell r="J16498">
            <v>45919</v>
          </cell>
          <cell r="K16498">
            <v>2.5</v>
          </cell>
        </row>
        <row r="16499">
          <cell r="C16499" t="str">
            <v>王瀚霆</v>
          </cell>
          <cell r="F16499" t="str">
            <v>D250501R1</v>
          </cell>
          <cell r="J16499">
            <v>45919</v>
          </cell>
          <cell r="K16499">
            <v>2.5</v>
          </cell>
        </row>
        <row r="16500">
          <cell r="C16500" t="str">
            <v>王瀚霆</v>
          </cell>
          <cell r="F16500" t="str">
            <v>D240902R1</v>
          </cell>
          <cell r="J16500">
            <v>45919</v>
          </cell>
          <cell r="K16500">
            <v>3.5</v>
          </cell>
        </row>
        <row r="16501">
          <cell r="C16501" t="str">
            <v>王瀚霆</v>
          </cell>
          <cell r="F16501" t="str">
            <v>D250101R1</v>
          </cell>
          <cell r="J16501">
            <v>45919</v>
          </cell>
          <cell r="K16501">
            <v>1</v>
          </cell>
        </row>
        <row r="16502">
          <cell r="C16502" t="str">
            <v>王瀚霆</v>
          </cell>
          <cell r="F16502" t="str">
            <v>D250501R1</v>
          </cell>
          <cell r="J16502">
            <v>45922</v>
          </cell>
          <cell r="K16502">
            <v>1</v>
          </cell>
        </row>
        <row r="16503">
          <cell r="C16503" t="str">
            <v>王瀚霆</v>
          </cell>
          <cell r="F16503" t="str">
            <v>M240704R1</v>
          </cell>
          <cell r="J16503">
            <v>45922</v>
          </cell>
          <cell r="K16503">
            <v>0.5</v>
          </cell>
        </row>
        <row r="16504">
          <cell r="C16504" t="str">
            <v>王瀚霆</v>
          </cell>
          <cell r="F16504" t="str">
            <v>D240902R1</v>
          </cell>
          <cell r="J16504">
            <v>45922</v>
          </cell>
          <cell r="K16504">
            <v>3.5</v>
          </cell>
        </row>
        <row r="16505">
          <cell r="C16505" t="str">
            <v>王瀚霆</v>
          </cell>
          <cell r="F16505" t="str">
            <v>D250101R1</v>
          </cell>
          <cell r="J16505">
            <v>45922</v>
          </cell>
          <cell r="K16505">
            <v>4.5</v>
          </cell>
        </row>
        <row r="16506">
          <cell r="C16506" t="str">
            <v>王瀚霆</v>
          </cell>
          <cell r="J16506">
            <v>45923</v>
          </cell>
          <cell r="K16506">
            <v>4</v>
          </cell>
        </row>
        <row r="16507">
          <cell r="C16507" t="str">
            <v>王瀚霆</v>
          </cell>
          <cell r="J16507">
            <v>45923</v>
          </cell>
          <cell r="K16507">
            <v>2</v>
          </cell>
        </row>
        <row r="16508">
          <cell r="C16508" t="str">
            <v>王瀚霆</v>
          </cell>
          <cell r="F16508" t="str">
            <v>M240703R1</v>
          </cell>
          <cell r="J16508">
            <v>45923</v>
          </cell>
          <cell r="K16508">
            <v>1.5</v>
          </cell>
        </row>
        <row r="16509">
          <cell r="C16509" t="str">
            <v>王瀚霆</v>
          </cell>
          <cell r="F16509" t="str">
            <v>D250501R1</v>
          </cell>
          <cell r="J16509">
            <v>45923</v>
          </cell>
          <cell r="K16509">
            <v>1.5</v>
          </cell>
        </row>
        <row r="16510">
          <cell r="C16510" t="str">
            <v>王瀚霆</v>
          </cell>
          <cell r="F16510" t="str">
            <v>D250101R1</v>
          </cell>
          <cell r="J16510">
            <v>45923</v>
          </cell>
          <cell r="K16510">
            <v>0.5</v>
          </cell>
        </row>
        <row r="16511">
          <cell r="C16511" t="str">
            <v>王瀚霆</v>
          </cell>
          <cell r="J16511">
            <v>45924</v>
          </cell>
          <cell r="K16511">
            <v>1.5</v>
          </cell>
        </row>
        <row r="16512">
          <cell r="C16512" t="str">
            <v>王瀚霆</v>
          </cell>
          <cell r="F16512" t="str">
            <v>D240902R1</v>
          </cell>
          <cell r="J16512">
            <v>45924</v>
          </cell>
          <cell r="K16512">
            <v>8</v>
          </cell>
        </row>
        <row r="16513">
          <cell r="C16513" t="str">
            <v>王瀚霆</v>
          </cell>
          <cell r="J16513">
            <v>45925</v>
          </cell>
          <cell r="K16513">
            <v>2</v>
          </cell>
        </row>
        <row r="16514">
          <cell r="C16514" t="str">
            <v>王瀚霆</v>
          </cell>
          <cell r="J16514">
            <v>45925</v>
          </cell>
          <cell r="K16514">
            <v>1</v>
          </cell>
        </row>
        <row r="16515">
          <cell r="C16515" t="str">
            <v>王瀚霆</v>
          </cell>
          <cell r="F16515" t="str">
            <v>M240703R1</v>
          </cell>
          <cell r="J16515">
            <v>45925</v>
          </cell>
          <cell r="K16515">
            <v>2</v>
          </cell>
        </row>
        <row r="16516">
          <cell r="C16516" t="str">
            <v>王瀚霆</v>
          </cell>
          <cell r="F16516" t="str">
            <v>D240902R1</v>
          </cell>
          <cell r="J16516">
            <v>45925</v>
          </cell>
          <cell r="K16516">
            <v>4.5</v>
          </cell>
        </row>
        <row r="16517">
          <cell r="C16517" t="str">
            <v>王瀚霆</v>
          </cell>
          <cell r="J16517">
            <v>45926</v>
          </cell>
          <cell r="K16517">
            <v>4.5</v>
          </cell>
        </row>
        <row r="16518">
          <cell r="C16518" t="str">
            <v>王瀚霆</v>
          </cell>
          <cell r="F16518" t="str">
            <v>D240902R1</v>
          </cell>
          <cell r="J16518">
            <v>45926</v>
          </cell>
          <cell r="K16518">
            <v>3.5</v>
          </cell>
        </row>
        <row r="16519">
          <cell r="C16519" t="str">
            <v>王瀚霆</v>
          </cell>
          <cell r="J16519">
            <v>45930</v>
          </cell>
          <cell r="K16519">
            <v>1.5</v>
          </cell>
        </row>
        <row r="16520">
          <cell r="C16520" t="str">
            <v>王瀚霆</v>
          </cell>
          <cell r="F16520" t="str">
            <v>M240703R1</v>
          </cell>
          <cell r="J16520">
            <v>45930</v>
          </cell>
          <cell r="K16520">
            <v>1</v>
          </cell>
        </row>
        <row r="16521">
          <cell r="C16521" t="str">
            <v>王瀚霆</v>
          </cell>
          <cell r="F16521" t="str">
            <v>D240902R1</v>
          </cell>
          <cell r="J16521">
            <v>45930</v>
          </cell>
          <cell r="K16521">
            <v>7</v>
          </cell>
        </row>
        <row r="16522">
          <cell r="C16522" t="str">
            <v>王瀚霆</v>
          </cell>
          <cell r="F16522" t="str">
            <v>D240902R1</v>
          </cell>
          <cell r="J16522">
            <v>45931</v>
          </cell>
          <cell r="K16522">
            <v>6</v>
          </cell>
        </row>
        <row r="16523">
          <cell r="C16523" t="str">
            <v>王瀚霆</v>
          </cell>
          <cell r="F16523" t="str">
            <v>K231101P1</v>
          </cell>
          <cell r="J16523">
            <v>45931</v>
          </cell>
          <cell r="K16523">
            <v>3.5</v>
          </cell>
        </row>
        <row r="16524">
          <cell r="C16524" t="str">
            <v>王瀚霆</v>
          </cell>
          <cell r="J16524">
            <v>45932</v>
          </cell>
          <cell r="K16524">
            <v>8</v>
          </cell>
        </row>
        <row r="16525">
          <cell r="C16525" t="str">
            <v>王瀚霆</v>
          </cell>
          <cell r="J16525">
            <v>45933</v>
          </cell>
          <cell r="K16525">
            <v>1</v>
          </cell>
        </row>
        <row r="16526">
          <cell r="C16526" t="str">
            <v>王瀚霆</v>
          </cell>
          <cell r="J16526">
            <v>45933</v>
          </cell>
          <cell r="K16526">
            <v>1</v>
          </cell>
        </row>
        <row r="16527">
          <cell r="C16527" t="str">
            <v>王瀚霆</v>
          </cell>
          <cell r="F16527" t="str">
            <v>M240703R1</v>
          </cell>
          <cell r="J16527">
            <v>45933</v>
          </cell>
          <cell r="K16527">
            <v>2</v>
          </cell>
        </row>
        <row r="16528">
          <cell r="C16528" t="str">
            <v>王瀚霆</v>
          </cell>
          <cell r="F16528" t="str">
            <v>D240902R1</v>
          </cell>
          <cell r="J16528">
            <v>45933</v>
          </cell>
          <cell r="K16528">
            <v>2</v>
          </cell>
        </row>
        <row r="16529">
          <cell r="C16529" t="str">
            <v>王瀚霆</v>
          </cell>
          <cell r="F16529" t="str">
            <v>M250301C1</v>
          </cell>
          <cell r="J16529">
            <v>45933</v>
          </cell>
          <cell r="K16529">
            <v>1</v>
          </cell>
        </row>
        <row r="16530">
          <cell r="C16530" t="str">
            <v>王瀚霆</v>
          </cell>
          <cell r="F16530" t="str">
            <v>D250101R1</v>
          </cell>
          <cell r="J16530">
            <v>45933</v>
          </cell>
          <cell r="K16530">
            <v>1</v>
          </cell>
        </row>
        <row r="16531">
          <cell r="C16531" t="str">
            <v>王瀚霆</v>
          </cell>
          <cell r="J16531">
            <v>45937</v>
          </cell>
          <cell r="K16531">
            <v>1</v>
          </cell>
        </row>
        <row r="16532">
          <cell r="C16532" t="str">
            <v>王瀚霆</v>
          </cell>
          <cell r="F16532" t="str">
            <v>D240902R1</v>
          </cell>
          <cell r="J16532">
            <v>45937</v>
          </cell>
          <cell r="K16532">
            <v>5.5</v>
          </cell>
        </row>
        <row r="16533">
          <cell r="C16533" t="str">
            <v>王瀚霆</v>
          </cell>
          <cell r="F16533" t="str">
            <v>D250101R1</v>
          </cell>
          <cell r="J16533">
            <v>45937</v>
          </cell>
          <cell r="K16533">
            <v>0.5</v>
          </cell>
        </row>
        <row r="16534">
          <cell r="C16534" t="str">
            <v>王瀚霆</v>
          </cell>
          <cell r="F16534" t="str">
            <v>K240801R2</v>
          </cell>
          <cell r="J16534">
            <v>45937</v>
          </cell>
          <cell r="K16534">
            <v>2.5</v>
          </cell>
        </row>
        <row r="16535">
          <cell r="C16535" t="str">
            <v>王瀚霆</v>
          </cell>
          <cell r="J16535">
            <v>45938</v>
          </cell>
          <cell r="K16535">
            <v>3.5</v>
          </cell>
        </row>
        <row r="16536">
          <cell r="C16536" t="str">
            <v>王瀚霆</v>
          </cell>
          <cell r="F16536" t="str">
            <v>M250201C1</v>
          </cell>
          <cell r="J16536">
            <v>45938</v>
          </cell>
          <cell r="K16536">
            <v>3</v>
          </cell>
        </row>
        <row r="16537">
          <cell r="C16537" t="str">
            <v>王瀚霆</v>
          </cell>
          <cell r="F16537" t="str">
            <v>K251001R1</v>
          </cell>
          <cell r="J16537">
            <v>45938</v>
          </cell>
          <cell r="K16537">
            <v>1.5</v>
          </cell>
        </row>
        <row r="16538">
          <cell r="C16538" t="str">
            <v>王瀚霆</v>
          </cell>
          <cell r="F16538" t="str">
            <v>M240703R1</v>
          </cell>
          <cell r="J16538">
            <v>45938</v>
          </cell>
          <cell r="K16538">
            <v>1</v>
          </cell>
        </row>
        <row r="16539">
          <cell r="C16539" t="str">
            <v>王瀚霆</v>
          </cell>
          <cell r="F16539" t="str">
            <v>D240902R1</v>
          </cell>
          <cell r="J16539">
            <v>45938</v>
          </cell>
          <cell r="K16539">
            <v>0.5</v>
          </cell>
        </row>
        <row r="16540">
          <cell r="C16540" t="str">
            <v>王瀚霆</v>
          </cell>
          <cell r="J16540">
            <v>45939</v>
          </cell>
          <cell r="K16540">
            <v>2</v>
          </cell>
        </row>
        <row r="16541">
          <cell r="C16541" t="str">
            <v>王瀚霆</v>
          </cell>
          <cell r="J16541">
            <v>45939</v>
          </cell>
          <cell r="K16541">
            <v>0.5</v>
          </cell>
        </row>
        <row r="16542">
          <cell r="C16542" t="str">
            <v>王瀚霆</v>
          </cell>
          <cell r="J16542">
            <v>45939</v>
          </cell>
          <cell r="K16542">
            <v>1.5</v>
          </cell>
        </row>
        <row r="16543">
          <cell r="C16543" t="str">
            <v>王瀚霆</v>
          </cell>
          <cell r="F16543" t="str">
            <v>K251001R1</v>
          </cell>
          <cell r="J16543">
            <v>45939</v>
          </cell>
          <cell r="K16543">
            <v>5.5</v>
          </cell>
        </row>
        <row r="16544">
          <cell r="C16544" t="str">
            <v>王瀚霆</v>
          </cell>
          <cell r="F16544" t="str">
            <v>M240704R1</v>
          </cell>
          <cell r="J16544">
            <v>45943</v>
          </cell>
          <cell r="K16544">
            <v>1.5</v>
          </cell>
        </row>
        <row r="16545">
          <cell r="C16545" t="str">
            <v>王瀚霆</v>
          </cell>
          <cell r="F16545" t="str">
            <v>M250201C1</v>
          </cell>
          <cell r="J16545">
            <v>45943</v>
          </cell>
          <cell r="K16545">
            <v>1</v>
          </cell>
        </row>
        <row r="16546">
          <cell r="C16546" t="str">
            <v>王瀚霆</v>
          </cell>
          <cell r="F16546" t="str">
            <v>K251001R1</v>
          </cell>
          <cell r="J16546">
            <v>45943</v>
          </cell>
          <cell r="K16546">
            <v>2</v>
          </cell>
        </row>
        <row r="16547">
          <cell r="C16547" t="str">
            <v>王瀚霆</v>
          </cell>
          <cell r="F16547" t="str">
            <v>D250501R1</v>
          </cell>
          <cell r="J16547">
            <v>45943</v>
          </cell>
          <cell r="K16547">
            <v>1.5</v>
          </cell>
        </row>
        <row r="16548">
          <cell r="C16548" t="str">
            <v>王瀚霆</v>
          </cell>
          <cell r="F16548" t="str">
            <v>D240902R1</v>
          </cell>
          <cell r="J16548">
            <v>45943</v>
          </cell>
          <cell r="K16548">
            <v>2</v>
          </cell>
        </row>
        <row r="16549">
          <cell r="C16549" t="str">
            <v>王瀚霆</v>
          </cell>
          <cell r="F16549" t="str">
            <v>K231101P1</v>
          </cell>
          <cell r="J16549">
            <v>45943</v>
          </cell>
          <cell r="K16549">
            <v>1.5</v>
          </cell>
        </row>
        <row r="16550">
          <cell r="C16550" t="str">
            <v>王瀚霆</v>
          </cell>
          <cell r="J16550">
            <v>45944</v>
          </cell>
          <cell r="K16550">
            <v>1</v>
          </cell>
        </row>
        <row r="16551">
          <cell r="C16551" t="str">
            <v>王瀚霆</v>
          </cell>
          <cell r="F16551" t="str">
            <v>D240902R1</v>
          </cell>
          <cell r="J16551">
            <v>45944</v>
          </cell>
          <cell r="K16551">
            <v>1</v>
          </cell>
        </row>
        <row r="16552">
          <cell r="C16552" t="str">
            <v>王瀚霆</v>
          </cell>
          <cell r="F16552" t="str">
            <v>M240704R1</v>
          </cell>
          <cell r="J16552">
            <v>45944</v>
          </cell>
          <cell r="K16552">
            <v>1.5</v>
          </cell>
        </row>
        <row r="16553">
          <cell r="C16553" t="str">
            <v>王瀚霆</v>
          </cell>
          <cell r="F16553" t="str">
            <v>K250501R1</v>
          </cell>
          <cell r="J16553">
            <v>45944</v>
          </cell>
          <cell r="K16553">
            <v>1</v>
          </cell>
        </row>
        <row r="16554">
          <cell r="C16554" t="str">
            <v>王瀚霆</v>
          </cell>
          <cell r="F16554" t="str">
            <v>D250101R1</v>
          </cell>
          <cell r="J16554">
            <v>45944</v>
          </cell>
          <cell r="K16554">
            <v>3</v>
          </cell>
        </row>
        <row r="16555">
          <cell r="C16555" t="str">
            <v>王瀚霆</v>
          </cell>
          <cell r="F16555" t="str">
            <v>K231101P1</v>
          </cell>
          <cell r="J16555">
            <v>45944</v>
          </cell>
          <cell r="K16555">
            <v>2</v>
          </cell>
        </row>
        <row r="16556">
          <cell r="C16556" t="str">
            <v>王瀚霆</v>
          </cell>
          <cell r="F16556" t="str">
            <v>M240704R1</v>
          </cell>
          <cell r="J16556">
            <v>45945</v>
          </cell>
          <cell r="K16556">
            <v>2.5</v>
          </cell>
        </row>
        <row r="16557">
          <cell r="C16557" t="str">
            <v>王瀚霆</v>
          </cell>
          <cell r="F16557" t="str">
            <v>D240902R1</v>
          </cell>
          <cell r="J16557">
            <v>45945</v>
          </cell>
          <cell r="K16557">
            <v>2.5</v>
          </cell>
        </row>
        <row r="16558">
          <cell r="C16558" t="str">
            <v>王瀚霆</v>
          </cell>
          <cell r="F16558" t="str">
            <v>K231101P1</v>
          </cell>
          <cell r="J16558">
            <v>45945</v>
          </cell>
          <cell r="K16558">
            <v>1.5</v>
          </cell>
        </row>
        <row r="16559">
          <cell r="C16559" t="str">
            <v>王瀚霆</v>
          </cell>
          <cell r="F16559" t="str">
            <v>D250101R1</v>
          </cell>
          <cell r="J16559">
            <v>45945</v>
          </cell>
          <cell r="K16559">
            <v>3</v>
          </cell>
        </row>
        <row r="16560">
          <cell r="C16560" t="str">
            <v>王瀚霆</v>
          </cell>
          <cell r="J16560">
            <v>45946</v>
          </cell>
          <cell r="K16560">
            <v>1</v>
          </cell>
        </row>
        <row r="16561">
          <cell r="C16561" t="str">
            <v>王瀚霆</v>
          </cell>
          <cell r="J16561">
            <v>45946</v>
          </cell>
          <cell r="K16561">
            <v>1.5</v>
          </cell>
        </row>
        <row r="16562">
          <cell r="C16562" t="str">
            <v>王瀚霆</v>
          </cell>
          <cell r="F16562" t="str">
            <v>M240704R1</v>
          </cell>
          <cell r="J16562">
            <v>45946</v>
          </cell>
          <cell r="K16562">
            <v>2.5</v>
          </cell>
        </row>
        <row r="16563">
          <cell r="C16563" t="str">
            <v>王瀚霆</v>
          </cell>
          <cell r="F16563" t="str">
            <v>D250501R1</v>
          </cell>
          <cell r="J16563">
            <v>45946</v>
          </cell>
          <cell r="K16563">
            <v>1.5</v>
          </cell>
        </row>
        <row r="16564">
          <cell r="C16564" t="str">
            <v>王瀚霆</v>
          </cell>
          <cell r="F16564" t="str">
            <v>K231101P1</v>
          </cell>
          <cell r="J16564">
            <v>45946</v>
          </cell>
          <cell r="K16564">
            <v>0.5</v>
          </cell>
        </row>
        <row r="16565">
          <cell r="C16565" t="str">
            <v>王瀚霆</v>
          </cell>
          <cell r="F16565" t="str">
            <v>D240902R1</v>
          </cell>
          <cell r="J16565">
            <v>45946</v>
          </cell>
          <cell r="K16565">
            <v>2.5</v>
          </cell>
        </row>
        <row r="16566">
          <cell r="C16566" t="str">
            <v>王瀚霆</v>
          </cell>
          <cell r="J16566">
            <v>45947</v>
          </cell>
          <cell r="K16566">
            <v>3</v>
          </cell>
        </row>
        <row r="16567">
          <cell r="C16567" t="str">
            <v>王瀚霆</v>
          </cell>
          <cell r="F16567" t="str">
            <v>D240902R1</v>
          </cell>
          <cell r="J16567">
            <v>45947</v>
          </cell>
          <cell r="K16567">
            <v>1</v>
          </cell>
        </row>
        <row r="16568">
          <cell r="C16568" t="str">
            <v>王瀚霆</v>
          </cell>
          <cell r="F16568" t="str">
            <v>K251001R1</v>
          </cell>
          <cell r="J16568">
            <v>45947</v>
          </cell>
          <cell r="K16568">
            <v>1.5</v>
          </cell>
        </row>
        <row r="16569">
          <cell r="C16569" t="str">
            <v>王瀚霆</v>
          </cell>
          <cell r="F16569" t="str">
            <v>E251001I1</v>
          </cell>
          <cell r="J16569">
            <v>45947</v>
          </cell>
          <cell r="K16569">
            <v>1</v>
          </cell>
        </row>
        <row r="16570">
          <cell r="C16570" t="str">
            <v>王瀚霆</v>
          </cell>
          <cell r="F16570" t="str">
            <v>D240902R1</v>
          </cell>
          <cell r="J16570">
            <v>45947</v>
          </cell>
          <cell r="K16570">
            <v>1.5</v>
          </cell>
        </row>
        <row r="16571">
          <cell r="C16571" t="str">
            <v>王瀚霆</v>
          </cell>
          <cell r="F16571" t="str">
            <v>K231101P1</v>
          </cell>
          <cell r="J16571">
            <v>45947</v>
          </cell>
          <cell r="K16571">
            <v>1.5</v>
          </cell>
        </row>
        <row r="16572">
          <cell r="C16572" t="str">
            <v>王瀚霆</v>
          </cell>
          <cell r="F16572" t="str">
            <v>M240703R1</v>
          </cell>
          <cell r="J16572">
            <v>45950</v>
          </cell>
          <cell r="K16572">
            <v>2</v>
          </cell>
        </row>
        <row r="16573">
          <cell r="C16573" t="str">
            <v>王瀚霆</v>
          </cell>
          <cell r="F16573" t="str">
            <v>D240902R1</v>
          </cell>
          <cell r="J16573">
            <v>45950</v>
          </cell>
          <cell r="K16573">
            <v>1.5</v>
          </cell>
        </row>
        <row r="16574">
          <cell r="C16574" t="str">
            <v>王瀚霆</v>
          </cell>
          <cell r="F16574" t="str">
            <v>M240704R1</v>
          </cell>
          <cell r="J16574">
            <v>45950</v>
          </cell>
          <cell r="K16574">
            <v>0.5</v>
          </cell>
        </row>
        <row r="16575">
          <cell r="C16575" t="str">
            <v>王瀚霆</v>
          </cell>
          <cell r="F16575" t="str">
            <v>K231101R1</v>
          </cell>
          <cell r="J16575">
            <v>45950</v>
          </cell>
          <cell r="K16575">
            <v>1.5</v>
          </cell>
        </row>
        <row r="16576">
          <cell r="C16576" t="str">
            <v>王瀚霆</v>
          </cell>
          <cell r="F16576" t="str">
            <v>D250101R1</v>
          </cell>
          <cell r="J16576">
            <v>45950</v>
          </cell>
          <cell r="K16576">
            <v>4</v>
          </cell>
        </row>
        <row r="16577">
          <cell r="C16577" t="str">
            <v>王瀚霆</v>
          </cell>
          <cell r="F16577" t="str">
            <v>M240703R1</v>
          </cell>
          <cell r="J16577">
            <v>45951</v>
          </cell>
          <cell r="K16577">
            <v>1</v>
          </cell>
        </row>
        <row r="16578">
          <cell r="C16578" t="str">
            <v>王瀚霆</v>
          </cell>
          <cell r="F16578" t="str">
            <v>D250101R1</v>
          </cell>
          <cell r="J16578">
            <v>45951</v>
          </cell>
          <cell r="K16578">
            <v>4.5</v>
          </cell>
        </row>
        <row r="16579">
          <cell r="C16579" t="str">
            <v>王瀚霆</v>
          </cell>
          <cell r="F16579" t="str">
            <v>M240704R1</v>
          </cell>
          <cell r="J16579">
            <v>45951</v>
          </cell>
          <cell r="K16579">
            <v>2.5</v>
          </cell>
        </row>
        <row r="16580">
          <cell r="C16580" t="str">
            <v>王瀚霆</v>
          </cell>
          <cell r="F16580" t="str">
            <v>D250501R1</v>
          </cell>
          <cell r="J16580">
            <v>45951</v>
          </cell>
          <cell r="K16580">
            <v>0.5</v>
          </cell>
        </row>
        <row r="16581">
          <cell r="C16581" t="str">
            <v>王瀚霆</v>
          </cell>
          <cell r="F16581" t="str">
            <v>K231101P1</v>
          </cell>
          <cell r="J16581">
            <v>45951</v>
          </cell>
          <cell r="K16581">
            <v>1</v>
          </cell>
        </row>
        <row r="16582">
          <cell r="C16582" t="str">
            <v>王瀚霆</v>
          </cell>
          <cell r="F16582" t="str">
            <v>M240704R1</v>
          </cell>
          <cell r="J16582">
            <v>45952</v>
          </cell>
          <cell r="K16582">
            <v>1</v>
          </cell>
        </row>
        <row r="16583">
          <cell r="C16583" t="str">
            <v>王瀚霆</v>
          </cell>
          <cell r="F16583" t="str">
            <v>D250101R1</v>
          </cell>
          <cell r="J16583">
            <v>45952</v>
          </cell>
          <cell r="K16583">
            <v>8.5</v>
          </cell>
        </row>
        <row r="16584">
          <cell r="C16584" t="str">
            <v>王瀚霆</v>
          </cell>
          <cell r="J16584">
            <v>45953</v>
          </cell>
          <cell r="K16584">
            <v>1</v>
          </cell>
        </row>
        <row r="16585">
          <cell r="C16585" t="str">
            <v>王瀚霆</v>
          </cell>
          <cell r="J16585">
            <v>45953</v>
          </cell>
          <cell r="K16585">
            <v>1</v>
          </cell>
        </row>
        <row r="16586">
          <cell r="C16586" t="str">
            <v>王瀚霆</v>
          </cell>
          <cell r="F16586" t="str">
            <v>D240902R1</v>
          </cell>
          <cell r="J16586">
            <v>45953</v>
          </cell>
          <cell r="K16586">
            <v>2.5</v>
          </cell>
        </row>
        <row r="16587">
          <cell r="C16587" t="str">
            <v>王瀚霆</v>
          </cell>
          <cell r="F16587" t="str">
            <v>D250101R1</v>
          </cell>
          <cell r="J16587">
            <v>45953</v>
          </cell>
          <cell r="K16587">
            <v>2.5</v>
          </cell>
        </row>
        <row r="16588">
          <cell r="C16588" t="str">
            <v>王瀚霆</v>
          </cell>
          <cell r="F16588" t="str">
            <v>K231101P1</v>
          </cell>
          <cell r="J16588">
            <v>45953</v>
          </cell>
          <cell r="K16588">
            <v>2.5</v>
          </cell>
        </row>
        <row r="16589">
          <cell r="C16589" t="str">
            <v>王瀚霆</v>
          </cell>
          <cell r="J16589">
            <v>45957</v>
          </cell>
          <cell r="K16589">
            <v>3</v>
          </cell>
        </row>
        <row r="16590">
          <cell r="C16590" t="str">
            <v>王瀚霆</v>
          </cell>
          <cell r="J16590">
            <v>45957</v>
          </cell>
          <cell r="K16590">
            <v>2</v>
          </cell>
        </row>
        <row r="16591">
          <cell r="C16591" t="str">
            <v>王瀚霆</v>
          </cell>
          <cell r="F16591" t="str">
            <v>D240902R1</v>
          </cell>
          <cell r="J16591">
            <v>45957</v>
          </cell>
          <cell r="K16591">
            <v>2</v>
          </cell>
        </row>
        <row r="16592">
          <cell r="C16592" t="str">
            <v>王瀚霆</v>
          </cell>
          <cell r="F16592" t="str">
            <v>M240703R1</v>
          </cell>
          <cell r="J16592">
            <v>45957</v>
          </cell>
          <cell r="K16592">
            <v>2</v>
          </cell>
        </row>
        <row r="16593">
          <cell r="C16593" t="str">
            <v>王瀚霆</v>
          </cell>
          <cell r="F16593" t="str">
            <v>M240704R1</v>
          </cell>
          <cell r="J16593">
            <v>45957</v>
          </cell>
          <cell r="K16593">
            <v>0.5</v>
          </cell>
        </row>
        <row r="16594">
          <cell r="C16594" t="str">
            <v>王瀚霆</v>
          </cell>
          <cell r="J16594">
            <v>45958</v>
          </cell>
          <cell r="K16594">
            <v>2</v>
          </cell>
        </row>
        <row r="16595">
          <cell r="C16595" t="str">
            <v>王瀚霆</v>
          </cell>
          <cell r="F16595" t="str">
            <v>M240703R1</v>
          </cell>
          <cell r="J16595">
            <v>45958</v>
          </cell>
          <cell r="K16595">
            <v>3.5</v>
          </cell>
        </row>
        <row r="16596">
          <cell r="C16596" t="str">
            <v>王瀚霆</v>
          </cell>
          <cell r="F16596" t="str">
            <v>K231101P1</v>
          </cell>
          <cell r="J16596">
            <v>45958</v>
          </cell>
          <cell r="K16596">
            <v>1.5</v>
          </cell>
        </row>
        <row r="16597">
          <cell r="C16597" t="str">
            <v>王瀚霆</v>
          </cell>
          <cell r="F16597" t="str">
            <v>M240704R1</v>
          </cell>
          <cell r="J16597">
            <v>45958</v>
          </cell>
          <cell r="K16597">
            <v>2.5</v>
          </cell>
        </row>
        <row r="16598">
          <cell r="C16598" t="str">
            <v>王瀚霆</v>
          </cell>
          <cell r="F16598" t="str">
            <v>D250101R1</v>
          </cell>
          <cell r="J16598">
            <v>45959</v>
          </cell>
          <cell r="K16598">
            <v>2.5</v>
          </cell>
        </row>
        <row r="16599">
          <cell r="C16599" t="str">
            <v>王瀚霆</v>
          </cell>
          <cell r="F16599" t="str">
            <v>M240703R1</v>
          </cell>
          <cell r="J16599">
            <v>45959</v>
          </cell>
          <cell r="K16599">
            <v>2</v>
          </cell>
        </row>
        <row r="16600">
          <cell r="C16600" t="str">
            <v>王瀚霆</v>
          </cell>
          <cell r="F16600" t="str">
            <v>D250501R1</v>
          </cell>
          <cell r="J16600">
            <v>45959</v>
          </cell>
          <cell r="K16600">
            <v>1</v>
          </cell>
        </row>
        <row r="16601">
          <cell r="C16601" t="str">
            <v>王瀚霆</v>
          </cell>
          <cell r="F16601" t="str">
            <v>K231101P1</v>
          </cell>
          <cell r="J16601">
            <v>45959</v>
          </cell>
          <cell r="K16601">
            <v>4</v>
          </cell>
        </row>
        <row r="16602">
          <cell r="C16602" t="str">
            <v>王瀚霆</v>
          </cell>
          <cell r="J16602">
            <v>45960</v>
          </cell>
          <cell r="K16602">
            <v>1.5</v>
          </cell>
        </row>
        <row r="16603">
          <cell r="C16603" t="str">
            <v>王瀚霆</v>
          </cell>
          <cell r="F16603" t="str">
            <v>M240703R1</v>
          </cell>
          <cell r="J16603">
            <v>45960</v>
          </cell>
          <cell r="K16603">
            <v>0.5</v>
          </cell>
        </row>
        <row r="16604">
          <cell r="C16604" t="str">
            <v>王瀚霆</v>
          </cell>
          <cell r="F16604" t="str">
            <v>D240902R1</v>
          </cell>
          <cell r="J16604">
            <v>45960</v>
          </cell>
          <cell r="K16604">
            <v>1.5</v>
          </cell>
        </row>
        <row r="16605">
          <cell r="C16605" t="str">
            <v>王瀚霆</v>
          </cell>
          <cell r="F16605" t="str">
            <v>D250501R1</v>
          </cell>
          <cell r="J16605">
            <v>45960</v>
          </cell>
          <cell r="K16605">
            <v>3.5</v>
          </cell>
        </row>
        <row r="16606">
          <cell r="C16606" t="str">
            <v>王瀚霆</v>
          </cell>
          <cell r="F16606" t="str">
            <v>K231101P1</v>
          </cell>
          <cell r="J16606">
            <v>45960</v>
          </cell>
          <cell r="K16606">
            <v>1.5</v>
          </cell>
        </row>
        <row r="16607">
          <cell r="C16607" t="str">
            <v>王瀚霆</v>
          </cell>
          <cell r="F16607" t="str">
            <v>M240704R1</v>
          </cell>
          <cell r="J16607">
            <v>45960</v>
          </cell>
          <cell r="K16607">
            <v>1</v>
          </cell>
        </row>
        <row r="16608">
          <cell r="C16608" t="str">
            <v>王瀚霆</v>
          </cell>
          <cell r="F16608" t="str">
            <v>M240703R1</v>
          </cell>
          <cell r="J16608">
            <v>45961</v>
          </cell>
          <cell r="K16608">
            <v>3</v>
          </cell>
        </row>
        <row r="16609">
          <cell r="C16609" t="str">
            <v>王瀚霆</v>
          </cell>
          <cell r="F16609" t="str">
            <v>D240902R1</v>
          </cell>
          <cell r="J16609">
            <v>45961</v>
          </cell>
          <cell r="K16609">
            <v>2.5</v>
          </cell>
        </row>
        <row r="16610">
          <cell r="C16610" t="str">
            <v>王瀚霆</v>
          </cell>
          <cell r="F16610" t="str">
            <v>K231101R1</v>
          </cell>
          <cell r="J16610">
            <v>45961</v>
          </cell>
          <cell r="K16610">
            <v>2.5</v>
          </cell>
        </row>
        <row r="16611">
          <cell r="C16611" t="str">
            <v>王瀚霆</v>
          </cell>
          <cell r="J16611">
            <v>45964</v>
          </cell>
          <cell r="K16611">
            <v>1</v>
          </cell>
        </row>
        <row r="16612">
          <cell r="C16612" t="str">
            <v>王瀚霆</v>
          </cell>
          <cell r="J16612">
            <v>45964</v>
          </cell>
          <cell r="K16612">
            <v>1</v>
          </cell>
        </row>
        <row r="16613">
          <cell r="C16613" t="str">
            <v>王瀚霆</v>
          </cell>
          <cell r="F16613" t="str">
            <v>D240902R1</v>
          </cell>
          <cell r="J16613">
            <v>45964</v>
          </cell>
          <cell r="K16613">
            <v>5.5</v>
          </cell>
        </row>
        <row r="16614">
          <cell r="C16614" t="str">
            <v>王瀚霆</v>
          </cell>
          <cell r="F16614" t="str">
            <v>M240703R1</v>
          </cell>
          <cell r="J16614">
            <v>45964</v>
          </cell>
          <cell r="K16614">
            <v>0.5</v>
          </cell>
        </row>
        <row r="16615">
          <cell r="C16615" t="str">
            <v>王瀚霆</v>
          </cell>
          <cell r="F16615" t="str">
            <v>K231101P1</v>
          </cell>
          <cell r="J16615">
            <v>45964</v>
          </cell>
          <cell r="K16615">
            <v>1.5</v>
          </cell>
        </row>
        <row r="16616">
          <cell r="C16616" t="str">
            <v>王瀚霆</v>
          </cell>
          <cell r="J16616">
            <v>45965</v>
          </cell>
          <cell r="K16616">
            <v>4.5</v>
          </cell>
        </row>
        <row r="16617">
          <cell r="C16617" t="str">
            <v>王瀚霆</v>
          </cell>
          <cell r="F16617" t="str">
            <v>M240703R1</v>
          </cell>
          <cell r="J16617">
            <v>45965</v>
          </cell>
          <cell r="K16617">
            <v>0.5</v>
          </cell>
        </row>
        <row r="16618">
          <cell r="C16618" t="str">
            <v>王瀚霆</v>
          </cell>
          <cell r="F16618" t="str">
            <v>D250101R1</v>
          </cell>
          <cell r="J16618">
            <v>45965</v>
          </cell>
          <cell r="K16618">
            <v>1</v>
          </cell>
        </row>
        <row r="16619">
          <cell r="C16619" t="str">
            <v>王瀚霆</v>
          </cell>
          <cell r="F16619" t="str">
            <v>D240902R1</v>
          </cell>
          <cell r="J16619">
            <v>45965</v>
          </cell>
          <cell r="K16619">
            <v>1</v>
          </cell>
        </row>
        <row r="16620">
          <cell r="C16620" t="str">
            <v>王瀚霆</v>
          </cell>
          <cell r="F16620" t="str">
            <v>K231101P1</v>
          </cell>
          <cell r="J16620">
            <v>45965</v>
          </cell>
          <cell r="K16620">
            <v>2.5</v>
          </cell>
        </row>
        <row r="16621">
          <cell r="C16621" t="str">
            <v>王瀚霆</v>
          </cell>
          <cell r="J16621">
            <v>45966</v>
          </cell>
          <cell r="K16621">
            <v>0.5</v>
          </cell>
        </row>
        <row r="16622">
          <cell r="C16622" t="str">
            <v>王瀚霆</v>
          </cell>
          <cell r="F16622" t="str">
            <v>M240703R1</v>
          </cell>
          <cell r="J16622">
            <v>45966</v>
          </cell>
          <cell r="K16622">
            <v>2.5</v>
          </cell>
        </row>
        <row r="16623">
          <cell r="C16623" t="str">
            <v>王瀚霆</v>
          </cell>
          <cell r="F16623" t="str">
            <v>D240902R1</v>
          </cell>
          <cell r="J16623">
            <v>45966</v>
          </cell>
          <cell r="K16623">
            <v>3.5</v>
          </cell>
        </row>
        <row r="16624">
          <cell r="C16624" t="str">
            <v>王瀚霆</v>
          </cell>
          <cell r="F16624" t="str">
            <v>K251001R1</v>
          </cell>
          <cell r="J16624">
            <v>45966</v>
          </cell>
          <cell r="K16624">
            <v>1</v>
          </cell>
        </row>
        <row r="16625">
          <cell r="C16625" t="str">
            <v>王瀚霆</v>
          </cell>
          <cell r="F16625" t="str">
            <v>D250101R1</v>
          </cell>
          <cell r="J16625">
            <v>45966</v>
          </cell>
          <cell r="K16625">
            <v>1</v>
          </cell>
        </row>
        <row r="16626">
          <cell r="C16626" t="str">
            <v>王瀚霆</v>
          </cell>
          <cell r="F16626" t="str">
            <v>K231101P1</v>
          </cell>
          <cell r="J16626">
            <v>45966</v>
          </cell>
          <cell r="K16626">
            <v>1</v>
          </cell>
        </row>
        <row r="16627">
          <cell r="C16627" t="str">
            <v>王瀚霆</v>
          </cell>
          <cell r="J16627">
            <v>45967</v>
          </cell>
          <cell r="K16627">
            <v>2</v>
          </cell>
        </row>
        <row r="16628">
          <cell r="C16628" t="str">
            <v>王瀚霆</v>
          </cell>
          <cell r="J16628">
            <v>45967</v>
          </cell>
          <cell r="K16628">
            <v>2</v>
          </cell>
        </row>
        <row r="16629">
          <cell r="C16629" t="str">
            <v>王瀚霆</v>
          </cell>
          <cell r="J16629">
            <v>45967</v>
          </cell>
          <cell r="K16629">
            <v>1</v>
          </cell>
        </row>
        <row r="16630">
          <cell r="C16630" t="str">
            <v>王瀚霆</v>
          </cell>
          <cell r="F16630" t="str">
            <v>D240902R1</v>
          </cell>
          <cell r="J16630">
            <v>45967</v>
          </cell>
          <cell r="K16630">
            <v>3.5</v>
          </cell>
        </row>
        <row r="16631">
          <cell r="C16631" t="str">
            <v>王瀚霆</v>
          </cell>
          <cell r="F16631" t="str">
            <v>K231101P1</v>
          </cell>
          <cell r="J16631">
            <v>45967</v>
          </cell>
          <cell r="K16631">
            <v>1</v>
          </cell>
        </row>
        <row r="16632">
          <cell r="C16632" t="str">
            <v>王瀚霆</v>
          </cell>
          <cell r="J16632">
            <v>45968</v>
          </cell>
          <cell r="K16632">
            <v>4.5</v>
          </cell>
        </row>
        <row r="16633">
          <cell r="C16633" t="str">
            <v>王瀚霆</v>
          </cell>
          <cell r="F16633" t="str">
            <v>K231101P1</v>
          </cell>
          <cell r="J16633">
            <v>45968</v>
          </cell>
          <cell r="K16633">
            <v>3.5</v>
          </cell>
        </row>
        <row r="16634">
          <cell r="C16634" t="str">
            <v>王瀚霆</v>
          </cell>
          <cell r="J16634">
            <v>45971</v>
          </cell>
          <cell r="K16634">
            <v>1.5</v>
          </cell>
        </row>
        <row r="16635">
          <cell r="C16635" t="str">
            <v>王瀚霆</v>
          </cell>
          <cell r="J16635">
            <v>45971</v>
          </cell>
          <cell r="K16635">
            <v>2</v>
          </cell>
        </row>
        <row r="16636">
          <cell r="C16636" t="str">
            <v>王瀚霆</v>
          </cell>
          <cell r="F16636" t="str">
            <v>D250501R1</v>
          </cell>
          <cell r="J16636">
            <v>45971</v>
          </cell>
          <cell r="K16636">
            <v>0.5</v>
          </cell>
        </row>
        <row r="16637">
          <cell r="C16637" t="str">
            <v>王瀚霆</v>
          </cell>
          <cell r="J16637">
            <v>45971</v>
          </cell>
          <cell r="K16637">
            <v>1</v>
          </cell>
        </row>
        <row r="16638">
          <cell r="C16638" t="str">
            <v>王瀚霆</v>
          </cell>
          <cell r="F16638" t="str">
            <v>K231101R1</v>
          </cell>
          <cell r="J16638">
            <v>45971</v>
          </cell>
          <cell r="K16638">
            <v>1.5</v>
          </cell>
        </row>
        <row r="16639">
          <cell r="C16639" t="str">
            <v>王瀚霆</v>
          </cell>
          <cell r="F16639" t="str">
            <v>D240902R1</v>
          </cell>
          <cell r="J16639">
            <v>45971</v>
          </cell>
          <cell r="K16639">
            <v>2</v>
          </cell>
        </row>
        <row r="16640">
          <cell r="C16640" t="str">
            <v>王瀚霆</v>
          </cell>
          <cell r="J16640">
            <v>45971</v>
          </cell>
          <cell r="K16640">
            <v>1</v>
          </cell>
        </row>
        <row r="16641">
          <cell r="C16641" t="str">
            <v>王瀚霆</v>
          </cell>
          <cell r="J16641">
            <v>45972</v>
          </cell>
          <cell r="K16641">
            <v>2.5</v>
          </cell>
        </row>
        <row r="16642">
          <cell r="C16642" t="str">
            <v>王瀚霆</v>
          </cell>
          <cell r="J16642">
            <v>45972</v>
          </cell>
          <cell r="K16642">
            <v>1</v>
          </cell>
        </row>
        <row r="16643">
          <cell r="C16643" t="str">
            <v>王瀚霆</v>
          </cell>
          <cell r="F16643" t="str">
            <v>D240902R1</v>
          </cell>
          <cell r="J16643">
            <v>45972</v>
          </cell>
          <cell r="K16643">
            <v>2.5</v>
          </cell>
        </row>
        <row r="16644">
          <cell r="C16644" t="str">
            <v>王瀚霆</v>
          </cell>
          <cell r="F16644" t="str">
            <v>K231101P1</v>
          </cell>
          <cell r="J16644">
            <v>45972</v>
          </cell>
          <cell r="K16644">
            <v>3.5</v>
          </cell>
        </row>
        <row r="16645">
          <cell r="C16645" t="str">
            <v>王瀚霆</v>
          </cell>
          <cell r="F16645" t="str">
            <v>D240902R1</v>
          </cell>
          <cell r="J16645">
            <v>45973</v>
          </cell>
          <cell r="K16645">
            <v>4.5</v>
          </cell>
        </row>
        <row r="16646">
          <cell r="C16646" t="str">
            <v>王瀚霆</v>
          </cell>
          <cell r="F16646" t="str">
            <v>M251001R1</v>
          </cell>
          <cell r="J16646">
            <v>45973</v>
          </cell>
          <cell r="K16646">
            <v>0.5</v>
          </cell>
        </row>
        <row r="16647">
          <cell r="C16647" t="str">
            <v>王瀚霆</v>
          </cell>
          <cell r="F16647" t="str">
            <v>D250101R1</v>
          </cell>
          <cell r="J16647">
            <v>45973</v>
          </cell>
          <cell r="K16647">
            <v>4.5</v>
          </cell>
        </row>
        <row r="16648">
          <cell r="C16648" t="str">
            <v>王瀚霆</v>
          </cell>
          <cell r="J16648">
            <v>45974</v>
          </cell>
          <cell r="K16648">
            <v>1</v>
          </cell>
        </row>
        <row r="16649">
          <cell r="C16649" t="str">
            <v>王瀚霆</v>
          </cell>
          <cell r="F16649" t="str">
            <v>D240902R1</v>
          </cell>
          <cell r="J16649">
            <v>45974</v>
          </cell>
          <cell r="K16649">
            <v>2</v>
          </cell>
        </row>
        <row r="16650">
          <cell r="C16650" t="str">
            <v>王瀚霆</v>
          </cell>
          <cell r="F16650" t="str">
            <v>M250201C1</v>
          </cell>
          <cell r="J16650">
            <v>45974</v>
          </cell>
          <cell r="K16650">
            <v>3</v>
          </cell>
        </row>
        <row r="16651">
          <cell r="C16651" t="str">
            <v>王瀚霆</v>
          </cell>
          <cell r="F16651" t="str">
            <v>D250101R1</v>
          </cell>
          <cell r="J16651">
            <v>45974</v>
          </cell>
          <cell r="K16651">
            <v>3.5</v>
          </cell>
        </row>
        <row r="16652">
          <cell r="C16652" t="str">
            <v>王瀚霆</v>
          </cell>
          <cell r="J16652">
            <v>45975</v>
          </cell>
          <cell r="K16652">
            <v>1</v>
          </cell>
        </row>
        <row r="16653">
          <cell r="C16653" t="str">
            <v>王瀚霆</v>
          </cell>
          <cell r="J16653">
            <v>45975</v>
          </cell>
          <cell r="K16653">
            <v>3.5</v>
          </cell>
        </row>
        <row r="16654">
          <cell r="C16654" t="str">
            <v>王瀚霆</v>
          </cell>
          <cell r="F16654" t="str">
            <v>D240902R1</v>
          </cell>
          <cell r="J16654">
            <v>45975</v>
          </cell>
          <cell r="K16654">
            <v>3.5</v>
          </cell>
        </row>
        <row r="16655">
          <cell r="C16655" t="str">
            <v>王瀚霆</v>
          </cell>
          <cell r="F16655" t="str">
            <v>M251001R1</v>
          </cell>
          <cell r="J16655">
            <v>45978</v>
          </cell>
          <cell r="K16655">
            <v>1</v>
          </cell>
        </row>
        <row r="16656">
          <cell r="C16656" t="str">
            <v>王瀚霆</v>
          </cell>
          <cell r="J16656">
            <v>45978</v>
          </cell>
          <cell r="K16656">
            <v>2</v>
          </cell>
        </row>
        <row r="16657">
          <cell r="C16657" t="str">
            <v>王瀚霆</v>
          </cell>
          <cell r="F16657" t="str">
            <v>K251001R1</v>
          </cell>
          <cell r="J16657">
            <v>45978</v>
          </cell>
          <cell r="K16657">
            <v>2</v>
          </cell>
        </row>
        <row r="16658">
          <cell r="C16658" t="str">
            <v>王瀚霆</v>
          </cell>
          <cell r="F16658" t="str">
            <v>D240902R1</v>
          </cell>
          <cell r="J16658">
            <v>45978</v>
          </cell>
          <cell r="K16658">
            <v>3.5</v>
          </cell>
        </row>
        <row r="16659">
          <cell r="C16659" t="str">
            <v>王瀚霆</v>
          </cell>
          <cell r="F16659" t="str">
            <v>K231101P1</v>
          </cell>
          <cell r="J16659">
            <v>45978</v>
          </cell>
          <cell r="K16659">
            <v>1</v>
          </cell>
        </row>
        <row r="16660">
          <cell r="C16660" t="str">
            <v>王瀚霆</v>
          </cell>
          <cell r="J16660">
            <v>45979</v>
          </cell>
          <cell r="K16660">
            <v>1</v>
          </cell>
        </row>
        <row r="16661">
          <cell r="C16661" t="str">
            <v>王瀚霆</v>
          </cell>
          <cell r="F16661" t="str">
            <v>D240902R1</v>
          </cell>
          <cell r="J16661">
            <v>45979</v>
          </cell>
          <cell r="K16661">
            <v>3</v>
          </cell>
        </row>
        <row r="16662">
          <cell r="C16662" t="str">
            <v>王瀚霆</v>
          </cell>
          <cell r="F16662" t="str">
            <v>D250101R1</v>
          </cell>
          <cell r="J16662">
            <v>45979</v>
          </cell>
          <cell r="K16662">
            <v>5.5</v>
          </cell>
        </row>
        <row r="16663">
          <cell r="C16663" t="str">
            <v>王瀚霆</v>
          </cell>
          <cell r="J16663">
            <v>45980</v>
          </cell>
          <cell r="K16663">
            <v>1.5</v>
          </cell>
        </row>
        <row r="16664">
          <cell r="C16664" t="str">
            <v>王瀚霆</v>
          </cell>
          <cell r="J16664">
            <v>45980</v>
          </cell>
          <cell r="K16664">
            <v>1</v>
          </cell>
        </row>
        <row r="16665">
          <cell r="C16665" t="str">
            <v>王瀚霆</v>
          </cell>
          <cell r="F16665" t="str">
            <v>D240902R1</v>
          </cell>
          <cell r="J16665">
            <v>45980</v>
          </cell>
          <cell r="K16665">
            <v>3</v>
          </cell>
        </row>
        <row r="16666">
          <cell r="C16666" t="str">
            <v>王瀚霆</v>
          </cell>
          <cell r="F16666" t="str">
            <v>M251001R1</v>
          </cell>
          <cell r="J16666">
            <v>45980</v>
          </cell>
          <cell r="K16666">
            <v>3.5</v>
          </cell>
        </row>
        <row r="16667">
          <cell r="C16667" t="str">
            <v>王瀚霆</v>
          </cell>
          <cell r="F16667" t="str">
            <v>D250501R1</v>
          </cell>
          <cell r="J16667">
            <v>45980</v>
          </cell>
          <cell r="K16667">
            <v>0.5</v>
          </cell>
        </row>
        <row r="16668">
          <cell r="C16668" t="str">
            <v>王瀚霆</v>
          </cell>
          <cell r="J16668">
            <v>45981</v>
          </cell>
          <cell r="K16668">
            <v>3</v>
          </cell>
        </row>
        <row r="16669">
          <cell r="C16669" t="str">
            <v>王瀚霆</v>
          </cell>
          <cell r="J16669">
            <v>45981</v>
          </cell>
          <cell r="K16669">
            <v>8.5</v>
          </cell>
        </row>
        <row r="16670">
          <cell r="C16670" t="str">
            <v>王瀚霆</v>
          </cell>
          <cell r="J16670">
            <v>45981</v>
          </cell>
          <cell r="K16670">
            <v>1</v>
          </cell>
        </row>
        <row r="16671">
          <cell r="C16671" t="str">
            <v>王瀚霆</v>
          </cell>
          <cell r="F16671" t="str">
            <v>D240902R1</v>
          </cell>
          <cell r="J16671">
            <v>45981</v>
          </cell>
          <cell r="K16671">
            <v>5.5</v>
          </cell>
        </row>
        <row r="16672">
          <cell r="C16672" t="str">
            <v>王瀚霆</v>
          </cell>
          <cell r="F16672" t="str">
            <v>D240902R1</v>
          </cell>
          <cell r="J16672">
            <v>45985</v>
          </cell>
          <cell r="K16672">
            <v>5</v>
          </cell>
        </row>
        <row r="16673">
          <cell r="C16673" t="str">
            <v>王瀚霆</v>
          </cell>
          <cell r="F16673" t="str">
            <v>D240902R1</v>
          </cell>
          <cell r="J16673">
            <v>45985</v>
          </cell>
          <cell r="K16673">
            <v>4.5</v>
          </cell>
        </row>
        <row r="16674">
          <cell r="C16674" t="str">
            <v>王瀚霆</v>
          </cell>
          <cell r="F16674" t="str">
            <v>M251001R1</v>
          </cell>
          <cell r="J16674">
            <v>45986</v>
          </cell>
          <cell r="K16674">
            <v>2</v>
          </cell>
        </row>
        <row r="16675">
          <cell r="C16675" t="str">
            <v>王瀚霆</v>
          </cell>
          <cell r="F16675" t="str">
            <v>K251001R1</v>
          </cell>
          <cell r="J16675">
            <v>45986</v>
          </cell>
          <cell r="K16675">
            <v>7.5</v>
          </cell>
        </row>
        <row r="16676">
          <cell r="C16676" t="str">
            <v>王瀚霆</v>
          </cell>
          <cell r="J16676">
            <v>45987</v>
          </cell>
          <cell r="K16676">
            <v>6.5</v>
          </cell>
        </row>
        <row r="16677">
          <cell r="C16677" t="str">
            <v>王瀚霆</v>
          </cell>
          <cell r="F16677" t="str">
            <v>M240704R1</v>
          </cell>
          <cell r="J16677">
            <v>45987</v>
          </cell>
          <cell r="K16677">
            <v>1</v>
          </cell>
        </row>
        <row r="16678">
          <cell r="C16678" t="str">
            <v>王瀚霆</v>
          </cell>
          <cell r="F16678" t="str">
            <v>K231101P1</v>
          </cell>
          <cell r="J16678">
            <v>45987</v>
          </cell>
          <cell r="K16678">
            <v>2</v>
          </cell>
        </row>
        <row r="16679">
          <cell r="C16679" t="str">
            <v>王瀚霆</v>
          </cell>
          <cell r="J16679">
            <v>45988</v>
          </cell>
          <cell r="K16679">
            <v>1</v>
          </cell>
        </row>
        <row r="16680">
          <cell r="C16680" t="str">
            <v>王瀚霆</v>
          </cell>
          <cell r="J16680">
            <v>45988</v>
          </cell>
          <cell r="K16680">
            <v>1</v>
          </cell>
        </row>
        <row r="16681">
          <cell r="C16681" t="str">
            <v>王瀚霆</v>
          </cell>
          <cell r="F16681" t="str">
            <v>M250201C1</v>
          </cell>
          <cell r="J16681">
            <v>45988</v>
          </cell>
          <cell r="K16681">
            <v>2.5</v>
          </cell>
        </row>
        <row r="16682">
          <cell r="C16682" t="str">
            <v>王瀚霆</v>
          </cell>
          <cell r="F16682" t="str">
            <v>K231101P1</v>
          </cell>
          <cell r="J16682">
            <v>45988</v>
          </cell>
          <cell r="K16682">
            <v>5</v>
          </cell>
        </row>
        <row r="16683">
          <cell r="C16683" t="str">
            <v>王瀚霆</v>
          </cell>
          <cell r="F16683" t="str">
            <v>M251001R1</v>
          </cell>
          <cell r="J16683">
            <v>45989</v>
          </cell>
          <cell r="K16683">
            <v>1</v>
          </cell>
        </row>
        <row r="16684">
          <cell r="C16684" t="str">
            <v>王瀚霆</v>
          </cell>
          <cell r="J16684">
            <v>45989</v>
          </cell>
          <cell r="K16684">
            <v>1</v>
          </cell>
        </row>
        <row r="16685">
          <cell r="C16685" t="str">
            <v>王瀚霆</v>
          </cell>
          <cell r="F16685" t="str">
            <v>D240902R1</v>
          </cell>
          <cell r="J16685">
            <v>45989</v>
          </cell>
          <cell r="K16685">
            <v>3.5</v>
          </cell>
        </row>
        <row r="16686">
          <cell r="C16686" t="str">
            <v>王瀚霆</v>
          </cell>
          <cell r="F16686" t="str">
            <v>K231101P1</v>
          </cell>
          <cell r="J16686">
            <v>45989</v>
          </cell>
          <cell r="K16686">
            <v>2.5</v>
          </cell>
        </row>
        <row r="16687">
          <cell r="C16687" t="str">
            <v>王瀚霆</v>
          </cell>
          <cell r="F16687" t="str">
            <v>K251001R1</v>
          </cell>
          <cell r="J16687">
            <v>45989</v>
          </cell>
          <cell r="K16687">
            <v>1.5</v>
          </cell>
        </row>
        <row r="16688">
          <cell r="C16688" t="str">
            <v>王瀚霆</v>
          </cell>
          <cell r="F16688" t="str">
            <v>M251001R1</v>
          </cell>
          <cell r="J16688">
            <v>45992</v>
          </cell>
          <cell r="K16688">
            <v>1</v>
          </cell>
        </row>
        <row r="16689">
          <cell r="C16689" t="str">
            <v>王瀚霆</v>
          </cell>
          <cell r="F16689" t="str">
            <v>M240704R1</v>
          </cell>
          <cell r="J16689">
            <v>45992</v>
          </cell>
          <cell r="K16689">
            <v>0.5</v>
          </cell>
        </row>
        <row r="16690">
          <cell r="C16690" t="str">
            <v>王瀚霆</v>
          </cell>
          <cell r="F16690" t="str">
            <v>K231101P1</v>
          </cell>
          <cell r="J16690">
            <v>45992</v>
          </cell>
          <cell r="K16690">
            <v>0.5</v>
          </cell>
        </row>
        <row r="16691">
          <cell r="C16691" t="str">
            <v>王瀚霆</v>
          </cell>
          <cell r="F16691" t="str">
            <v>D240902R1</v>
          </cell>
          <cell r="J16691">
            <v>45992</v>
          </cell>
          <cell r="K16691">
            <v>5</v>
          </cell>
        </row>
        <row r="16692">
          <cell r="C16692" t="str">
            <v>王瀚霆</v>
          </cell>
          <cell r="F16692" t="str">
            <v>M250201C1</v>
          </cell>
          <cell r="J16692">
            <v>45992</v>
          </cell>
          <cell r="K16692">
            <v>2.5</v>
          </cell>
        </row>
        <row r="16693">
          <cell r="C16693" t="str">
            <v>王瀚霆</v>
          </cell>
          <cell r="J16693">
            <v>45993</v>
          </cell>
          <cell r="K16693">
            <v>8</v>
          </cell>
        </row>
        <row r="16694">
          <cell r="C16694" t="str">
            <v>王瀚霆</v>
          </cell>
          <cell r="J16694">
            <v>45994</v>
          </cell>
          <cell r="K16694">
            <v>8</v>
          </cell>
        </row>
        <row r="16695">
          <cell r="C16695" t="str">
            <v>王瀚霆</v>
          </cell>
          <cell r="J16695">
            <v>45995</v>
          </cell>
          <cell r="K16695">
            <v>8</v>
          </cell>
        </row>
        <row r="16696">
          <cell r="C16696" t="str">
            <v>王瀚霆</v>
          </cell>
          <cell r="J16696">
            <v>45996</v>
          </cell>
          <cell r="K16696">
            <v>8</v>
          </cell>
        </row>
        <row r="16697">
          <cell r="C16697" t="str">
            <v>王瀚霆</v>
          </cell>
          <cell r="J16697">
            <v>45999</v>
          </cell>
          <cell r="K16697">
            <v>5.5</v>
          </cell>
        </row>
        <row r="16698">
          <cell r="C16698" t="str">
            <v>王瀚霆</v>
          </cell>
          <cell r="F16698" t="str">
            <v>D240902R1</v>
          </cell>
          <cell r="J16698">
            <v>45999</v>
          </cell>
          <cell r="K16698">
            <v>3</v>
          </cell>
        </row>
        <row r="16699">
          <cell r="C16699" t="str">
            <v>王瀚霆</v>
          </cell>
          <cell r="F16699" t="str">
            <v>K231101P1</v>
          </cell>
          <cell r="J16699">
            <v>45999</v>
          </cell>
          <cell r="K16699">
            <v>1</v>
          </cell>
        </row>
        <row r="16700">
          <cell r="C16700" t="str">
            <v>王瀚霆</v>
          </cell>
          <cell r="J16700">
            <v>46000</v>
          </cell>
          <cell r="K16700">
            <v>1</v>
          </cell>
        </row>
        <row r="16701">
          <cell r="C16701" t="str">
            <v>王瀚霆</v>
          </cell>
          <cell r="J16701">
            <v>46000</v>
          </cell>
          <cell r="K16701">
            <v>1</v>
          </cell>
        </row>
        <row r="16702">
          <cell r="C16702" t="str">
            <v>王瀚霆</v>
          </cell>
          <cell r="F16702" t="str">
            <v>D240902R1</v>
          </cell>
          <cell r="J16702">
            <v>46000</v>
          </cell>
          <cell r="K16702">
            <v>7.5</v>
          </cell>
        </row>
        <row r="16703">
          <cell r="C16703" t="str">
            <v>王瀚霆</v>
          </cell>
          <cell r="F16703" t="str">
            <v>D240902R1</v>
          </cell>
          <cell r="J16703">
            <v>46001</v>
          </cell>
          <cell r="K16703">
            <v>9.5</v>
          </cell>
        </row>
        <row r="16704">
          <cell r="C16704" t="str">
            <v>王瀚霆</v>
          </cell>
          <cell r="J16704">
            <v>46002</v>
          </cell>
          <cell r="K16704">
            <v>1</v>
          </cell>
        </row>
        <row r="16705">
          <cell r="C16705" t="str">
            <v>王瀚霆</v>
          </cell>
          <cell r="J16705">
            <v>46002</v>
          </cell>
          <cell r="K16705">
            <v>0.5</v>
          </cell>
        </row>
        <row r="16706">
          <cell r="C16706" t="str">
            <v>王瀚霆</v>
          </cell>
          <cell r="J16706">
            <v>46002</v>
          </cell>
          <cell r="K16706">
            <v>2</v>
          </cell>
        </row>
        <row r="16707">
          <cell r="C16707" t="str">
            <v>王瀚霆</v>
          </cell>
          <cell r="F16707" t="str">
            <v>D240902R1</v>
          </cell>
          <cell r="J16707">
            <v>46002</v>
          </cell>
          <cell r="K16707">
            <v>6</v>
          </cell>
        </row>
        <row r="16708">
          <cell r="C16708" t="str">
            <v>王瀚霆</v>
          </cell>
          <cell r="J16708">
            <v>46003</v>
          </cell>
          <cell r="K16708">
            <v>1.5</v>
          </cell>
        </row>
        <row r="16709">
          <cell r="C16709" t="str">
            <v>王瀚霆</v>
          </cell>
          <cell r="F16709" t="str">
            <v>D240902R1</v>
          </cell>
          <cell r="J16709">
            <v>46003</v>
          </cell>
          <cell r="K16709">
            <v>2</v>
          </cell>
        </row>
        <row r="16710">
          <cell r="C16710" t="str">
            <v>王瀚霆</v>
          </cell>
          <cell r="F16710" t="str">
            <v>K231101P1</v>
          </cell>
          <cell r="J16710">
            <v>46003</v>
          </cell>
          <cell r="K16710">
            <v>6</v>
          </cell>
        </row>
        <row r="16711">
          <cell r="C16711" t="str">
            <v>王瀚霆</v>
          </cell>
          <cell r="F16711" t="str">
            <v>D250101R1</v>
          </cell>
          <cell r="J16711">
            <v>46006</v>
          </cell>
          <cell r="K16711">
            <v>3</v>
          </cell>
        </row>
        <row r="16712">
          <cell r="C16712" t="str">
            <v>王瀚霆</v>
          </cell>
          <cell r="F16712" t="str">
            <v>D240902R1</v>
          </cell>
          <cell r="J16712">
            <v>46006</v>
          </cell>
          <cell r="K16712">
            <v>5</v>
          </cell>
        </row>
        <row r="16713">
          <cell r="C16713" t="str">
            <v>王瀚霆</v>
          </cell>
          <cell r="F16713" t="str">
            <v>K231101P1</v>
          </cell>
          <cell r="J16713">
            <v>46006</v>
          </cell>
          <cell r="K16713">
            <v>1.5</v>
          </cell>
        </row>
        <row r="16714">
          <cell r="C16714" t="str">
            <v>王瀚霆</v>
          </cell>
          <cell r="F16714" t="str">
            <v>D250101R1</v>
          </cell>
          <cell r="J16714">
            <v>46007</v>
          </cell>
          <cell r="K16714">
            <v>3.5</v>
          </cell>
        </row>
        <row r="16715">
          <cell r="C16715" t="str">
            <v>王瀚霆</v>
          </cell>
          <cell r="F16715" t="str">
            <v>K231101P1</v>
          </cell>
          <cell r="J16715">
            <v>46007</v>
          </cell>
          <cell r="K16715">
            <v>6</v>
          </cell>
        </row>
        <row r="16716">
          <cell r="C16716" t="str">
            <v>王瀚霆</v>
          </cell>
          <cell r="J16716">
            <v>46009</v>
          </cell>
          <cell r="K16716">
            <v>3.5</v>
          </cell>
        </row>
        <row r="16717">
          <cell r="C16717" t="str">
            <v>王瀚霆</v>
          </cell>
          <cell r="J16717">
            <v>46009</v>
          </cell>
          <cell r="K16717">
            <v>1.5</v>
          </cell>
        </row>
        <row r="16718">
          <cell r="C16718" t="str">
            <v>王瀚霆</v>
          </cell>
          <cell r="F16718" t="str">
            <v>D240902R1</v>
          </cell>
          <cell r="J16718">
            <v>46009</v>
          </cell>
          <cell r="K16718">
            <v>3.5</v>
          </cell>
        </row>
        <row r="16719">
          <cell r="C16719" t="str">
            <v>王瀚霆</v>
          </cell>
          <cell r="F16719" t="str">
            <v>K231101P1</v>
          </cell>
          <cell r="J16719">
            <v>46009</v>
          </cell>
          <cell r="K16719">
            <v>1</v>
          </cell>
        </row>
        <row r="16720">
          <cell r="C16720" t="str">
            <v>王瀚霆</v>
          </cell>
          <cell r="J16720">
            <v>46010</v>
          </cell>
          <cell r="K16720">
            <v>4.5</v>
          </cell>
        </row>
        <row r="16721">
          <cell r="C16721" t="str">
            <v>王瀚霆</v>
          </cell>
          <cell r="F16721" t="str">
            <v>D240902R1</v>
          </cell>
          <cell r="J16721">
            <v>46010</v>
          </cell>
          <cell r="K16721">
            <v>1.5</v>
          </cell>
        </row>
        <row r="16722">
          <cell r="C16722" t="str">
            <v>王瀚霆</v>
          </cell>
          <cell r="F16722" t="str">
            <v>K231101P1</v>
          </cell>
          <cell r="J16722">
            <v>46010</v>
          </cell>
          <cell r="K16722">
            <v>3.5</v>
          </cell>
        </row>
        <row r="16723">
          <cell r="C16723" t="str">
            <v>王瀚霆</v>
          </cell>
          <cell r="J16723">
            <v>46013</v>
          </cell>
          <cell r="K16723">
            <v>1</v>
          </cell>
        </row>
        <row r="16724">
          <cell r="C16724" t="str">
            <v>王瀚霆</v>
          </cell>
          <cell r="F16724" t="str">
            <v>K251101R1</v>
          </cell>
          <cell r="J16724">
            <v>46013</v>
          </cell>
          <cell r="K16724">
            <v>1</v>
          </cell>
        </row>
        <row r="16725">
          <cell r="C16725" t="str">
            <v>王瀚霆</v>
          </cell>
          <cell r="F16725" t="str">
            <v>M240703R1</v>
          </cell>
          <cell r="J16725">
            <v>46013</v>
          </cell>
          <cell r="K16725">
            <v>2</v>
          </cell>
        </row>
        <row r="16726">
          <cell r="C16726" t="str">
            <v>王瀚霆</v>
          </cell>
          <cell r="F16726" t="str">
            <v>D240902R1</v>
          </cell>
          <cell r="J16726">
            <v>46013</v>
          </cell>
          <cell r="K16726">
            <v>2</v>
          </cell>
        </row>
        <row r="16727">
          <cell r="C16727" t="str">
            <v>王瀚霆</v>
          </cell>
          <cell r="F16727" t="str">
            <v>K231101P1</v>
          </cell>
          <cell r="J16727">
            <v>46013</v>
          </cell>
          <cell r="K16727">
            <v>1.5</v>
          </cell>
        </row>
        <row r="16728">
          <cell r="C16728" t="str">
            <v>王瀚霆</v>
          </cell>
          <cell r="F16728" t="str">
            <v>D240902R1</v>
          </cell>
          <cell r="J16728">
            <v>46013</v>
          </cell>
          <cell r="K16728">
            <v>2</v>
          </cell>
        </row>
        <row r="16729">
          <cell r="C16729" t="str">
            <v>王瀚霆</v>
          </cell>
          <cell r="J16729">
            <v>46014</v>
          </cell>
          <cell r="K16729">
            <v>3</v>
          </cell>
        </row>
        <row r="16730">
          <cell r="C16730" t="str">
            <v>王瀚霆</v>
          </cell>
          <cell r="F16730" t="str">
            <v>D240902R1</v>
          </cell>
          <cell r="J16730">
            <v>46014</v>
          </cell>
          <cell r="K16730">
            <v>2.5</v>
          </cell>
        </row>
        <row r="16731">
          <cell r="C16731" t="str">
            <v>王瀚霆</v>
          </cell>
          <cell r="F16731" t="str">
            <v>K231101P1</v>
          </cell>
          <cell r="J16731">
            <v>46014</v>
          </cell>
          <cell r="K16731">
            <v>4</v>
          </cell>
        </row>
        <row r="16732">
          <cell r="C16732" t="str">
            <v>王瀚霆</v>
          </cell>
          <cell r="J16732">
            <v>46015</v>
          </cell>
          <cell r="K16732">
            <v>1</v>
          </cell>
        </row>
        <row r="16733">
          <cell r="C16733" t="str">
            <v>王瀚霆</v>
          </cell>
          <cell r="F16733" t="str">
            <v>D240902R1</v>
          </cell>
          <cell r="J16733">
            <v>46015</v>
          </cell>
          <cell r="K16733">
            <v>0.5</v>
          </cell>
        </row>
        <row r="16734">
          <cell r="C16734" t="str">
            <v>王瀚霆</v>
          </cell>
          <cell r="F16734" t="str">
            <v>M251001R1</v>
          </cell>
          <cell r="J16734">
            <v>46015</v>
          </cell>
          <cell r="K16734">
            <v>0.5</v>
          </cell>
        </row>
        <row r="16735">
          <cell r="C16735" t="str">
            <v>王瀚霆</v>
          </cell>
          <cell r="F16735" t="str">
            <v>K231101P1</v>
          </cell>
          <cell r="J16735">
            <v>46015</v>
          </cell>
          <cell r="K16735">
            <v>6</v>
          </cell>
        </row>
        <row r="16736">
          <cell r="C16736" t="str">
            <v>王瀚霆</v>
          </cell>
          <cell r="J16736">
            <v>46017</v>
          </cell>
          <cell r="K16736">
            <v>8</v>
          </cell>
        </row>
        <row r="16737">
          <cell r="C16737" t="str">
            <v>王瀚霆</v>
          </cell>
          <cell r="F16737" t="str">
            <v>D240902R1</v>
          </cell>
          <cell r="J16737">
            <v>46020</v>
          </cell>
          <cell r="K16737">
            <v>2</v>
          </cell>
        </row>
        <row r="16738">
          <cell r="C16738" t="str">
            <v>王瀚霆</v>
          </cell>
          <cell r="J16738">
            <v>46020</v>
          </cell>
          <cell r="K16738">
            <v>3.5</v>
          </cell>
        </row>
        <row r="16739">
          <cell r="C16739" t="str">
            <v>王瀚霆</v>
          </cell>
          <cell r="F16739" t="str">
            <v>D240902R1</v>
          </cell>
          <cell r="J16739">
            <v>46020</v>
          </cell>
          <cell r="K16739">
            <v>3</v>
          </cell>
        </row>
        <row r="16740">
          <cell r="C16740" t="str">
            <v>王瀚霆</v>
          </cell>
          <cell r="F16740" t="str">
            <v>K231101P1</v>
          </cell>
          <cell r="J16740">
            <v>46020</v>
          </cell>
          <cell r="K16740">
            <v>1</v>
          </cell>
        </row>
        <row r="16741">
          <cell r="C16741" t="str">
            <v>王瀚霆</v>
          </cell>
          <cell r="J16741">
            <v>46021</v>
          </cell>
          <cell r="K16741">
            <v>4.5</v>
          </cell>
        </row>
        <row r="16742">
          <cell r="C16742" t="str">
            <v>王瀚霆</v>
          </cell>
          <cell r="F16742" t="str">
            <v>D240902R1</v>
          </cell>
          <cell r="J16742">
            <v>46021</v>
          </cell>
          <cell r="K16742">
            <v>5</v>
          </cell>
        </row>
        <row r="16743">
          <cell r="C16743" t="str">
            <v>王瀚霆</v>
          </cell>
          <cell r="J16743">
            <v>46022</v>
          </cell>
          <cell r="K16743">
            <v>4</v>
          </cell>
        </row>
        <row r="16744">
          <cell r="C16744" t="str">
            <v>王瀚霆</v>
          </cell>
          <cell r="F16744" t="str">
            <v>D240902R1</v>
          </cell>
          <cell r="J16744">
            <v>46022</v>
          </cell>
          <cell r="K16744">
            <v>2</v>
          </cell>
        </row>
        <row r="16745">
          <cell r="C16745" t="str">
            <v>王瀚霆</v>
          </cell>
          <cell r="F16745" t="str">
            <v>K231101P1</v>
          </cell>
          <cell r="J16745">
            <v>46022</v>
          </cell>
          <cell r="K16745">
            <v>2</v>
          </cell>
        </row>
        <row r="16746">
          <cell r="C16746" t="str">
            <v>王瀚霆</v>
          </cell>
          <cell r="J16746">
            <v>46024</v>
          </cell>
          <cell r="K16746">
            <v>1</v>
          </cell>
        </row>
        <row r="16747">
          <cell r="C16747" t="str">
            <v>王瀚霆</v>
          </cell>
          <cell r="J16747">
            <v>46024</v>
          </cell>
          <cell r="K16747">
            <v>1.5</v>
          </cell>
        </row>
        <row r="16748">
          <cell r="C16748" t="str">
            <v>王瀚霆</v>
          </cell>
          <cell r="F16748" t="str">
            <v>D240902R1</v>
          </cell>
          <cell r="J16748">
            <v>46024</v>
          </cell>
          <cell r="K16748">
            <v>0.5</v>
          </cell>
        </row>
        <row r="16749">
          <cell r="C16749" t="str">
            <v>王瀚霆</v>
          </cell>
          <cell r="F16749" t="str">
            <v>M251001R1</v>
          </cell>
          <cell r="J16749">
            <v>46024</v>
          </cell>
          <cell r="K16749">
            <v>2</v>
          </cell>
        </row>
        <row r="16750">
          <cell r="C16750" t="str">
            <v>王瀚霆</v>
          </cell>
          <cell r="F16750" t="str">
            <v>K231101P1</v>
          </cell>
          <cell r="J16750">
            <v>46024</v>
          </cell>
          <cell r="K16750">
            <v>3</v>
          </cell>
        </row>
        <row r="16751">
          <cell r="C16751" t="str">
            <v>王瀚霆</v>
          </cell>
          <cell r="F16751" t="str">
            <v>D240902R1</v>
          </cell>
          <cell r="J16751">
            <v>46027</v>
          </cell>
          <cell r="K16751">
            <v>2</v>
          </cell>
        </row>
        <row r="16752">
          <cell r="C16752" t="str">
            <v>王瀚霆</v>
          </cell>
          <cell r="F16752" t="str">
            <v>D240902R1</v>
          </cell>
          <cell r="J16752">
            <v>46027</v>
          </cell>
          <cell r="K16752">
            <v>5.5</v>
          </cell>
        </row>
        <row r="16753">
          <cell r="C16753" t="str">
            <v>王瀚霆</v>
          </cell>
          <cell r="F16753" t="str">
            <v>M251001R1</v>
          </cell>
          <cell r="J16753">
            <v>46027</v>
          </cell>
          <cell r="K16753">
            <v>1</v>
          </cell>
        </row>
        <row r="16754">
          <cell r="C16754" t="str">
            <v>王瀚霆</v>
          </cell>
          <cell r="F16754" t="str">
            <v>K231101P1</v>
          </cell>
          <cell r="J16754">
            <v>46027</v>
          </cell>
          <cell r="K16754">
            <v>1</v>
          </cell>
        </row>
        <row r="16755">
          <cell r="C16755" t="str">
            <v>王瀚霆</v>
          </cell>
          <cell r="J16755">
            <v>46028</v>
          </cell>
          <cell r="K16755">
            <v>1.5</v>
          </cell>
        </row>
        <row r="16756">
          <cell r="C16756" t="str">
            <v>王瀚霆</v>
          </cell>
          <cell r="F16756" t="str">
            <v>D240902R1</v>
          </cell>
          <cell r="J16756">
            <v>46028</v>
          </cell>
          <cell r="K16756">
            <v>5.5</v>
          </cell>
        </row>
        <row r="16757">
          <cell r="C16757" t="str">
            <v>王瀚霆</v>
          </cell>
          <cell r="F16757" t="str">
            <v>K231101P1</v>
          </cell>
          <cell r="J16757">
            <v>46028</v>
          </cell>
          <cell r="K16757">
            <v>1</v>
          </cell>
        </row>
        <row r="16758">
          <cell r="C16758" t="str">
            <v>王瀚霆</v>
          </cell>
          <cell r="F16758" t="str">
            <v>M251001R1</v>
          </cell>
          <cell r="J16758">
            <v>46028</v>
          </cell>
          <cell r="K16758">
            <v>1.5</v>
          </cell>
        </row>
        <row r="16759">
          <cell r="C16759" t="str">
            <v>王瀚霆</v>
          </cell>
          <cell r="F16759" t="str">
            <v>M240704R1</v>
          </cell>
          <cell r="J16759">
            <v>46029</v>
          </cell>
          <cell r="K16759">
            <v>1.5</v>
          </cell>
        </row>
        <row r="16760">
          <cell r="C16760" t="str">
            <v>王瀚霆</v>
          </cell>
          <cell r="F16760" t="str">
            <v>D240902R1</v>
          </cell>
          <cell r="J16760">
            <v>46029</v>
          </cell>
          <cell r="K16760">
            <v>5</v>
          </cell>
        </row>
        <row r="16761">
          <cell r="C16761" t="str">
            <v>王瀚霆</v>
          </cell>
          <cell r="F16761" t="str">
            <v>M251001R1</v>
          </cell>
          <cell r="J16761">
            <v>46029</v>
          </cell>
          <cell r="K16761">
            <v>3</v>
          </cell>
        </row>
        <row r="16762">
          <cell r="C16762" t="str">
            <v>王瀚霆</v>
          </cell>
          <cell r="J16762">
            <v>46030</v>
          </cell>
          <cell r="K16762">
            <v>1</v>
          </cell>
        </row>
        <row r="16763">
          <cell r="C16763" t="str">
            <v>王瀚霆</v>
          </cell>
          <cell r="J16763">
            <v>46030</v>
          </cell>
          <cell r="K16763">
            <v>3</v>
          </cell>
        </row>
        <row r="16764">
          <cell r="C16764" t="str">
            <v>王瀚霆</v>
          </cell>
          <cell r="F16764" t="str">
            <v>D240902R1</v>
          </cell>
          <cell r="J16764">
            <v>46030</v>
          </cell>
          <cell r="K16764">
            <v>1</v>
          </cell>
        </row>
        <row r="16765">
          <cell r="C16765" t="str">
            <v>王瀚霆</v>
          </cell>
          <cell r="F16765" t="str">
            <v>M251001R1</v>
          </cell>
          <cell r="J16765">
            <v>46030</v>
          </cell>
          <cell r="K16765">
            <v>2</v>
          </cell>
        </row>
        <row r="16766">
          <cell r="C16766" t="str">
            <v>王瀚霆</v>
          </cell>
          <cell r="F16766" t="str">
            <v>M240703R1</v>
          </cell>
          <cell r="J16766">
            <v>46030</v>
          </cell>
          <cell r="K16766">
            <v>2.5</v>
          </cell>
        </row>
        <row r="16767">
          <cell r="C16767" t="str">
            <v>王瀚霆</v>
          </cell>
          <cell r="J16767">
            <v>46031</v>
          </cell>
          <cell r="K16767">
            <v>4.5</v>
          </cell>
        </row>
        <row r="16768">
          <cell r="C16768" t="str">
            <v>王瀚霆</v>
          </cell>
          <cell r="F16768" t="str">
            <v>D240902R1</v>
          </cell>
          <cell r="J16768">
            <v>46031</v>
          </cell>
          <cell r="K16768">
            <v>1.5</v>
          </cell>
        </row>
        <row r="16769">
          <cell r="C16769" t="str">
            <v>王瀚霆</v>
          </cell>
          <cell r="F16769" t="str">
            <v>K231101P1</v>
          </cell>
          <cell r="J16769">
            <v>46031</v>
          </cell>
          <cell r="K16769">
            <v>2</v>
          </cell>
        </row>
        <row r="16770">
          <cell r="C16770" t="str">
            <v>王瀚霆</v>
          </cell>
          <cell r="F16770" t="str">
            <v>K250501R2</v>
          </cell>
          <cell r="J16770">
            <v>46034</v>
          </cell>
          <cell r="K16770">
            <v>1</v>
          </cell>
        </row>
        <row r="16771">
          <cell r="C16771" t="str">
            <v>王瀚霆</v>
          </cell>
          <cell r="F16771" t="str">
            <v>K251101R1</v>
          </cell>
          <cell r="J16771">
            <v>46034</v>
          </cell>
          <cell r="K16771">
            <v>1</v>
          </cell>
        </row>
        <row r="16772">
          <cell r="C16772" t="str">
            <v>王瀚霆</v>
          </cell>
          <cell r="F16772" t="str">
            <v>D240902R1</v>
          </cell>
          <cell r="J16772">
            <v>46034</v>
          </cell>
          <cell r="K16772">
            <v>2.5</v>
          </cell>
        </row>
        <row r="16773">
          <cell r="C16773" t="str">
            <v>王瀚霆</v>
          </cell>
          <cell r="F16773" t="str">
            <v>M251201R1</v>
          </cell>
          <cell r="J16773">
            <v>46034</v>
          </cell>
          <cell r="K16773">
            <v>1</v>
          </cell>
        </row>
        <row r="16774">
          <cell r="C16774" t="str">
            <v>王瀚霆</v>
          </cell>
          <cell r="J16774">
            <v>46034</v>
          </cell>
          <cell r="K16774">
            <v>0.5</v>
          </cell>
        </row>
        <row r="16775">
          <cell r="C16775" t="str">
            <v>王瀚霆</v>
          </cell>
          <cell r="F16775" t="str">
            <v>K231101P1</v>
          </cell>
          <cell r="J16775">
            <v>46034</v>
          </cell>
          <cell r="K16775">
            <v>1.5</v>
          </cell>
        </row>
        <row r="16776">
          <cell r="C16776" t="str">
            <v>王瀚霆</v>
          </cell>
          <cell r="J16776">
            <v>46034</v>
          </cell>
          <cell r="K16776">
            <v>1</v>
          </cell>
        </row>
        <row r="16777">
          <cell r="C16777" t="str">
            <v>王瀚霆</v>
          </cell>
          <cell r="F16777" t="str">
            <v>M251001R1</v>
          </cell>
          <cell r="J16777">
            <v>46034</v>
          </cell>
          <cell r="K16777">
            <v>1</v>
          </cell>
        </row>
        <row r="16778">
          <cell r="C16778" t="str">
            <v>王瀚霆</v>
          </cell>
          <cell r="F16778" t="str">
            <v>D240902R1</v>
          </cell>
          <cell r="J16778">
            <v>46035</v>
          </cell>
          <cell r="K16778">
            <v>2.5</v>
          </cell>
        </row>
        <row r="16779">
          <cell r="C16779" t="str">
            <v>王瀚霆</v>
          </cell>
          <cell r="F16779" t="str">
            <v>M251001R1</v>
          </cell>
          <cell r="J16779">
            <v>46035</v>
          </cell>
          <cell r="K16779">
            <v>4</v>
          </cell>
        </row>
        <row r="16780">
          <cell r="C16780" t="str">
            <v>王瀚霆</v>
          </cell>
          <cell r="F16780" t="str">
            <v>D240902R1</v>
          </cell>
          <cell r="J16780">
            <v>46035</v>
          </cell>
          <cell r="K16780">
            <v>2</v>
          </cell>
        </row>
        <row r="16781">
          <cell r="C16781" t="str">
            <v>王瀚霆</v>
          </cell>
          <cell r="F16781" t="str">
            <v>K231101P1</v>
          </cell>
          <cell r="J16781">
            <v>46035</v>
          </cell>
          <cell r="K16781">
            <v>1</v>
          </cell>
        </row>
        <row r="16782">
          <cell r="C16782" t="str">
            <v>王瀚霆</v>
          </cell>
          <cell r="J16782">
            <v>46036</v>
          </cell>
          <cell r="K16782">
            <v>1</v>
          </cell>
        </row>
        <row r="16783">
          <cell r="C16783" t="str">
            <v>王瀚霆</v>
          </cell>
          <cell r="F16783" t="str">
            <v>D240902R1</v>
          </cell>
          <cell r="J16783">
            <v>46036</v>
          </cell>
          <cell r="K16783">
            <v>1</v>
          </cell>
        </row>
        <row r="16784">
          <cell r="C16784" t="str">
            <v>王瀚霆</v>
          </cell>
          <cell r="F16784" t="str">
            <v>M251001R1</v>
          </cell>
          <cell r="J16784">
            <v>46036</v>
          </cell>
          <cell r="K16784">
            <v>4.5</v>
          </cell>
        </row>
        <row r="16785">
          <cell r="C16785" t="str">
            <v>王瀚霆</v>
          </cell>
          <cell r="F16785" t="str">
            <v>K231101P1</v>
          </cell>
          <cell r="J16785">
            <v>46036</v>
          </cell>
          <cell r="K16785">
            <v>3</v>
          </cell>
        </row>
        <row r="16786">
          <cell r="C16786" t="str">
            <v>王瀚霆</v>
          </cell>
          <cell r="J16786">
            <v>46037</v>
          </cell>
          <cell r="K16786">
            <v>1</v>
          </cell>
        </row>
        <row r="16787">
          <cell r="C16787" t="str">
            <v>王瀚霆</v>
          </cell>
          <cell r="F16787" t="str">
            <v>D250101R1</v>
          </cell>
          <cell r="J16787">
            <v>46037</v>
          </cell>
          <cell r="K16787">
            <v>3</v>
          </cell>
        </row>
        <row r="16788">
          <cell r="C16788" t="str">
            <v>王瀚霆</v>
          </cell>
          <cell r="F16788" t="str">
            <v>D240902R1</v>
          </cell>
          <cell r="J16788">
            <v>46037</v>
          </cell>
          <cell r="K16788">
            <v>1</v>
          </cell>
        </row>
        <row r="16789">
          <cell r="C16789" t="str">
            <v>王瀚霆</v>
          </cell>
          <cell r="F16789" t="str">
            <v>M251001R1</v>
          </cell>
          <cell r="J16789">
            <v>46037</v>
          </cell>
          <cell r="K16789">
            <v>2</v>
          </cell>
        </row>
        <row r="16790">
          <cell r="C16790" t="str">
            <v>王瀚霆</v>
          </cell>
          <cell r="F16790" t="str">
            <v>K231101P1</v>
          </cell>
          <cell r="J16790">
            <v>46037</v>
          </cell>
          <cell r="K16790">
            <v>2.5</v>
          </cell>
        </row>
        <row r="16791">
          <cell r="C16791" t="str">
            <v>王瀚霆</v>
          </cell>
          <cell r="F16791" t="str">
            <v>D250101R1</v>
          </cell>
          <cell r="J16791">
            <v>46038</v>
          </cell>
          <cell r="K16791">
            <v>0.5</v>
          </cell>
        </row>
        <row r="16792">
          <cell r="C16792" t="str">
            <v>王瀚霆</v>
          </cell>
          <cell r="F16792" t="str">
            <v>M251001R1</v>
          </cell>
          <cell r="J16792">
            <v>46038</v>
          </cell>
          <cell r="K16792">
            <v>2</v>
          </cell>
        </row>
        <row r="16793">
          <cell r="C16793" t="str">
            <v>王瀚霆</v>
          </cell>
          <cell r="F16793" t="str">
            <v>D240902R1</v>
          </cell>
          <cell r="J16793">
            <v>46038</v>
          </cell>
          <cell r="K16793">
            <v>5.5</v>
          </cell>
        </row>
        <row r="16794">
          <cell r="C16794" t="str">
            <v>王瀚霆</v>
          </cell>
          <cell r="F16794" t="str">
            <v>K231101P1</v>
          </cell>
          <cell r="J16794">
            <v>46038</v>
          </cell>
          <cell r="K16794">
            <v>1.5</v>
          </cell>
        </row>
        <row r="16795">
          <cell r="C16795" t="str">
            <v>王瀚霆</v>
          </cell>
          <cell r="J16795">
            <v>46041</v>
          </cell>
          <cell r="K16795">
            <v>1.5</v>
          </cell>
        </row>
        <row r="16796">
          <cell r="C16796" t="str">
            <v>王瀚霆</v>
          </cell>
          <cell r="F16796" t="str">
            <v>D240902R1</v>
          </cell>
          <cell r="J16796">
            <v>46041</v>
          </cell>
          <cell r="K16796">
            <v>5</v>
          </cell>
        </row>
        <row r="16797">
          <cell r="C16797" t="str">
            <v>王瀚霆</v>
          </cell>
          <cell r="F16797" t="str">
            <v>M251001R1</v>
          </cell>
          <cell r="J16797">
            <v>46041</v>
          </cell>
          <cell r="K16797">
            <v>3</v>
          </cell>
        </row>
        <row r="16798">
          <cell r="C16798" t="str">
            <v>王瀚霆</v>
          </cell>
          <cell r="F16798" t="str">
            <v>M251001R1</v>
          </cell>
          <cell r="J16798">
            <v>46042</v>
          </cell>
          <cell r="K16798">
            <v>8</v>
          </cell>
        </row>
        <row r="16799">
          <cell r="C16799" t="str">
            <v>王瀚霆</v>
          </cell>
          <cell r="F16799" t="str">
            <v>M240704R1</v>
          </cell>
          <cell r="J16799">
            <v>46042</v>
          </cell>
          <cell r="K16799">
            <v>1.5</v>
          </cell>
        </row>
        <row r="16800">
          <cell r="C16800" t="str">
            <v>王瀚霆</v>
          </cell>
          <cell r="F16800" t="str">
            <v>M251001R1</v>
          </cell>
          <cell r="J16800">
            <v>46043</v>
          </cell>
          <cell r="K16800">
            <v>1</v>
          </cell>
        </row>
        <row r="16801">
          <cell r="C16801" t="str">
            <v>王瀚霆</v>
          </cell>
          <cell r="F16801" t="str">
            <v>M251001R1</v>
          </cell>
          <cell r="J16801">
            <v>46043</v>
          </cell>
          <cell r="K16801">
            <v>2</v>
          </cell>
        </row>
        <row r="16802">
          <cell r="C16802" t="str">
            <v>王瀚霆</v>
          </cell>
          <cell r="F16802" t="str">
            <v>M251001R1</v>
          </cell>
          <cell r="J16802">
            <v>46043</v>
          </cell>
          <cell r="K16802">
            <v>2</v>
          </cell>
        </row>
        <row r="16803">
          <cell r="C16803" t="str">
            <v>王瀚霆</v>
          </cell>
          <cell r="F16803" t="str">
            <v>M251001R1</v>
          </cell>
          <cell r="J16803">
            <v>46043</v>
          </cell>
          <cell r="K16803">
            <v>1</v>
          </cell>
        </row>
        <row r="16804">
          <cell r="C16804" t="str">
            <v>王瀚霆</v>
          </cell>
          <cell r="F16804" t="str">
            <v>M251001R1</v>
          </cell>
          <cell r="J16804">
            <v>46043</v>
          </cell>
          <cell r="K16804">
            <v>0.5</v>
          </cell>
        </row>
        <row r="16805">
          <cell r="C16805" t="str">
            <v>王瀚霆</v>
          </cell>
          <cell r="F16805" t="str">
            <v>M251001R1</v>
          </cell>
          <cell r="J16805">
            <v>46043</v>
          </cell>
          <cell r="K16805">
            <v>3</v>
          </cell>
        </row>
        <row r="16806">
          <cell r="C16806" t="str">
            <v>王瀚霆</v>
          </cell>
          <cell r="J16806">
            <v>46044</v>
          </cell>
          <cell r="K16806">
            <v>2</v>
          </cell>
        </row>
        <row r="16807">
          <cell r="C16807" t="str">
            <v>王瀚霆</v>
          </cell>
          <cell r="F16807" t="str">
            <v>D240902R1</v>
          </cell>
          <cell r="J16807">
            <v>46044</v>
          </cell>
          <cell r="K16807">
            <v>7.5</v>
          </cell>
        </row>
        <row r="16808">
          <cell r="C16808" t="str">
            <v>王瀚霆</v>
          </cell>
          <cell r="F16808" t="str">
            <v>D240902R1</v>
          </cell>
          <cell r="J16808">
            <v>46045</v>
          </cell>
          <cell r="K16808">
            <v>8</v>
          </cell>
        </row>
        <row r="16809">
          <cell r="C16809" t="str">
            <v>王瀚霆</v>
          </cell>
          <cell r="F16809" t="str">
            <v>D240902R1</v>
          </cell>
          <cell r="J16809">
            <v>46048</v>
          </cell>
          <cell r="K16809">
            <v>1.5</v>
          </cell>
        </row>
        <row r="16810">
          <cell r="C16810" t="str">
            <v>王瀚霆</v>
          </cell>
          <cell r="J16810">
            <v>46048</v>
          </cell>
          <cell r="K16810">
            <v>1</v>
          </cell>
        </row>
        <row r="16811">
          <cell r="C16811" t="str">
            <v>王瀚霆</v>
          </cell>
          <cell r="F16811" t="str">
            <v>M240703R1</v>
          </cell>
          <cell r="J16811">
            <v>46048</v>
          </cell>
          <cell r="K16811">
            <v>1.5</v>
          </cell>
        </row>
        <row r="16812">
          <cell r="C16812" t="str">
            <v>王瀚霆</v>
          </cell>
          <cell r="F16812" t="str">
            <v>D240902R1</v>
          </cell>
          <cell r="J16812">
            <v>46048</v>
          </cell>
          <cell r="K16812">
            <v>2.5</v>
          </cell>
        </row>
        <row r="16813">
          <cell r="C16813" t="str">
            <v>王瀚霆</v>
          </cell>
          <cell r="F16813" t="str">
            <v>M240704R1</v>
          </cell>
          <cell r="J16813">
            <v>46048</v>
          </cell>
          <cell r="K16813">
            <v>3</v>
          </cell>
        </row>
        <row r="16814">
          <cell r="C16814" t="str">
            <v>王瀚霆</v>
          </cell>
          <cell r="F16814" t="str">
            <v>D240902R1</v>
          </cell>
          <cell r="J16814">
            <v>46049</v>
          </cell>
          <cell r="K16814">
            <v>9.5</v>
          </cell>
        </row>
        <row r="16815">
          <cell r="C16815" t="str">
            <v>王瀚霆</v>
          </cell>
          <cell r="J16815">
            <v>46050</v>
          </cell>
          <cell r="K16815">
            <v>2</v>
          </cell>
        </row>
        <row r="16816">
          <cell r="C16816" t="str">
            <v>王瀚霆</v>
          </cell>
          <cell r="J16816">
            <v>46050</v>
          </cell>
          <cell r="K16816">
            <v>1</v>
          </cell>
        </row>
        <row r="16817">
          <cell r="C16817" t="str">
            <v>王瀚霆</v>
          </cell>
          <cell r="F16817" t="str">
            <v>M240703R1</v>
          </cell>
          <cell r="J16817">
            <v>46050</v>
          </cell>
          <cell r="K16817">
            <v>1.5</v>
          </cell>
        </row>
        <row r="16818">
          <cell r="C16818" t="str">
            <v>王瀚霆</v>
          </cell>
          <cell r="F16818" t="str">
            <v>D250501R1</v>
          </cell>
          <cell r="J16818">
            <v>46050</v>
          </cell>
          <cell r="K16818">
            <v>2</v>
          </cell>
        </row>
        <row r="16819">
          <cell r="C16819" t="str">
            <v>王瀚霆</v>
          </cell>
          <cell r="F16819" t="str">
            <v>D240902R1</v>
          </cell>
          <cell r="J16819">
            <v>46050</v>
          </cell>
          <cell r="K16819">
            <v>3</v>
          </cell>
        </row>
        <row r="16820">
          <cell r="C16820" t="str">
            <v>王瀚霆</v>
          </cell>
          <cell r="J16820">
            <v>46051</v>
          </cell>
          <cell r="K16820">
            <v>1.5</v>
          </cell>
        </row>
        <row r="16821">
          <cell r="C16821" t="str">
            <v>王瀚霆</v>
          </cell>
          <cell r="F16821" t="str">
            <v>D250101R1</v>
          </cell>
          <cell r="J16821">
            <v>46051</v>
          </cell>
          <cell r="K16821">
            <v>1</v>
          </cell>
        </row>
        <row r="16822">
          <cell r="C16822" t="str">
            <v>王瀚霆</v>
          </cell>
          <cell r="F16822" t="str">
            <v>D240902R1</v>
          </cell>
          <cell r="J16822">
            <v>46051</v>
          </cell>
          <cell r="K16822">
            <v>5</v>
          </cell>
        </row>
        <row r="16823">
          <cell r="C16823" t="str">
            <v>王瀚霆</v>
          </cell>
          <cell r="F16823" t="str">
            <v>D250501R1</v>
          </cell>
          <cell r="J16823">
            <v>46051</v>
          </cell>
          <cell r="K16823">
            <v>0.5</v>
          </cell>
        </row>
        <row r="16824">
          <cell r="C16824" t="str">
            <v>王瀚霆</v>
          </cell>
          <cell r="J16824">
            <v>46052</v>
          </cell>
          <cell r="K16824">
            <v>8</v>
          </cell>
        </row>
        <row r="16825">
          <cell r="C16825" t="str">
            <v>王瀚霆</v>
          </cell>
          <cell r="F16825" t="str">
            <v>D240902R1</v>
          </cell>
          <cell r="J16825">
            <v>46055</v>
          </cell>
          <cell r="K16825">
            <v>2</v>
          </cell>
        </row>
        <row r="16826">
          <cell r="C16826" t="str">
            <v>王瀚霆</v>
          </cell>
          <cell r="J16826">
            <v>46055</v>
          </cell>
          <cell r="K16826">
            <v>1.5</v>
          </cell>
        </row>
        <row r="16827">
          <cell r="C16827" t="str">
            <v>王瀚霆</v>
          </cell>
          <cell r="F16827" t="str">
            <v>D250501R1</v>
          </cell>
          <cell r="J16827">
            <v>46055</v>
          </cell>
          <cell r="K16827">
            <v>1</v>
          </cell>
        </row>
        <row r="16828">
          <cell r="C16828" t="str">
            <v>王瀚霆</v>
          </cell>
          <cell r="J16828">
            <v>46055</v>
          </cell>
          <cell r="K16828">
            <v>1.5</v>
          </cell>
        </row>
        <row r="16829">
          <cell r="C16829" t="str">
            <v>王瀚霆</v>
          </cell>
          <cell r="F16829" t="str">
            <v>M240704R1</v>
          </cell>
          <cell r="J16829">
            <v>46055</v>
          </cell>
          <cell r="K16829">
            <v>1</v>
          </cell>
        </row>
        <row r="16830">
          <cell r="C16830" t="str">
            <v>王瀚霆</v>
          </cell>
          <cell r="F16830" t="str">
            <v>M240703R1</v>
          </cell>
          <cell r="J16830">
            <v>46055</v>
          </cell>
          <cell r="K16830">
            <v>1</v>
          </cell>
        </row>
        <row r="16831">
          <cell r="C16831" t="str">
            <v>王瀚霆</v>
          </cell>
          <cell r="F16831" t="str">
            <v>D240902R1</v>
          </cell>
          <cell r="J16831">
            <v>46055</v>
          </cell>
          <cell r="K16831">
            <v>1.5</v>
          </cell>
        </row>
        <row r="16832">
          <cell r="C16832" t="str">
            <v>王瀚霆</v>
          </cell>
          <cell r="F16832" t="str">
            <v>D240902R1</v>
          </cell>
          <cell r="J16832">
            <v>46056</v>
          </cell>
          <cell r="K16832">
            <v>7</v>
          </cell>
        </row>
        <row r="16833">
          <cell r="C16833" t="str">
            <v>王瀚霆</v>
          </cell>
          <cell r="F16833" t="str">
            <v>D250501R1</v>
          </cell>
          <cell r="J16833">
            <v>46056</v>
          </cell>
          <cell r="K16833">
            <v>2.5</v>
          </cell>
        </row>
        <row r="16834">
          <cell r="C16834" t="str">
            <v>王瀚霆</v>
          </cell>
          <cell r="J16834">
            <v>46057</v>
          </cell>
          <cell r="K16834">
            <v>1</v>
          </cell>
        </row>
        <row r="16835">
          <cell r="C16835" t="str">
            <v>王瀚霆</v>
          </cell>
          <cell r="F16835" t="str">
            <v>M240703R1</v>
          </cell>
          <cell r="J16835">
            <v>46057</v>
          </cell>
          <cell r="K16835">
            <v>2.5</v>
          </cell>
        </row>
        <row r="16836">
          <cell r="C16836" t="str">
            <v>王瀚霆</v>
          </cell>
          <cell r="F16836" t="str">
            <v>D250501R1</v>
          </cell>
          <cell r="J16836">
            <v>46057</v>
          </cell>
          <cell r="K16836">
            <v>1</v>
          </cell>
        </row>
        <row r="16837">
          <cell r="C16837" t="str">
            <v>王瀚霆</v>
          </cell>
          <cell r="F16837" t="str">
            <v>D240902R1</v>
          </cell>
          <cell r="J16837">
            <v>46057</v>
          </cell>
          <cell r="K16837">
            <v>4</v>
          </cell>
        </row>
        <row r="16838">
          <cell r="C16838" t="str">
            <v>王瀚霆</v>
          </cell>
          <cell r="J16838">
            <v>46058</v>
          </cell>
          <cell r="K16838">
            <v>1</v>
          </cell>
        </row>
        <row r="16839">
          <cell r="C16839" t="str">
            <v>王瀚霆</v>
          </cell>
          <cell r="J16839">
            <v>46058</v>
          </cell>
          <cell r="K16839">
            <v>1.5</v>
          </cell>
        </row>
        <row r="16840">
          <cell r="C16840" t="str">
            <v>王瀚霆</v>
          </cell>
          <cell r="F16840" t="str">
            <v>D250101R1</v>
          </cell>
          <cell r="J16840">
            <v>46058</v>
          </cell>
          <cell r="K16840">
            <v>4.5</v>
          </cell>
        </row>
        <row r="16841">
          <cell r="C16841" t="str">
            <v>王瀚霆</v>
          </cell>
          <cell r="F16841" t="str">
            <v>M240703R1</v>
          </cell>
          <cell r="J16841">
            <v>46058</v>
          </cell>
          <cell r="K16841">
            <v>1</v>
          </cell>
        </row>
        <row r="16842">
          <cell r="C16842" t="str">
            <v>王瀚霆</v>
          </cell>
          <cell r="F16842" t="str">
            <v>K251001R1</v>
          </cell>
          <cell r="J16842">
            <v>46059</v>
          </cell>
          <cell r="K16842">
            <v>2</v>
          </cell>
        </row>
        <row r="16843">
          <cell r="C16843" t="str">
            <v>王瀚霆</v>
          </cell>
          <cell r="F16843" t="str">
            <v>D240902R1</v>
          </cell>
          <cell r="J16843">
            <v>46059</v>
          </cell>
          <cell r="K16843">
            <v>1.5</v>
          </cell>
        </row>
        <row r="16844">
          <cell r="C16844" t="str">
            <v>王瀚霆</v>
          </cell>
          <cell r="F16844" t="str">
            <v>M260201R1</v>
          </cell>
          <cell r="J16844">
            <v>46059</v>
          </cell>
          <cell r="K16844">
            <v>3</v>
          </cell>
        </row>
        <row r="16845">
          <cell r="C16845" t="str">
            <v>王瀚霆</v>
          </cell>
          <cell r="J16845">
            <v>46062</v>
          </cell>
          <cell r="K16845">
            <v>2</v>
          </cell>
        </row>
        <row r="16846">
          <cell r="C16846" t="str">
            <v>王瀚霆</v>
          </cell>
          <cell r="F16846" t="str">
            <v>D240902R1</v>
          </cell>
          <cell r="J16846">
            <v>46062</v>
          </cell>
          <cell r="K16846">
            <v>3</v>
          </cell>
        </row>
        <row r="16847">
          <cell r="C16847" t="str">
            <v>王瀚霆</v>
          </cell>
          <cell r="F16847" t="str">
            <v>M240703R1</v>
          </cell>
          <cell r="J16847">
            <v>46062</v>
          </cell>
          <cell r="K16847">
            <v>3</v>
          </cell>
        </row>
        <row r="16848">
          <cell r="C16848" t="str">
            <v>王瀚霆</v>
          </cell>
          <cell r="F16848" t="str">
            <v>M260201R1</v>
          </cell>
          <cell r="J16848">
            <v>46062</v>
          </cell>
          <cell r="K16848">
            <v>1.5</v>
          </cell>
        </row>
        <row r="16849">
          <cell r="C16849" t="str">
            <v>王瀚霆</v>
          </cell>
          <cell r="F16849" t="str">
            <v>K251001R1</v>
          </cell>
          <cell r="J16849">
            <v>46063</v>
          </cell>
          <cell r="K16849">
            <v>2.5</v>
          </cell>
        </row>
        <row r="16850">
          <cell r="C16850" t="str">
            <v>王瀚霆</v>
          </cell>
          <cell r="F16850" t="str">
            <v>D240902R1</v>
          </cell>
          <cell r="J16850">
            <v>46063</v>
          </cell>
          <cell r="K16850">
            <v>2</v>
          </cell>
        </row>
        <row r="16851">
          <cell r="C16851" t="str">
            <v>王瀚霆</v>
          </cell>
          <cell r="F16851" t="str">
            <v>M240703R1</v>
          </cell>
          <cell r="J16851">
            <v>46063</v>
          </cell>
          <cell r="K16851">
            <v>1.5</v>
          </cell>
        </row>
        <row r="16852">
          <cell r="C16852" t="str">
            <v>王瀚霆</v>
          </cell>
          <cell r="F16852" t="str">
            <v>M260201R1</v>
          </cell>
          <cell r="J16852">
            <v>46063</v>
          </cell>
          <cell r="K16852">
            <v>2.5</v>
          </cell>
        </row>
        <row r="16853">
          <cell r="C16853" t="str">
            <v>王瀚霆</v>
          </cell>
          <cell r="F16853" t="str">
            <v>K251101R1</v>
          </cell>
          <cell r="J16853">
            <v>46063</v>
          </cell>
          <cell r="K16853">
            <v>1</v>
          </cell>
        </row>
        <row r="16854">
          <cell r="C16854" t="str">
            <v>王瀚霆</v>
          </cell>
          <cell r="F16854" t="str">
            <v>M240703R1</v>
          </cell>
          <cell r="J16854">
            <v>46064</v>
          </cell>
          <cell r="K16854">
            <v>6</v>
          </cell>
        </row>
        <row r="16855">
          <cell r="C16855" t="str">
            <v>王瀚霆</v>
          </cell>
          <cell r="F16855" t="str">
            <v>D240902R1</v>
          </cell>
          <cell r="J16855">
            <v>46064</v>
          </cell>
          <cell r="K16855">
            <v>1</v>
          </cell>
        </row>
        <row r="16856">
          <cell r="C16856" t="str">
            <v>王瀚霆</v>
          </cell>
          <cell r="F16856" t="str">
            <v>D250501R1</v>
          </cell>
          <cell r="J16856">
            <v>46064</v>
          </cell>
          <cell r="K16856">
            <v>1</v>
          </cell>
        </row>
        <row r="16857">
          <cell r="C16857" t="str">
            <v>王瀚霆</v>
          </cell>
          <cell r="F16857" t="str">
            <v>M240703R1</v>
          </cell>
          <cell r="J16857">
            <v>46065</v>
          </cell>
          <cell r="K16857">
            <v>1</v>
          </cell>
        </row>
        <row r="16858">
          <cell r="C16858" t="str">
            <v>王瀚霆</v>
          </cell>
          <cell r="F16858" t="str">
            <v>D240902R1</v>
          </cell>
          <cell r="J16858">
            <v>46065</v>
          </cell>
          <cell r="K16858">
            <v>2.5</v>
          </cell>
        </row>
        <row r="16859">
          <cell r="C16859" t="str">
            <v>王瀚霆</v>
          </cell>
          <cell r="F16859" t="str">
            <v>D250501R1</v>
          </cell>
          <cell r="J16859">
            <v>46065</v>
          </cell>
          <cell r="K16859">
            <v>1</v>
          </cell>
        </row>
        <row r="16860">
          <cell r="C16860" t="str">
            <v>王瀚霆</v>
          </cell>
          <cell r="F16860" t="str">
            <v>M260201R1</v>
          </cell>
          <cell r="J16860">
            <v>46065</v>
          </cell>
          <cell r="K16860">
            <v>3.5</v>
          </cell>
        </row>
        <row r="16861">
          <cell r="C16861" t="str">
            <v>王瀚霆</v>
          </cell>
          <cell r="J16861">
            <v>46066</v>
          </cell>
          <cell r="K16861">
            <v>2</v>
          </cell>
        </row>
        <row r="16862">
          <cell r="C16862" t="str">
            <v>王瀚霆</v>
          </cell>
          <cell r="J16862">
            <v>46066</v>
          </cell>
          <cell r="K16862">
            <v>2.5</v>
          </cell>
        </row>
        <row r="16863">
          <cell r="C16863" t="str">
            <v>王瀚霆</v>
          </cell>
          <cell r="F16863" t="str">
            <v>M240703R1</v>
          </cell>
          <cell r="J16863">
            <v>46066</v>
          </cell>
          <cell r="K16863">
            <v>1.5</v>
          </cell>
        </row>
        <row r="16864">
          <cell r="C16864" t="str">
            <v>王瀚霆</v>
          </cell>
          <cell r="F16864" t="str">
            <v>D250501R1</v>
          </cell>
          <cell r="J16864">
            <v>46066</v>
          </cell>
          <cell r="K16864">
            <v>1</v>
          </cell>
        </row>
        <row r="16865">
          <cell r="C16865" t="str">
            <v>王瀚霆</v>
          </cell>
          <cell r="F16865" t="str">
            <v>D240902R1</v>
          </cell>
          <cell r="J16865">
            <v>46076</v>
          </cell>
          <cell r="K16865">
            <v>1.5</v>
          </cell>
        </row>
        <row r="16866">
          <cell r="C16866" t="str">
            <v>王瀚霆</v>
          </cell>
          <cell r="F16866" t="str">
            <v>M240703R1</v>
          </cell>
          <cell r="J16866">
            <v>46076</v>
          </cell>
          <cell r="K16866">
            <v>1.5</v>
          </cell>
        </row>
        <row r="16867">
          <cell r="C16867" t="str">
            <v>王瀚霆</v>
          </cell>
          <cell r="F16867" t="str">
            <v>D250501R1</v>
          </cell>
          <cell r="J16867">
            <v>46076</v>
          </cell>
          <cell r="K16867">
            <v>6</v>
          </cell>
        </row>
        <row r="16868">
          <cell r="C16868" t="str">
            <v>王瀚霆</v>
          </cell>
          <cell r="J16868">
            <v>46077</v>
          </cell>
          <cell r="K16868">
            <v>4</v>
          </cell>
        </row>
        <row r="16869">
          <cell r="C16869" t="str">
            <v>王瀚霆</v>
          </cell>
          <cell r="J16869">
            <v>46077</v>
          </cell>
          <cell r="K16869">
            <v>1</v>
          </cell>
        </row>
        <row r="16870">
          <cell r="C16870" t="str">
            <v>王瀚霆</v>
          </cell>
          <cell r="F16870" t="str">
            <v>D240902R1</v>
          </cell>
          <cell r="J16870">
            <v>46077</v>
          </cell>
          <cell r="K16870">
            <v>3</v>
          </cell>
        </row>
        <row r="16871">
          <cell r="C16871" t="str">
            <v>王瀚霆</v>
          </cell>
          <cell r="J16871">
            <v>46078</v>
          </cell>
          <cell r="K16871">
            <v>1</v>
          </cell>
        </row>
        <row r="16872">
          <cell r="C16872" t="str">
            <v>王瀚霆</v>
          </cell>
          <cell r="F16872" t="str">
            <v>D250501R1</v>
          </cell>
          <cell r="J16872">
            <v>46078</v>
          </cell>
          <cell r="K16872">
            <v>7</v>
          </cell>
        </row>
        <row r="16873">
          <cell r="C16873" t="str">
            <v>王瀚霆</v>
          </cell>
          <cell r="F16873" t="str">
            <v>D240902R1</v>
          </cell>
          <cell r="J16873">
            <v>46079</v>
          </cell>
          <cell r="K16873">
            <v>3</v>
          </cell>
        </row>
        <row r="16874">
          <cell r="C16874" t="str">
            <v>王瀚霆</v>
          </cell>
          <cell r="F16874" t="str">
            <v>K250501R2</v>
          </cell>
          <cell r="J16874">
            <v>46079</v>
          </cell>
          <cell r="K16874">
            <v>1.5</v>
          </cell>
        </row>
        <row r="16875">
          <cell r="C16875" t="str">
            <v>王瀚霆</v>
          </cell>
          <cell r="F16875" t="str">
            <v>D250501R1</v>
          </cell>
          <cell r="J16875">
            <v>46079</v>
          </cell>
          <cell r="K16875">
            <v>3.5</v>
          </cell>
        </row>
        <row r="16876">
          <cell r="C16876" t="str">
            <v>王瀚霆</v>
          </cell>
          <cell r="F16876" t="str">
            <v>D240902R1</v>
          </cell>
          <cell r="J16876">
            <v>46083</v>
          </cell>
          <cell r="K16876">
            <v>3.5</v>
          </cell>
        </row>
        <row r="16877">
          <cell r="C16877" t="str">
            <v>王瀚霆</v>
          </cell>
          <cell r="F16877" t="str">
            <v>D250501R1</v>
          </cell>
          <cell r="J16877">
            <v>46083</v>
          </cell>
          <cell r="K16877">
            <v>3</v>
          </cell>
        </row>
        <row r="16878">
          <cell r="C16878" t="str">
            <v>王瀚霆</v>
          </cell>
          <cell r="F16878" t="str">
            <v>M240704R1</v>
          </cell>
          <cell r="J16878">
            <v>46083</v>
          </cell>
          <cell r="K16878">
            <v>3</v>
          </cell>
        </row>
        <row r="16879">
          <cell r="C16879" t="str">
            <v>王瀚霆</v>
          </cell>
          <cell r="F16879" t="str">
            <v>D240902R1</v>
          </cell>
          <cell r="J16879">
            <v>46084</v>
          </cell>
          <cell r="K16879">
            <v>3.5</v>
          </cell>
        </row>
        <row r="16880">
          <cell r="C16880" t="str">
            <v>王瀚霆</v>
          </cell>
          <cell r="F16880" t="str">
            <v>D250501R1</v>
          </cell>
          <cell r="J16880">
            <v>46084</v>
          </cell>
          <cell r="K16880">
            <v>4.5</v>
          </cell>
        </row>
        <row r="16881">
          <cell r="C16881" t="str">
            <v>王瀚霆</v>
          </cell>
          <cell r="J16881">
            <v>46085</v>
          </cell>
          <cell r="K16881">
            <v>5.5</v>
          </cell>
        </row>
        <row r="16882">
          <cell r="C16882" t="str">
            <v>王瀚霆</v>
          </cell>
          <cell r="F16882" t="str">
            <v>D240902R1</v>
          </cell>
          <cell r="J16882">
            <v>46085</v>
          </cell>
          <cell r="K16882">
            <v>2.5</v>
          </cell>
        </row>
        <row r="16883">
          <cell r="C16883" t="str">
            <v>王瀚霆</v>
          </cell>
          <cell r="J16883">
            <v>46086</v>
          </cell>
          <cell r="K16883">
            <v>1</v>
          </cell>
        </row>
        <row r="16884">
          <cell r="C16884" t="str">
            <v>王瀚霆</v>
          </cell>
          <cell r="J16884">
            <v>46086</v>
          </cell>
          <cell r="K16884">
            <v>4</v>
          </cell>
        </row>
        <row r="16885">
          <cell r="C16885" t="str">
            <v>王瀚霆</v>
          </cell>
          <cell r="J16885">
            <v>46086</v>
          </cell>
          <cell r="K16885">
            <v>1.5</v>
          </cell>
        </row>
        <row r="16886">
          <cell r="C16886" t="str">
            <v>王瀚霆</v>
          </cell>
          <cell r="F16886" t="str">
            <v>D240902R1</v>
          </cell>
          <cell r="J16886">
            <v>46086</v>
          </cell>
          <cell r="K16886">
            <v>1.5</v>
          </cell>
        </row>
        <row r="16887">
          <cell r="C16887" t="str">
            <v>王瀚霆</v>
          </cell>
          <cell r="J16887">
            <v>46087</v>
          </cell>
          <cell r="K16887">
            <v>1</v>
          </cell>
        </row>
        <row r="16888">
          <cell r="C16888" t="str">
            <v>王瀚霆</v>
          </cell>
          <cell r="J16888">
            <v>46087</v>
          </cell>
          <cell r="K16888">
            <v>1</v>
          </cell>
        </row>
        <row r="16889">
          <cell r="C16889" t="str">
            <v>王瀚霆</v>
          </cell>
          <cell r="F16889" t="str">
            <v>M260201R1</v>
          </cell>
          <cell r="J16889">
            <v>46087</v>
          </cell>
          <cell r="K16889">
            <v>1</v>
          </cell>
        </row>
        <row r="16890">
          <cell r="C16890" t="str">
            <v>王瀚霆</v>
          </cell>
          <cell r="F16890" t="str">
            <v>M251001R1</v>
          </cell>
          <cell r="J16890">
            <v>46087</v>
          </cell>
          <cell r="K16890">
            <v>3</v>
          </cell>
        </row>
        <row r="16891">
          <cell r="C16891" t="str">
            <v>王瀚霆</v>
          </cell>
          <cell r="F16891" t="str">
            <v>M240704R1</v>
          </cell>
          <cell r="J16891">
            <v>46087</v>
          </cell>
          <cell r="K16891">
            <v>2</v>
          </cell>
        </row>
        <row r="16892">
          <cell r="C16892" t="str">
            <v>王瀚霆</v>
          </cell>
          <cell r="F16892" t="str">
            <v>K231101R1</v>
          </cell>
          <cell r="J16892">
            <v>46090</v>
          </cell>
          <cell r="K16892">
            <v>2</v>
          </cell>
        </row>
        <row r="16893">
          <cell r="C16893" t="str">
            <v>王瀚霆</v>
          </cell>
          <cell r="J16893">
            <v>46090</v>
          </cell>
          <cell r="K16893">
            <v>2</v>
          </cell>
        </row>
        <row r="16894">
          <cell r="C16894" t="str">
            <v>王瀚霆</v>
          </cell>
          <cell r="F16894" t="str">
            <v>D240902R1</v>
          </cell>
          <cell r="J16894">
            <v>46090</v>
          </cell>
          <cell r="K16894">
            <v>4</v>
          </cell>
        </row>
        <row r="16895">
          <cell r="C16895" t="str">
            <v>王瀚霆</v>
          </cell>
          <cell r="J16895">
            <v>46091</v>
          </cell>
          <cell r="K16895">
            <v>2.5</v>
          </cell>
        </row>
        <row r="16896">
          <cell r="C16896" t="str">
            <v>王瀚霆</v>
          </cell>
          <cell r="F16896" t="str">
            <v>M251001R1</v>
          </cell>
          <cell r="J16896">
            <v>46091</v>
          </cell>
          <cell r="K16896">
            <v>3</v>
          </cell>
        </row>
        <row r="16897">
          <cell r="C16897" t="str">
            <v>王瀚霆</v>
          </cell>
          <cell r="F16897" t="str">
            <v>D240902R1</v>
          </cell>
          <cell r="J16897">
            <v>46091</v>
          </cell>
          <cell r="K16897">
            <v>2.5</v>
          </cell>
        </row>
        <row r="16898">
          <cell r="C16898" t="str">
            <v>王瀚霆</v>
          </cell>
          <cell r="J16898">
            <v>46092</v>
          </cell>
          <cell r="K16898">
            <v>6</v>
          </cell>
        </row>
        <row r="16899">
          <cell r="C16899" t="str">
            <v>王瀚霆</v>
          </cell>
          <cell r="F16899" t="str">
            <v>D250501R1</v>
          </cell>
          <cell r="J16899">
            <v>46092</v>
          </cell>
          <cell r="K16899">
            <v>2</v>
          </cell>
        </row>
        <row r="16900">
          <cell r="C16900" t="str">
            <v>王瀚霆</v>
          </cell>
          <cell r="J16900">
            <v>46093</v>
          </cell>
          <cell r="K16900">
            <v>7</v>
          </cell>
        </row>
        <row r="16901">
          <cell r="C16901" t="str">
            <v>王瀚霆</v>
          </cell>
          <cell r="F16901" t="str">
            <v>D250501R1</v>
          </cell>
          <cell r="J16901">
            <v>46093</v>
          </cell>
          <cell r="K16901">
            <v>1</v>
          </cell>
        </row>
        <row r="16902">
          <cell r="C16902" t="str">
            <v>王瀚霆</v>
          </cell>
          <cell r="J16902">
            <v>46094</v>
          </cell>
          <cell r="K16902">
            <v>1</v>
          </cell>
        </row>
        <row r="16903">
          <cell r="C16903" t="str">
            <v>王瀚霆</v>
          </cell>
          <cell r="J16903">
            <v>46094</v>
          </cell>
          <cell r="K16903">
            <v>7</v>
          </cell>
        </row>
        <row r="16904">
          <cell r="C16904" t="str">
            <v>王瀚霆</v>
          </cell>
          <cell r="J16904">
            <v>46097</v>
          </cell>
          <cell r="K16904">
            <v>2</v>
          </cell>
        </row>
        <row r="16905">
          <cell r="C16905" t="str">
            <v>王瀚霆</v>
          </cell>
          <cell r="J16905">
            <v>46097</v>
          </cell>
          <cell r="K16905">
            <v>3</v>
          </cell>
        </row>
        <row r="16906">
          <cell r="C16906" t="str">
            <v>王瀚霆</v>
          </cell>
          <cell r="F16906" t="str">
            <v>D240902R1</v>
          </cell>
          <cell r="J16906">
            <v>46097</v>
          </cell>
          <cell r="K16906">
            <v>3</v>
          </cell>
        </row>
        <row r="16907">
          <cell r="C16907" t="str">
            <v>王瀚霆</v>
          </cell>
          <cell r="J16907">
            <v>46098</v>
          </cell>
          <cell r="K16907">
            <v>2</v>
          </cell>
        </row>
        <row r="16908">
          <cell r="C16908" t="str">
            <v>王瀚霆</v>
          </cell>
          <cell r="F16908" t="str">
            <v>D240902R1</v>
          </cell>
          <cell r="J16908">
            <v>46098</v>
          </cell>
          <cell r="K16908">
            <v>2</v>
          </cell>
        </row>
        <row r="16909">
          <cell r="C16909" t="str">
            <v>王瀚霆</v>
          </cell>
          <cell r="F16909" t="str">
            <v>M240704R1</v>
          </cell>
          <cell r="J16909">
            <v>46098</v>
          </cell>
          <cell r="K16909">
            <v>4</v>
          </cell>
        </row>
        <row r="16910">
          <cell r="C16910" t="str">
            <v>王瀚霆</v>
          </cell>
          <cell r="J16910">
            <v>46099</v>
          </cell>
          <cell r="K16910">
            <v>3.5</v>
          </cell>
        </row>
        <row r="16911">
          <cell r="C16911" t="str">
            <v>王瀚霆</v>
          </cell>
          <cell r="F16911" t="str">
            <v>D240902R1</v>
          </cell>
          <cell r="J16911">
            <v>46099</v>
          </cell>
          <cell r="K16911">
            <v>1.5</v>
          </cell>
        </row>
        <row r="16912">
          <cell r="C16912" t="str">
            <v>王瀚霆</v>
          </cell>
          <cell r="F16912" t="str">
            <v>K231101P1</v>
          </cell>
          <cell r="J16912">
            <v>46099</v>
          </cell>
          <cell r="K16912">
            <v>3</v>
          </cell>
        </row>
        <row r="16913">
          <cell r="C16913" t="str">
            <v>王瀚霆</v>
          </cell>
          <cell r="J16913">
            <v>46100</v>
          </cell>
          <cell r="K16913">
            <v>8</v>
          </cell>
        </row>
        <row r="16914">
          <cell r="C16914" t="str">
            <v>王瀚霆</v>
          </cell>
          <cell r="J16914">
            <v>46101</v>
          </cell>
          <cell r="K16914">
            <v>5.5</v>
          </cell>
        </row>
        <row r="16915">
          <cell r="C16915" t="str">
            <v>王瀚霆</v>
          </cell>
          <cell r="F16915" t="str">
            <v>D240902R1</v>
          </cell>
          <cell r="J16915">
            <v>46101</v>
          </cell>
          <cell r="K16915">
            <v>2.5</v>
          </cell>
        </row>
        <row r="16916">
          <cell r="C16916" t="str">
            <v>王瀚霆</v>
          </cell>
          <cell r="J16916">
            <v>46104</v>
          </cell>
          <cell r="K16916">
            <v>6.5</v>
          </cell>
        </row>
        <row r="16917">
          <cell r="C16917" t="str">
            <v>王瀚霆</v>
          </cell>
          <cell r="F16917" t="str">
            <v>K231101P1</v>
          </cell>
          <cell r="J16917">
            <v>46104</v>
          </cell>
          <cell r="K16917">
            <v>1.5</v>
          </cell>
        </row>
        <row r="16918">
          <cell r="C16918" t="str">
            <v>王瀚霆</v>
          </cell>
          <cell r="J16918">
            <v>46105</v>
          </cell>
          <cell r="K16918">
            <v>4</v>
          </cell>
        </row>
        <row r="16919">
          <cell r="C16919" t="str">
            <v>王瀚霆</v>
          </cell>
          <cell r="F16919" t="str">
            <v>M251001R1</v>
          </cell>
          <cell r="J16919">
            <v>46105</v>
          </cell>
          <cell r="K16919">
            <v>2.5</v>
          </cell>
        </row>
        <row r="16920">
          <cell r="C16920" t="str">
            <v>王瀚霆</v>
          </cell>
          <cell r="F16920" t="str">
            <v>K231101P1</v>
          </cell>
          <cell r="J16920">
            <v>46105</v>
          </cell>
          <cell r="K16920">
            <v>1.5</v>
          </cell>
        </row>
        <row r="16921">
          <cell r="C16921" t="str">
            <v>王瀚霆</v>
          </cell>
          <cell r="J16921">
            <v>46106</v>
          </cell>
          <cell r="K16921">
            <v>5</v>
          </cell>
        </row>
        <row r="16922">
          <cell r="C16922" t="str">
            <v>王瀚霆</v>
          </cell>
          <cell r="F16922" t="str">
            <v>D250501R1</v>
          </cell>
          <cell r="J16922">
            <v>46106</v>
          </cell>
          <cell r="K16922">
            <v>3</v>
          </cell>
        </row>
        <row r="16923">
          <cell r="C16923" t="str">
            <v>王瀚霆</v>
          </cell>
          <cell r="J16923">
            <v>46107</v>
          </cell>
          <cell r="K16923">
            <v>6</v>
          </cell>
        </row>
        <row r="16924">
          <cell r="C16924" t="str">
            <v>王瀚霆</v>
          </cell>
          <cell r="F16924" t="str">
            <v>K231101P1</v>
          </cell>
          <cell r="J16924">
            <v>46107</v>
          </cell>
          <cell r="K16924">
            <v>2</v>
          </cell>
        </row>
        <row r="16925">
          <cell r="C16925" t="str">
            <v>王瀚霆</v>
          </cell>
          <cell r="J16925">
            <v>46108</v>
          </cell>
          <cell r="K16925">
            <v>3.5</v>
          </cell>
        </row>
        <row r="16926">
          <cell r="C16926" t="str">
            <v>王瀚霆</v>
          </cell>
          <cell r="F16926" t="str">
            <v>K231101P1</v>
          </cell>
          <cell r="J16926">
            <v>46108</v>
          </cell>
          <cell r="K16926">
            <v>4.5</v>
          </cell>
        </row>
        <row r="16927">
          <cell r="C16927" t="str">
            <v>王瀚霆</v>
          </cell>
          <cell r="J16927">
            <v>46111</v>
          </cell>
          <cell r="K16927">
            <v>4.5</v>
          </cell>
        </row>
        <row r="16928">
          <cell r="C16928" t="str">
            <v>王瀚霆</v>
          </cell>
          <cell r="J16928">
            <v>46111</v>
          </cell>
          <cell r="K16928">
            <v>3.5</v>
          </cell>
        </row>
        <row r="16929">
          <cell r="C16929" t="str">
            <v>王瀚霆</v>
          </cell>
          <cell r="J16929">
            <v>46112</v>
          </cell>
          <cell r="K16929">
            <v>4.5</v>
          </cell>
        </row>
        <row r="16930">
          <cell r="C16930" t="str">
            <v>王瀚霆</v>
          </cell>
          <cell r="J16930">
            <v>46112</v>
          </cell>
          <cell r="K16930">
            <v>3.5</v>
          </cell>
        </row>
        <row r="16931">
          <cell r="C16931" t="str">
            <v>葉宏政</v>
          </cell>
          <cell r="F16931" t="str">
            <v>M230103R1</v>
          </cell>
          <cell r="J16931">
            <v>45470</v>
          </cell>
          <cell r="K16931">
            <v>3</v>
          </cell>
        </row>
        <row r="16932">
          <cell r="C16932" t="str">
            <v>葉宏政</v>
          </cell>
          <cell r="F16932" t="str">
            <v>M230705R1</v>
          </cell>
          <cell r="J16932">
            <v>45470</v>
          </cell>
          <cell r="K16932">
            <v>2.5</v>
          </cell>
        </row>
        <row r="16933">
          <cell r="C16933" t="str">
            <v>葉宏政</v>
          </cell>
          <cell r="F16933" t="str">
            <v>M230705R1</v>
          </cell>
          <cell r="J16933">
            <v>45470</v>
          </cell>
          <cell r="K16933">
            <v>0.5</v>
          </cell>
        </row>
        <row r="16934">
          <cell r="C16934" t="str">
            <v>葉宏政</v>
          </cell>
          <cell r="F16934" t="str">
            <v>M230705R1</v>
          </cell>
          <cell r="J16934">
            <v>45470</v>
          </cell>
          <cell r="K16934">
            <v>1</v>
          </cell>
        </row>
        <row r="16935">
          <cell r="C16935" t="str">
            <v>葉宏政</v>
          </cell>
          <cell r="F16935" t="str">
            <v>M240201R1</v>
          </cell>
          <cell r="J16935">
            <v>45470</v>
          </cell>
          <cell r="K16935">
            <v>2</v>
          </cell>
        </row>
        <row r="16936">
          <cell r="C16936" t="str">
            <v>葉宏政</v>
          </cell>
          <cell r="J16936">
            <v>45471</v>
          </cell>
          <cell r="K16936">
            <v>1.5</v>
          </cell>
        </row>
        <row r="16937">
          <cell r="C16937" t="str">
            <v>葉宏政</v>
          </cell>
          <cell r="F16937" t="str">
            <v>M230705R1</v>
          </cell>
          <cell r="J16937">
            <v>45471</v>
          </cell>
          <cell r="K16937">
            <v>1.5</v>
          </cell>
        </row>
        <row r="16938">
          <cell r="C16938" t="str">
            <v>葉宏政</v>
          </cell>
          <cell r="F16938" t="str">
            <v>M230705R1</v>
          </cell>
          <cell r="J16938">
            <v>45471</v>
          </cell>
          <cell r="K16938">
            <v>1</v>
          </cell>
        </row>
        <row r="16939">
          <cell r="C16939" t="str">
            <v>葉宏政</v>
          </cell>
          <cell r="F16939" t="str">
            <v>M230705R1</v>
          </cell>
          <cell r="J16939">
            <v>45471</v>
          </cell>
          <cell r="K16939">
            <v>4</v>
          </cell>
        </row>
        <row r="16940">
          <cell r="C16940" t="str">
            <v>葉宏政</v>
          </cell>
          <cell r="F16940" t="str">
            <v>K240101R1</v>
          </cell>
          <cell r="J16940">
            <v>45474</v>
          </cell>
          <cell r="K16940">
            <v>1</v>
          </cell>
        </row>
        <row r="16941">
          <cell r="C16941" t="str">
            <v>葉宏政</v>
          </cell>
          <cell r="F16941" t="str">
            <v>M230705R1</v>
          </cell>
          <cell r="J16941">
            <v>45474</v>
          </cell>
          <cell r="K16941">
            <v>1</v>
          </cell>
        </row>
        <row r="16942">
          <cell r="C16942" t="str">
            <v>葉宏政</v>
          </cell>
          <cell r="F16942" t="str">
            <v>M240201R1</v>
          </cell>
          <cell r="J16942">
            <v>45474</v>
          </cell>
          <cell r="K16942">
            <v>2</v>
          </cell>
        </row>
        <row r="16943">
          <cell r="C16943" t="str">
            <v>葉宏政</v>
          </cell>
          <cell r="F16943" t="str">
            <v>K240101R1</v>
          </cell>
          <cell r="J16943">
            <v>45474</v>
          </cell>
          <cell r="K16943">
            <v>3.5</v>
          </cell>
        </row>
        <row r="16944">
          <cell r="C16944" t="str">
            <v>葉宏政</v>
          </cell>
          <cell r="F16944" t="str">
            <v>K240101R1</v>
          </cell>
          <cell r="J16944">
            <v>45474</v>
          </cell>
          <cell r="K16944">
            <v>2</v>
          </cell>
        </row>
        <row r="16945">
          <cell r="C16945" t="str">
            <v>葉宏政</v>
          </cell>
          <cell r="F16945" t="str">
            <v>M230705R1</v>
          </cell>
          <cell r="J16945">
            <v>45475</v>
          </cell>
          <cell r="K16945">
            <v>1</v>
          </cell>
        </row>
        <row r="16946">
          <cell r="C16946" t="str">
            <v>葉宏政</v>
          </cell>
          <cell r="F16946" t="str">
            <v>K240101R1</v>
          </cell>
          <cell r="J16946">
            <v>45475</v>
          </cell>
          <cell r="K16946">
            <v>3.5</v>
          </cell>
        </row>
        <row r="16947">
          <cell r="C16947" t="str">
            <v>葉宏政</v>
          </cell>
          <cell r="F16947" t="str">
            <v>M240201R1</v>
          </cell>
          <cell r="J16947">
            <v>45475</v>
          </cell>
          <cell r="K16947">
            <v>2</v>
          </cell>
        </row>
        <row r="16948">
          <cell r="C16948" t="str">
            <v>葉宏政</v>
          </cell>
          <cell r="F16948" t="str">
            <v>K240101R1</v>
          </cell>
          <cell r="J16948">
            <v>45475</v>
          </cell>
          <cell r="K16948">
            <v>4</v>
          </cell>
        </row>
        <row r="16949">
          <cell r="C16949" t="str">
            <v>葉宏政</v>
          </cell>
          <cell r="F16949" t="str">
            <v>K240101R1</v>
          </cell>
          <cell r="J16949">
            <v>45476</v>
          </cell>
          <cell r="K16949">
            <v>6</v>
          </cell>
        </row>
        <row r="16950">
          <cell r="C16950" t="str">
            <v>葉宏政</v>
          </cell>
          <cell r="F16950" t="str">
            <v>M240201R1</v>
          </cell>
          <cell r="J16950">
            <v>45476</v>
          </cell>
          <cell r="K16950">
            <v>3</v>
          </cell>
        </row>
        <row r="16951">
          <cell r="C16951" t="str">
            <v>葉宏政</v>
          </cell>
          <cell r="F16951" t="str">
            <v>M240201R1</v>
          </cell>
          <cell r="J16951">
            <v>45477</v>
          </cell>
          <cell r="K16951">
            <v>0.5</v>
          </cell>
        </row>
        <row r="16952">
          <cell r="C16952" t="str">
            <v>葉宏政</v>
          </cell>
          <cell r="F16952" t="str">
            <v>K240101R1</v>
          </cell>
          <cell r="J16952">
            <v>45477</v>
          </cell>
          <cell r="K16952">
            <v>7.5</v>
          </cell>
        </row>
        <row r="16953">
          <cell r="C16953" t="str">
            <v>葉宏政</v>
          </cell>
          <cell r="F16953" t="str">
            <v>K240101R1</v>
          </cell>
          <cell r="J16953">
            <v>45478</v>
          </cell>
          <cell r="K16953">
            <v>7</v>
          </cell>
        </row>
        <row r="16954">
          <cell r="C16954" t="str">
            <v>葉宏政</v>
          </cell>
          <cell r="F16954" t="str">
            <v>M240201R1</v>
          </cell>
          <cell r="J16954">
            <v>45478</v>
          </cell>
          <cell r="K16954">
            <v>2</v>
          </cell>
        </row>
        <row r="16955">
          <cell r="C16955" t="str">
            <v>葉宏政</v>
          </cell>
          <cell r="F16955" t="str">
            <v>M230705R1</v>
          </cell>
          <cell r="J16955">
            <v>45481</v>
          </cell>
          <cell r="K16955">
            <v>1</v>
          </cell>
        </row>
        <row r="16956">
          <cell r="C16956" t="str">
            <v>葉宏政</v>
          </cell>
          <cell r="F16956" t="str">
            <v>K240101R1</v>
          </cell>
          <cell r="J16956">
            <v>45481</v>
          </cell>
          <cell r="K16956">
            <v>1</v>
          </cell>
        </row>
        <row r="16957">
          <cell r="C16957" t="str">
            <v>葉宏政</v>
          </cell>
          <cell r="F16957" t="str">
            <v>K240101R1</v>
          </cell>
          <cell r="J16957">
            <v>45481</v>
          </cell>
          <cell r="K16957">
            <v>3</v>
          </cell>
        </row>
        <row r="16958">
          <cell r="C16958" t="str">
            <v>葉宏政</v>
          </cell>
          <cell r="F16958" t="str">
            <v>K240101R1</v>
          </cell>
          <cell r="J16958">
            <v>45481</v>
          </cell>
          <cell r="K16958">
            <v>4</v>
          </cell>
        </row>
        <row r="16959">
          <cell r="C16959" t="str">
            <v>葉宏政</v>
          </cell>
          <cell r="F16959" t="str">
            <v>M230705R1</v>
          </cell>
          <cell r="J16959">
            <v>45482</v>
          </cell>
          <cell r="K16959">
            <v>4</v>
          </cell>
        </row>
        <row r="16960">
          <cell r="C16960" t="str">
            <v>葉宏政</v>
          </cell>
          <cell r="F16960" t="str">
            <v>M230705R1</v>
          </cell>
          <cell r="J16960">
            <v>45482</v>
          </cell>
          <cell r="K16960">
            <v>3</v>
          </cell>
        </row>
        <row r="16961">
          <cell r="C16961" t="str">
            <v>葉宏政</v>
          </cell>
          <cell r="F16961" t="str">
            <v>K240101R1</v>
          </cell>
          <cell r="J16961">
            <v>45482</v>
          </cell>
          <cell r="K16961">
            <v>2</v>
          </cell>
        </row>
        <row r="16962">
          <cell r="C16962" t="str">
            <v>葉宏政</v>
          </cell>
          <cell r="F16962" t="str">
            <v>M230705R1</v>
          </cell>
          <cell r="J16962">
            <v>45483</v>
          </cell>
          <cell r="K16962">
            <v>2</v>
          </cell>
        </row>
        <row r="16963">
          <cell r="C16963" t="str">
            <v>葉宏政</v>
          </cell>
          <cell r="F16963" t="str">
            <v>M240201R1</v>
          </cell>
          <cell r="J16963">
            <v>45483</v>
          </cell>
          <cell r="K16963">
            <v>2</v>
          </cell>
        </row>
        <row r="16964">
          <cell r="C16964" t="str">
            <v>葉宏政</v>
          </cell>
          <cell r="F16964" t="str">
            <v>K240101R1</v>
          </cell>
          <cell r="J16964">
            <v>45483</v>
          </cell>
          <cell r="K16964">
            <v>1.5</v>
          </cell>
        </row>
        <row r="16965">
          <cell r="C16965" t="str">
            <v>葉宏政</v>
          </cell>
          <cell r="F16965" t="str">
            <v>K240101R1</v>
          </cell>
          <cell r="J16965">
            <v>45483</v>
          </cell>
          <cell r="K16965">
            <v>4</v>
          </cell>
        </row>
        <row r="16966">
          <cell r="C16966" t="str">
            <v>葉宏政</v>
          </cell>
          <cell r="J16966">
            <v>45484</v>
          </cell>
          <cell r="K16966">
            <v>0.5</v>
          </cell>
        </row>
        <row r="16967">
          <cell r="C16967" t="str">
            <v>葉宏政</v>
          </cell>
          <cell r="F16967" t="str">
            <v>M240201R1</v>
          </cell>
          <cell r="J16967">
            <v>45484</v>
          </cell>
          <cell r="K16967">
            <v>0.5</v>
          </cell>
        </row>
        <row r="16968">
          <cell r="C16968" t="str">
            <v>葉宏政</v>
          </cell>
          <cell r="F16968" t="str">
            <v>M240201R1</v>
          </cell>
          <cell r="J16968">
            <v>45484</v>
          </cell>
          <cell r="K16968">
            <v>7.5</v>
          </cell>
        </row>
        <row r="16969">
          <cell r="C16969" t="str">
            <v>葉宏政</v>
          </cell>
          <cell r="F16969" t="str">
            <v>M230705R1</v>
          </cell>
          <cell r="J16969">
            <v>45484</v>
          </cell>
          <cell r="K16969">
            <v>1</v>
          </cell>
        </row>
        <row r="16970">
          <cell r="C16970" t="str">
            <v>葉宏政</v>
          </cell>
          <cell r="F16970" t="str">
            <v>M240201R1</v>
          </cell>
          <cell r="J16970">
            <v>45485</v>
          </cell>
          <cell r="K16970">
            <v>5</v>
          </cell>
        </row>
        <row r="16971">
          <cell r="C16971" t="str">
            <v>葉宏政</v>
          </cell>
          <cell r="F16971" t="str">
            <v>M230705R1</v>
          </cell>
          <cell r="J16971">
            <v>45485</v>
          </cell>
          <cell r="K16971">
            <v>3</v>
          </cell>
        </row>
        <row r="16972">
          <cell r="C16972" t="str">
            <v>葉宏政</v>
          </cell>
          <cell r="F16972" t="str">
            <v>K240101R1</v>
          </cell>
          <cell r="J16972">
            <v>45485</v>
          </cell>
          <cell r="K16972">
            <v>1</v>
          </cell>
        </row>
        <row r="16973">
          <cell r="C16973" t="str">
            <v>葉宏政</v>
          </cell>
          <cell r="F16973" t="str">
            <v>M230705R1</v>
          </cell>
          <cell r="J16973">
            <v>45488</v>
          </cell>
          <cell r="K16973">
            <v>0.5</v>
          </cell>
        </row>
        <row r="16974">
          <cell r="C16974" t="str">
            <v>葉宏政</v>
          </cell>
          <cell r="F16974" t="str">
            <v>M240201R1</v>
          </cell>
          <cell r="J16974">
            <v>45488</v>
          </cell>
          <cell r="K16974">
            <v>0.5</v>
          </cell>
        </row>
        <row r="16975">
          <cell r="C16975" t="str">
            <v>葉宏政</v>
          </cell>
          <cell r="F16975" t="str">
            <v>M240201R1</v>
          </cell>
          <cell r="J16975">
            <v>45488</v>
          </cell>
          <cell r="K16975">
            <v>3</v>
          </cell>
        </row>
        <row r="16976">
          <cell r="C16976" t="str">
            <v>葉宏政</v>
          </cell>
          <cell r="F16976" t="str">
            <v>M230705R1</v>
          </cell>
          <cell r="J16976">
            <v>45488</v>
          </cell>
          <cell r="K16976">
            <v>0.5</v>
          </cell>
        </row>
        <row r="16977">
          <cell r="C16977" t="str">
            <v>葉宏政</v>
          </cell>
          <cell r="F16977" t="str">
            <v>M230705R1</v>
          </cell>
          <cell r="J16977">
            <v>45488</v>
          </cell>
          <cell r="K16977">
            <v>1</v>
          </cell>
        </row>
        <row r="16978">
          <cell r="C16978" t="str">
            <v>葉宏政</v>
          </cell>
          <cell r="F16978" t="str">
            <v>M230705R1</v>
          </cell>
          <cell r="J16978">
            <v>45488</v>
          </cell>
          <cell r="K16978">
            <v>1</v>
          </cell>
        </row>
        <row r="16979">
          <cell r="C16979" t="str">
            <v>葉宏政</v>
          </cell>
          <cell r="F16979" t="str">
            <v>K240101R1</v>
          </cell>
          <cell r="J16979">
            <v>45488</v>
          </cell>
          <cell r="K16979">
            <v>2</v>
          </cell>
        </row>
        <row r="16980">
          <cell r="C16980" t="str">
            <v>葉宏政</v>
          </cell>
          <cell r="F16980" t="str">
            <v>M230705R1</v>
          </cell>
          <cell r="J16980">
            <v>45489</v>
          </cell>
          <cell r="K16980">
            <v>1</v>
          </cell>
        </row>
        <row r="16981">
          <cell r="C16981" t="str">
            <v>葉宏政</v>
          </cell>
          <cell r="F16981" t="str">
            <v>M230705R1</v>
          </cell>
          <cell r="J16981">
            <v>45489</v>
          </cell>
          <cell r="K16981">
            <v>1.5</v>
          </cell>
        </row>
        <row r="16982">
          <cell r="C16982" t="str">
            <v>葉宏政</v>
          </cell>
          <cell r="F16982" t="str">
            <v>M230705R1</v>
          </cell>
          <cell r="J16982">
            <v>45489</v>
          </cell>
          <cell r="K16982">
            <v>1</v>
          </cell>
        </row>
        <row r="16983">
          <cell r="C16983" t="str">
            <v>葉宏政</v>
          </cell>
          <cell r="F16983" t="str">
            <v>K240101R1</v>
          </cell>
          <cell r="J16983">
            <v>45489</v>
          </cell>
          <cell r="K16983">
            <v>4</v>
          </cell>
        </row>
        <row r="16984">
          <cell r="C16984" t="str">
            <v>葉宏政</v>
          </cell>
          <cell r="F16984" t="str">
            <v>K240101R1</v>
          </cell>
          <cell r="J16984">
            <v>45489</v>
          </cell>
          <cell r="K16984">
            <v>1</v>
          </cell>
        </row>
        <row r="16985">
          <cell r="C16985" t="str">
            <v>葉宏政</v>
          </cell>
          <cell r="F16985" t="str">
            <v>K240101R1</v>
          </cell>
          <cell r="J16985">
            <v>45490</v>
          </cell>
          <cell r="K16985">
            <v>3</v>
          </cell>
        </row>
        <row r="16986">
          <cell r="C16986" t="str">
            <v>葉宏政</v>
          </cell>
          <cell r="F16986" t="str">
            <v>K240101R1</v>
          </cell>
          <cell r="J16986">
            <v>45490</v>
          </cell>
          <cell r="K16986">
            <v>5.5</v>
          </cell>
        </row>
        <row r="16987">
          <cell r="C16987" t="str">
            <v>葉宏政</v>
          </cell>
          <cell r="J16987">
            <v>45491</v>
          </cell>
          <cell r="K16987">
            <v>1</v>
          </cell>
        </row>
        <row r="16988">
          <cell r="C16988" t="str">
            <v>葉宏政</v>
          </cell>
          <cell r="F16988" t="str">
            <v>M240201R1</v>
          </cell>
          <cell r="J16988">
            <v>45491</v>
          </cell>
          <cell r="K16988">
            <v>0.5</v>
          </cell>
        </row>
        <row r="16989">
          <cell r="C16989" t="str">
            <v>葉宏政</v>
          </cell>
          <cell r="F16989" t="str">
            <v>M230705R1</v>
          </cell>
          <cell r="J16989">
            <v>45491</v>
          </cell>
          <cell r="K16989">
            <v>6</v>
          </cell>
        </row>
        <row r="16990">
          <cell r="C16990" t="str">
            <v>葉宏政</v>
          </cell>
          <cell r="F16990" t="str">
            <v>M230705R1</v>
          </cell>
          <cell r="J16990">
            <v>45491</v>
          </cell>
          <cell r="K16990">
            <v>0.5</v>
          </cell>
        </row>
        <row r="16991">
          <cell r="C16991" t="str">
            <v>葉宏政</v>
          </cell>
          <cell r="F16991" t="str">
            <v>K240101R1</v>
          </cell>
          <cell r="J16991">
            <v>45491</v>
          </cell>
          <cell r="K16991">
            <v>1</v>
          </cell>
        </row>
        <row r="16992">
          <cell r="C16992" t="str">
            <v>葉宏政</v>
          </cell>
          <cell r="F16992" t="str">
            <v>K240101R1</v>
          </cell>
          <cell r="J16992">
            <v>45491</v>
          </cell>
          <cell r="K16992">
            <v>0.5</v>
          </cell>
        </row>
        <row r="16993">
          <cell r="C16993" t="str">
            <v>葉宏政</v>
          </cell>
          <cell r="J16993">
            <v>45492</v>
          </cell>
          <cell r="K16993">
            <v>1</v>
          </cell>
        </row>
        <row r="16994">
          <cell r="C16994" t="str">
            <v>葉宏政</v>
          </cell>
          <cell r="F16994" t="str">
            <v>K240101R1</v>
          </cell>
          <cell r="J16994">
            <v>45492</v>
          </cell>
          <cell r="K16994">
            <v>1</v>
          </cell>
        </row>
        <row r="16995">
          <cell r="C16995" t="str">
            <v>葉宏政</v>
          </cell>
          <cell r="F16995" t="str">
            <v>M230705R1</v>
          </cell>
          <cell r="J16995">
            <v>45492</v>
          </cell>
          <cell r="K16995">
            <v>1</v>
          </cell>
        </row>
        <row r="16996">
          <cell r="C16996" t="str">
            <v>葉宏政</v>
          </cell>
          <cell r="F16996" t="str">
            <v>K240101R1</v>
          </cell>
          <cell r="J16996">
            <v>45492</v>
          </cell>
          <cell r="K16996">
            <v>0.5</v>
          </cell>
        </row>
        <row r="16997">
          <cell r="C16997" t="str">
            <v>葉宏政</v>
          </cell>
          <cell r="F16997" t="str">
            <v>M230705R1</v>
          </cell>
          <cell r="J16997">
            <v>45492</v>
          </cell>
          <cell r="K16997">
            <v>3.5</v>
          </cell>
        </row>
        <row r="16998">
          <cell r="C16998" t="str">
            <v>葉宏政</v>
          </cell>
          <cell r="F16998" t="str">
            <v>M240201R1</v>
          </cell>
          <cell r="J16998">
            <v>45492</v>
          </cell>
          <cell r="K16998">
            <v>1</v>
          </cell>
        </row>
        <row r="16999">
          <cell r="C16999" t="str">
            <v>葉宏政</v>
          </cell>
          <cell r="F16999" t="str">
            <v>K240101R1</v>
          </cell>
          <cell r="J16999">
            <v>45495</v>
          </cell>
          <cell r="K16999">
            <v>1</v>
          </cell>
        </row>
        <row r="17000">
          <cell r="C17000" t="str">
            <v>葉宏政</v>
          </cell>
          <cell r="F17000" t="str">
            <v>M230705R1</v>
          </cell>
          <cell r="J17000">
            <v>45495</v>
          </cell>
          <cell r="K17000">
            <v>0.5</v>
          </cell>
        </row>
        <row r="17001">
          <cell r="C17001" t="str">
            <v>葉宏政</v>
          </cell>
          <cell r="F17001" t="str">
            <v>M230705R1</v>
          </cell>
          <cell r="J17001">
            <v>45495</v>
          </cell>
          <cell r="K17001">
            <v>1.5</v>
          </cell>
        </row>
        <row r="17002">
          <cell r="C17002" t="str">
            <v>葉宏政</v>
          </cell>
          <cell r="F17002" t="str">
            <v>K240101R1</v>
          </cell>
          <cell r="J17002">
            <v>45495</v>
          </cell>
          <cell r="K17002">
            <v>3.5</v>
          </cell>
        </row>
        <row r="17003">
          <cell r="C17003" t="str">
            <v>葉宏政</v>
          </cell>
          <cell r="F17003" t="str">
            <v>M240201R1</v>
          </cell>
          <cell r="J17003">
            <v>45495</v>
          </cell>
          <cell r="K17003">
            <v>3</v>
          </cell>
        </row>
        <row r="17004">
          <cell r="C17004" t="str">
            <v>葉宏政</v>
          </cell>
          <cell r="F17004" t="str">
            <v>K240101R1</v>
          </cell>
          <cell r="J17004">
            <v>45496</v>
          </cell>
          <cell r="K17004">
            <v>2</v>
          </cell>
        </row>
        <row r="17005">
          <cell r="C17005" t="str">
            <v>葉宏政</v>
          </cell>
          <cell r="F17005" t="str">
            <v>M230705R1</v>
          </cell>
          <cell r="J17005">
            <v>45496</v>
          </cell>
          <cell r="K17005">
            <v>1.5</v>
          </cell>
        </row>
        <row r="17006">
          <cell r="C17006" t="str">
            <v>葉宏政</v>
          </cell>
          <cell r="F17006" t="str">
            <v>K240101R1</v>
          </cell>
          <cell r="J17006">
            <v>45496</v>
          </cell>
          <cell r="K17006">
            <v>1.5</v>
          </cell>
        </row>
        <row r="17007">
          <cell r="C17007" t="str">
            <v>葉宏政</v>
          </cell>
          <cell r="F17007" t="str">
            <v>K240101R1</v>
          </cell>
          <cell r="J17007">
            <v>45496</v>
          </cell>
          <cell r="K17007">
            <v>4.5</v>
          </cell>
        </row>
        <row r="17008">
          <cell r="C17008" t="str">
            <v>葉宏政</v>
          </cell>
          <cell r="J17008">
            <v>45497</v>
          </cell>
          <cell r="K17008">
            <v>8</v>
          </cell>
        </row>
        <row r="17009">
          <cell r="C17009" t="str">
            <v>葉宏政</v>
          </cell>
          <cell r="J17009">
            <v>45498</v>
          </cell>
          <cell r="K17009">
            <v>8</v>
          </cell>
        </row>
        <row r="17010">
          <cell r="C17010" t="str">
            <v>葉宏政</v>
          </cell>
          <cell r="F17010" t="str">
            <v>M230705R1</v>
          </cell>
          <cell r="J17010">
            <v>45499</v>
          </cell>
          <cell r="K17010">
            <v>1</v>
          </cell>
        </row>
        <row r="17011">
          <cell r="C17011" t="str">
            <v>葉宏政</v>
          </cell>
          <cell r="F17011" t="str">
            <v>K240101R1</v>
          </cell>
          <cell r="J17011">
            <v>45499</v>
          </cell>
          <cell r="K17011">
            <v>4.5</v>
          </cell>
        </row>
        <row r="17012">
          <cell r="C17012" t="str">
            <v>葉宏政</v>
          </cell>
          <cell r="F17012" t="str">
            <v>M230705R1</v>
          </cell>
          <cell r="J17012">
            <v>45499</v>
          </cell>
          <cell r="K17012">
            <v>1</v>
          </cell>
        </row>
        <row r="17013">
          <cell r="C17013" t="str">
            <v>葉宏政</v>
          </cell>
          <cell r="F17013" t="str">
            <v>K240101R1</v>
          </cell>
          <cell r="J17013">
            <v>45499</v>
          </cell>
          <cell r="K17013">
            <v>2</v>
          </cell>
        </row>
        <row r="17014">
          <cell r="C17014" t="str">
            <v>葉宏政</v>
          </cell>
          <cell r="F17014" t="str">
            <v>K240101R1</v>
          </cell>
          <cell r="J17014">
            <v>45502</v>
          </cell>
          <cell r="K17014">
            <v>0.5</v>
          </cell>
        </row>
        <row r="17015">
          <cell r="C17015" t="str">
            <v>葉宏政</v>
          </cell>
          <cell r="F17015" t="str">
            <v>M230705R1</v>
          </cell>
          <cell r="J17015">
            <v>45502</v>
          </cell>
          <cell r="K17015">
            <v>0.5</v>
          </cell>
        </row>
        <row r="17016">
          <cell r="C17016" t="str">
            <v>葉宏政</v>
          </cell>
          <cell r="F17016" t="str">
            <v>K240101R1</v>
          </cell>
          <cell r="J17016">
            <v>45502</v>
          </cell>
          <cell r="K17016">
            <v>4</v>
          </cell>
        </row>
        <row r="17017">
          <cell r="C17017" t="str">
            <v>葉宏政</v>
          </cell>
          <cell r="F17017" t="str">
            <v>K240101R1</v>
          </cell>
          <cell r="J17017">
            <v>45502</v>
          </cell>
          <cell r="K17017">
            <v>4</v>
          </cell>
        </row>
        <row r="17018">
          <cell r="C17018" t="str">
            <v>葉宏政</v>
          </cell>
          <cell r="J17018">
            <v>45503</v>
          </cell>
          <cell r="K17018">
            <v>0.5</v>
          </cell>
        </row>
        <row r="17019">
          <cell r="C17019" t="str">
            <v>葉宏政</v>
          </cell>
          <cell r="F17019" t="str">
            <v>M230705R1</v>
          </cell>
          <cell r="J17019">
            <v>45503</v>
          </cell>
          <cell r="K17019">
            <v>1</v>
          </cell>
        </row>
        <row r="17020">
          <cell r="C17020" t="str">
            <v>葉宏政</v>
          </cell>
          <cell r="F17020" t="str">
            <v>K240101R1</v>
          </cell>
          <cell r="J17020">
            <v>45503</v>
          </cell>
          <cell r="K17020">
            <v>8</v>
          </cell>
        </row>
        <row r="17021">
          <cell r="C17021" t="str">
            <v>葉宏政</v>
          </cell>
          <cell r="F17021" t="str">
            <v>M230705R1</v>
          </cell>
          <cell r="J17021">
            <v>45504</v>
          </cell>
          <cell r="K17021">
            <v>2</v>
          </cell>
        </row>
        <row r="17022">
          <cell r="C17022" t="str">
            <v>葉宏政</v>
          </cell>
          <cell r="F17022" t="str">
            <v>K240101R1</v>
          </cell>
          <cell r="J17022">
            <v>45504</v>
          </cell>
          <cell r="K17022">
            <v>6</v>
          </cell>
        </row>
        <row r="17023">
          <cell r="C17023" t="str">
            <v>葉宏政</v>
          </cell>
          <cell r="F17023" t="str">
            <v>M230705R1</v>
          </cell>
          <cell r="J17023">
            <v>45504</v>
          </cell>
          <cell r="K17023">
            <v>0.5</v>
          </cell>
        </row>
        <row r="17024">
          <cell r="C17024" t="str">
            <v>葉宏政</v>
          </cell>
          <cell r="F17024" t="str">
            <v>M240201R1</v>
          </cell>
          <cell r="J17024">
            <v>45505</v>
          </cell>
          <cell r="K17024">
            <v>0.5</v>
          </cell>
        </row>
        <row r="17025">
          <cell r="C17025" t="str">
            <v>葉宏政</v>
          </cell>
          <cell r="F17025" t="str">
            <v>M240201R1</v>
          </cell>
          <cell r="J17025">
            <v>45505</v>
          </cell>
          <cell r="K17025">
            <v>8.5</v>
          </cell>
        </row>
        <row r="17026">
          <cell r="C17026" t="str">
            <v>葉宏政</v>
          </cell>
          <cell r="F17026" t="str">
            <v>M230705R1</v>
          </cell>
          <cell r="J17026">
            <v>45506</v>
          </cell>
          <cell r="K17026">
            <v>0.5</v>
          </cell>
        </row>
        <row r="17027">
          <cell r="C17027" t="str">
            <v>葉宏政</v>
          </cell>
          <cell r="F17027" t="str">
            <v>M240201R1</v>
          </cell>
          <cell r="J17027">
            <v>45506</v>
          </cell>
          <cell r="K17027">
            <v>7</v>
          </cell>
        </row>
        <row r="17028">
          <cell r="C17028" t="str">
            <v>葉宏政</v>
          </cell>
          <cell r="F17028" t="str">
            <v>K240101R1</v>
          </cell>
          <cell r="J17028">
            <v>45506</v>
          </cell>
          <cell r="K17028">
            <v>0.5</v>
          </cell>
        </row>
        <row r="17029">
          <cell r="C17029" t="str">
            <v>葉宏政</v>
          </cell>
          <cell r="F17029" t="str">
            <v>M240702R1</v>
          </cell>
          <cell r="J17029">
            <v>45509</v>
          </cell>
          <cell r="K17029">
            <v>6.5</v>
          </cell>
        </row>
        <row r="17030">
          <cell r="C17030" t="str">
            <v>葉宏政</v>
          </cell>
          <cell r="F17030" t="str">
            <v>M230705R1</v>
          </cell>
          <cell r="J17030">
            <v>45509</v>
          </cell>
          <cell r="K17030">
            <v>1</v>
          </cell>
        </row>
        <row r="17031">
          <cell r="C17031" t="str">
            <v>葉宏政</v>
          </cell>
          <cell r="F17031" t="str">
            <v>K240101R1</v>
          </cell>
          <cell r="J17031">
            <v>45509</v>
          </cell>
          <cell r="K17031">
            <v>2</v>
          </cell>
        </row>
        <row r="17032">
          <cell r="C17032" t="str">
            <v>葉宏政</v>
          </cell>
          <cell r="F17032" t="str">
            <v>M240702R1</v>
          </cell>
          <cell r="J17032">
            <v>45510</v>
          </cell>
          <cell r="K17032">
            <v>2</v>
          </cell>
        </row>
        <row r="17033">
          <cell r="C17033" t="str">
            <v>葉宏政</v>
          </cell>
          <cell r="F17033" t="str">
            <v>M240702R1</v>
          </cell>
          <cell r="J17033">
            <v>45510</v>
          </cell>
          <cell r="K17033">
            <v>6.5</v>
          </cell>
        </row>
        <row r="17034">
          <cell r="C17034" t="str">
            <v>葉宏政</v>
          </cell>
          <cell r="F17034" t="str">
            <v>M240702R1</v>
          </cell>
          <cell r="J17034">
            <v>45511</v>
          </cell>
          <cell r="K17034">
            <v>6.5</v>
          </cell>
        </row>
        <row r="17035">
          <cell r="C17035" t="str">
            <v>葉宏政</v>
          </cell>
          <cell r="F17035" t="str">
            <v>M230705R1</v>
          </cell>
          <cell r="J17035">
            <v>45511</v>
          </cell>
          <cell r="K17035">
            <v>2.5</v>
          </cell>
        </row>
        <row r="17036">
          <cell r="C17036" t="str">
            <v>葉宏政</v>
          </cell>
          <cell r="J17036">
            <v>45512</v>
          </cell>
          <cell r="K17036">
            <v>1.5</v>
          </cell>
        </row>
        <row r="17037">
          <cell r="C17037" t="str">
            <v>葉宏政</v>
          </cell>
          <cell r="F17037" t="str">
            <v>M230705R1</v>
          </cell>
          <cell r="J17037">
            <v>45512</v>
          </cell>
          <cell r="K17037">
            <v>0.5</v>
          </cell>
        </row>
        <row r="17038">
          <cell r="C17038" t="str">
            <v>葉宏政</v>
          </cell>
          <cell r="F17038" t="str">
            <v>M240702R1</v>
          </cell>
          <cell r="J17038">
            <v>45512</v>
          </cell>
          <cell r="K17038">
            <v>2</v>
          </cell>
        </row>
        <row r="17039">
          <cell r="C17039" t="str">
            <v>葉宏政</v>
          </cell>
          <cell r="F17039" t="str">
            <v>M230705R1</v>
          </cell>
          <cell r="J17039">
            <v>45512</v>
          </cell>
          <cell r="K17039">
            <v>4.5</v>
          </cell>
        </row>
        <row r="17040">
          <cell r="C17040" t="str">
            <v>葉宏政</v>
          </cell>
          <cell r="J17040">
            <v>45513</v>
          </cell>
          <cell r="K17040">
            <v>2</v>
          </cell>
        </row>
        <row r="17041">
          <cell r="C17041" t="str">
            <v>葉宏政</v>
          </cell>
          <cell r="F17041" t="str">
            <v>M240702R1</v>
          </cell>
          <cell r="J17041">
            <v>45513</v>
          </cell>
          <cell r="K17041">
            <v>2</v>
          </cell>
        </row>
        <row r="17042">
          <cell r="C17042" t="str">
            <v>葉宏政</v>
          </cell>
          <cell r="F17042" t="str">
            <v>M230705R1</v>
          </cell>
          <cell r="J17042">
            <v>45513</v>
          </cell>
          <cell r="K17042">
            <v>5</v>
          </cell>
        </row>
        <row r="17043">
          <cell r="C17043" t="str">
            <v>葉宏政</v>
          </cell>
          <cell r="F17043" t="str">
            <v>M240702R1</v>
          </cell>
          <cell r="J17043">
            <v>45516</v>
          </cell>
          <cell r="K17043">
            <v>4.5</v>
          </cell>
        </row>
        <row r="17044">
          <cell r="C17044" t="str">
            <v>葉宏政</v>
          </cell>
          <cell r="F17044" t="str">
            <v>M230705R1</v>
          </cell>
          <cell r="J17044">
            <v>45516</v>
          </cell>
          <cell r="K17044">
            <v>3.5</v>
          </cell>
        </row>
        <row r="17045">
          <cell r="C17045" t="str">
            <v>葉宏政</v>
          </cell>
          <cell r="F17045" t="str">
            <v>K240101R1</v>
          </cell>
          <cell r="J17045">
            <v>45517</v>
          </cell>
          <cell r="K17045">
            <v>7</v>
          </cell>
        </row>
        <row r="17046">
          <cell r="C17046" t="str">
            <v>葉宏政</v>
          </cell>
          <cell r="F17046" t="str">
            <v>M230705R1</v>
          </cell>
          <cell r="J17046">
            <v>45517</v>
          </cell>
          <cell r="K17046">
            <v>2</v>
          </cell>
        </row>
        <row r="17047">
          <cell r="C17047" t="str">
            <v>葉宏政</v>
          </cell>
          <cell r="F17047" t="str">
            <v>M240702R1</v>
          </cell>
          <cell r="J17047">
            <v>45518</v>
          </cell>
          <cell r="K17047">
            <v>1</v>
          </cell>
        </row>
        <row r="17048">
          <cell r="C17048" t="str">
            <v>葉宏政</v>
          </cell>
          <cell r="F17048" t="str">
            <v>M240702R1</v>
          </cell>
          <cell r="J17048">
            <v>45518</v>
          </cell>
          <cell r="K17048">
            <v>5.5</v>
          </cell>
        </row>
        <row r="17049">
          <cell r="C17049" t="str">
            <v>葉宏政</v>
          </cell>
          <cell r="F17049" t="str">
            <v>K240101R1</v>
          </cell>
          <cell r="J17049">
            <v>45518</v>
          </cell>
          <cell r="K17049">
            <v>2</v>
          </cell>
        </row>
        <row r="17050">
          <cell r="C17050" t="str">
            <v>葉宏政</v>
          </cell>
          <cell r="J17050">
            <v>45519</v>
          </cell>
          <cell r="K17050">
            <v>5</v>
          </cell>
        </row>
        <row r="17051">
          <cell r="C17051" t="str">
            <v>葉宏政</v>
          </cell>
          <cell r="F17051" t="str">
            <v>M240702R1</v>
          </cell>
          <cell r="J17051">
            <v>45519</v>
          </cell>
          <cell r="K17051">
            <v>2</v>
          </cell>
        </row>
        <row r="17052">
          <cell r="C17052" t="str">
            <v>葉宏政</v>
          </cell>
          <cell r="F17052" t="str">
            <v>M230705R1</v>
          </cell>
          <cell r="J17052">
            <v>45519</v>
          </cell>
          <cell r="K17052">
            <v>1</v>
          </cell>
        </row>
        <row r="17053">
          <cell r="C17053" t="str">
            <v>葉宏政</v>
          </cell>
          <cell r="F17053" t="str">
            <v>M240702R1</v>
          </cell>
          <cell r="J17053">
            <v>45520</v>
          </cell>
          <cell r="K17053">
            <v>1</v>
          </cell>
        </row>
        <row r="17054">
          <cell r="C17054" t="str">
            <v>葉宏政</v>
          </cell>
          <cell r="F17054" t="str">
            <v>M230705R1</v>
          </cell>
          <cell r="J17054">
            <v>45520</v>
          </cell>
          <cell r="K17054">
            <v>7.5</v>
          </cell>
        </row>
        <row r="17055">
          <cell r="C17055" t="str">
            <v>葉宏政</v>
          </cell>
          <cell r="F17055" t="str">
            <v>M240201R1</v>
          </cell>
          <cell r="J17055">
            <v>45523</v>
          </cell>
          <cell r="K17055">
            <v>1</v>
          </cell>
        </row>
        <row r="17056">
          <cell r="C17056" t="str">
            <v>葉宏政</v>
          </cell>
          <cell r="F17056" t="str">
            <v>M240702R1</v>
          </cell>
          <cell r="J17056">
            <v>45523</v>
          </cell>
          <cell r="K17056">
            <v>5</v>
          </cell>
        </row>
        <row r="17057">
          <cell r="C17057" t="str">
            <v>葉宏政</v>
          </cell>
          <cell r="F17057" t="str">
            <v>M240702R1</v>
          </cell>
          <cell r="J17057">
            <v>45523</v>
          </cell>
          <cell r="K17057">
            <v>3</v>
          </cell>
        </row>
        <row r="17058">
          <cell r="C17058" t="str">
            <v>葉宏政</v>
          </cell>
          <cell r="F17058" t="str">
            <v>M240804R1</v>
          </cell>
          <cell r="J17058">
            <v>45524</v>
          </cell>
          <cell r="K17058">
            <v>3</v>
          </cell>
        </row>
        <row r="17059">
          <cell r="C17059" t="str">
            <v>葉宏政</v>
          </cell>
          <cell r="F17059" t="str">
            <v>M240702R1</v>
          </cell>
          <cell r="J17059">
            <v>45524</v>
          </cell>
          <cell r="K17059">
            <v>4.5</v>
          </cell>
        </row>
        <row r="17060">
          <cell r="C17060" t="str">
            <v>葉宏政</v>
          </cell>
          <cell r="F17060" t="str">
            <v>M240804R1</v>
          </cell>
          <cell r="J17060">
            <v>45524</v>
          </cell>
          <cell r="K17060">
            <v>1</v>
          </cell>
        </row>
        <row r="17061">
          <cell r="C17061" t="str">
            <v>葉宏政</v>
          </cell>
          <cell r="J17061">
            <v>45525</v>
          </cell>
          <cell r="K17061">
            <v>2</v>
          </cell>
        </row>
        <row r="17062">
          <cell r="C17062" t="str">
            <v>葉宏政</v>
          </cell>
          <cell r="J17062">
            <v>45525</v>
          </cell>
          <cell r="K17062">
            <v>1</v>
          </cell>
        </row>
        <row r="17063">
          <cell r="C17063" t="str">
            <v>葉宏政</v>
          </cell>
          <cell r="F17063" t="str">
            <v>M240201R1</v>
          </cell>
          <cell r="J17063">
            <v>45525</v>
          </cell>
          <cell r="K17063">
            <v>3</v>
          </cell>
        </row>
        <row r="17064">
          <cell r="C17064" t="str">
            <v>葉宏政</v>
          </cell>
          <cell r="F17064" t="str">
            <v>M240702R1</v>
          </cell>
          <cell r="J17064">
            <v>45525</v>
          </cell>
          <cell r="K17064">
            <v>3</v>
          </cell>
        </row>
        <row r="17065">
          <cell r="C17065" t="str">
            <v>葉宏政</v>
          </cell>
          <cell r="F17065" t="str">
            <v>M240702R1</v>
          </cell>
          <cell r="J17065">
            <v>45526</v>
          </cell>
          <cell r="K17065">
            <v>3</v>
          </cell>
        </row>
        <row r="17066">
          <cell r="C17066" t="str">
            <v>葉宏政</v>
          </cell>
          <cell r="J17066">
            <v>45527</v>
          </cell>
          <cell r="K17066">
            <v>0.5</v>
          </cell>
        </row>
        <row r="17067">
          <cell r="C17067" t="str">
            <v>葉宏政</v>
          </cell>
          <cell r="J17067">
            <v>45527</v>
          </cell>
          <cell r="K17067">
            <v>1</v>
          </cell>
        </row>
        <row r="17068">
          <cell r="C17068" t="str">
            <v>葉宏政</v>
          </cell>
          <cell r="F17068" t="str">
            <v>M240702R1</v>
          </cell>
          <cell r="J17068">
            <v>45527</v>
          </cell>
          <cell r="K17068">
            <v>7.5</v>
          </cell>
        </row>
        <row r="17069">
          <cell r="C17069" t="str">
            <v>葉宏政</v>
          </cell>
          <cell r="J17069">
            <v>45530</v>
          </cell>
          <cell r="K17069">
            <v>1</v>
          </cell>
        </row>
        <row r="17070">
          <cell r="C17070" t="str">
            <v>葉宏政</v>
          </cell>
          <cell r="F17070" t="str">
            <v>M240702R1</v>
          </cell>
          <cell r="J17070">
            <v>45530</v>
          </cell>
          <cell r="K17070">
            <v>2</v>
          </cell>
        </row>
        <row r="17071">
          <cell r="C17071" t="str">
            <v>葉宏政</v>
          </cell>
          <cell r="F17071" t="str">
            <v>M230705R1</v>
          </cell>
          <cell r="J17071">
            <v>45530</v>
          </cell>
          <cell r="K17071">
            <v>3.5</v>
          </cell>
        </row>
        <row r="17072">
          <cell r="C17072" t="str">
            <v>葉宏政</v>
          </cell>
          <cell r="F17072" t="str">
            <v>M240702R1</v>
          </cell>
          <cell r="J17072">
            <v>45530</v>
          </cell>
          <cell r="K17072">
            <v>3</v>
          </cell>
        </row>
        <row r="17073">
          <cell r="C17073" t="str">
            <v>葉宏政</v>
          </cell>
          <cell r="F17073" t="str">
            <v>M240702R1</v>
          </cell>
          <cell r="J17073">
            <v>45531</v>
          </cell>
          <cell r="K17073">
            <v>1.5</v>
          </cell>
        </row>
        <row r="17074">
          <cell r="C17074" t="str">
            <v>葉宏政</v>
          </cell>
          <cell r="F17074" t="str">
            <v>M240702R1</v>
          </cell>
          <cell r="J17074">
            <v>45531</v>
          </cell>
          <cell r="K17074">
            <v>7</v>
          </cell>
        </row>
        <row r="17075">
          <cell r="C17075" t="str">
            <v>葉宏政</v>
          </cell>
          <cell r="F17075" t="str">
            <v>M230705R1</v>
          </cell>
          <cell r="J17075">
            <v>45531</v>
          </cell>
          <cell r="K17075">
            <v>1</v>
          </cell>
        </row>
        <row r="17076">
          <cell r="C17076" t="str">
            <v>葉宏政</v>
          </cell>
          <cell r="J17076">
            <v>45532</v>
          </cell>
          <cell r="K17076">
            <v>1.5</v>
          </cell>
        </row>
        <row r="17077">
          <cell r="C17077" t="str">
            <v>葉宏政</v>
          </cell>
          <cell r="F17077" t="str">
            <v>M240702R1</v>
          </cell>
          <cell r="J17077">
            <v>45532</v>
          </cell>
          <cell r="K17077">
            <v>1.5</v>
          </cell>
        </row>
        <row r="17078">
          <cell r="C17078" t="str">
            <v>葉宏政</v>
          </cell>
          <cell r="F17078" t="str">
            <v>M240702R1</v>
          </cell>
          <cell r="J17078">
            <v>45532</v>
          </cell>
          <cell r="K17078">
            <v>2.5</v>
          </cell>
        </row>
        <row r="17079">
          <cell r="C17079" t="str">
            <v>葉宏政</v>
          </cell>
          <cell r="F17079" t="str">
            <v>M230705R1</v>
          </cell>
          <cell r="J17079">
            <v>45532</v>
          </cell>
          <cell r="K17079">
            <v>1</v>
          </cell>
        </row>
        <row r="17080">
          <cell r="C17080" t="str">
            <v>葉宏政</v>
          </cell>
          <cell r="F17080" t="str">
            <v>M230705R1</v>
          </cell>
          <cell r="J17080">
            <v>45532</v>
          </cell>
          <cell r="K17080">
            <v>1</v>
          </cell>
        </row>
        <row r="17081">
          <cell r="C17081" t="str">
            <v>葉宏政</v>
          </cell>
          <cell r="F17081" t="str">
            <v>M240804R1</v>
          </cell>
          <cell r="J17081">
            <v>45532</v>
          </cell>
          <cell r="K17081">
            <v>2</v>
          </cell>
        </row>
        <row r="17082">
          <cell r="C17082" t="str">
            <v>葉宏政</v>
          </cell>
          <cell r="J17082">
            <v>45533</v>
          </cell>
          <cell r="K17082">
            <v>1</v>
          </cell>
        </row>
        <row r="17083">
          <cell r="C17083" t="str">
            <v>葉宏政</v>
          </cell>
          <cell r="J17083">
            <v>45533</v>
          </cell>
          <cell r="K17083">
            <v>0.5</v>
          </cell>
        </row>
        <row r="17084">
          <cell r="C17084" t="str">
            <v>葉宏政</v>
          </cell>
          <cell r="F17084" t="str">
            <v>M240201R1</v>
          </cell>
          <cell r="J17084">
            <v>45533</v>
          </cell>
          <cell r="K17084">
            <v>0.5</v>
          </cell>
        </row>
        <row r="17085">
          <cell r="C17085" t="str">
            <v>葉宏政</v>
          </cell>
          <cell r="F17085" t="str">
            <v>M240201R1</v>
          </cell>
          <cell r="J17085">
            <v>45533</v>
          </cell>
          <cell r="K17085">
            <v>3</v>
          </cell>
        </row>
        <row r="17086">
          <cell r="C17086" t="str">
            <v>葉宏政</v>
          </cell>
          <cell r="F17086" t="str">
            <v>M240804R1</v>
          </cell>
          <cell r="J17086">
            <v>45533</v>
          </cell>
          <cell r="K17086">
            <v>2</v>
          </cell>
        </row>
        <row r="17087">
          <cell r="C17087" t="str">
            <v>葉宏政</v>
          </cell>
          <cell r="F17087" t="str">
            <v>M240702C1</v>
          </cell>
          <cell r="J17087">
            <v>45533</v>
          </cell>
          <cell r="K17087">
            <v>2</v>
          </cell>
        </row>
        <row r="17088">
          <cell r="C17088" t="str">
            <v>葉宏政</v>
          </cell>
          <cell r="J17088">
            <v>45534</v>
          </cell>
          <cell r="K17088">
            <v>1</v>
          </cell>
        </row>
        <row r="17089">
          <cell r="C17089" t="str">
            <v>葉宏政</v>
          </cell>
          <cell r="F17089" t="str">
            <v>M240201R1</v>
          </cell>
          <cell r="J17089">
            <v>45534</v>
          </cell>
          <cell r="K17089">
            <v>2</v>
          </cell>
        </row>
        <row r="17090">
          <cell r="C17090" t="str">
            <v>葉宏政</v>
          </cell>
          <cell r="F17090" t="str">
            <v>M230705R1</v>
          </cell>
          <cell r="J17090">
            <v>45534</v>
          </cell>
          <cell r="K17090">
            <v>0.5</v>
          </cell>
        </row>
        <row r="17091">
          <cell r="C17091" t="str">
            <v>葉宏政</v>
          </cell>
          <cell r="F17091" t="str">
            <v>M230705R1</v>
          </cell>
          <cell r="J17091">
            <v>45534</v>
          </cell>
          <cell r="K17091">
            <v>5</v>
          </cell>
        </row>
        <row r="17092">
          <cell r="C17092" t="str">
            <v>葉宏政</v>
          </cell>
          <cell r="F17092" t="str">
            <v>M240804R1</v>
          </cell>
          <cell r="J17092">
            <v>45537</v>
          </cell>
          <cell r="K17092">
            <v>1</v>
          </cell>
        </row>
        <row r="17093">
          <cell r="C17093" t="str">
            <v>葉宏政</v>
          </cell>
          <cell r="F17093" t="str">
            <v>M240702R1</v>
          </cell>
          <cell r="J17093">
            <v>45537</v>
          </cell>
          <cell r="K17093">
            <v>1</v>
          </cell>
        </row>
        <row r="17094">
          <cell r="C17094" t="str">
            <v>葉宏政</v>
          </cell>
          <cell r="F17094" t="str">
            <v>K240101R1</v>
          </cell>
          <cell r="J17094">
            <v>45537</v>
          </cell>
          <cell r="K17094">
            <v>7.5</v>
          </cell>
        </row>
        <row r="17095">
          <cell r="C17095" t="str">
            <v>葉宏政</v>
          </cell>
          <cell r="F17095" t="str">
            <v>M240702R1</v>
          </cell>
          <cell r="J17095">
            <v>45538</v>
          </cell>
          <cell r="K17095">
            <v>1</v>
          </cell>
        </row>
        <row r="17096">
          <cell r="C17096" t="str">
            <v>葉宏政</v>
          </cell>
          <cell r="F17096" t="str">
            <v>K240101R1</v>
          </cell>
          <cell r="J17096">
            <v>45538</v>
          </cell>
          <cell r="K17096">
            <v>5.5</v>
          </cell>
        </row>
        <row r="17097">
          <cell r="C17097" t="str">
            <v>葉宏政</v>
          </cell>
          <cell r="F17097" t="str">
            <v>M240804R1</v>
          </cell>
          <cell r="J17097">
            <v>45538</v>
          </cell>
          <cell r="K17097">
            <v>3</v>
          </cell>
        </row>
        <row r="17098">
          <cell r="C17098" t="str">
            <v>葉宏政</v>
          </cell>
          <cell r="J17098">
            <v>45539</v>
          </cell>
          <cell r="K17098">
            <v>0.5</v>
          </cell>
        </row>
        <row r="17099">
          <cell r="C17099" t="str">
            <v>葉宏政</v>
          </cell>
          <cell r="J17099">
            <v>45539</v>
          </cell>
          <cell r="K17099">
            <v>5.5</v>
          </cell>
        </row>
        <row r="17100">
          <cell r="C17100" t="str">
            <v>葉宏政</v>
          </cell>
          <cell r="J17100">
            <v>45539</v>
          </cell>
          <cell r="K17100">
            <v>1.5</v>
          </cell>
        </row>
        <row r="17101">
          <cell r="C17101" t="str">
            <v>葉宏政</v>
          </cell>
          <cell r="F17101" t="str">
            <v>M240702R1</v>
          </cell>
          <cell r="J17101">
            <v>45539</v>
          </cell>
          <cell r="K17101">
            <v>2</v>
          </cell>
        </row>
        <row r="17102">
          <cell r="C17102" t="str">
            <v>葉宏政</v>
          </cell>
          <cell r="F17102" t="str">
            <v>M240702R1</v>
          </cell>
          <cell r="J17102">
            <v>45540</v>
          </cell>
          <cell r="K17102">
            <v>1.5</v>
          </cell>
        </row>
        <row r="17103">
          <cell r="C17103" t="str">
            <v>葉宏政</v>
          </cell>
          <cell r="F17103" t="str">
            <v>M240804R1</v>
          </cell>
          <cell r="J17103">
            <v>45540</v>
          </cell>
          <cell r="K17103">
            <v>5</v>
          </cell>
        </row>
        <row r="17104">
          <cell r="C17104" t="str">
            <v>葉宏政</v>
          </cell>
          <cell r="F17104" t="str">
            <v>M240804R1</v>
          </cell>
          <cell r="J17104">
            <v>45540</v>
          </cell>
          <cell r="K17104">
            <v>2</v>
          </cell>
        </row>
        <row r="17105">
          <cell r="C17105" t="str">
            <v>葉宏政</v>
          </cell>
          <cell r="J17105">
            <v>45541</v>
          </cell>
          <cell r="K17105">
            <v>0.5</v>
          </cell>
        </row>
        <row r="17106">
          <cell r="C17106" t="str">
            <v>葉宏政</v>
          </cell>
          <cell r="F17106" t="str">
            <v>M240804R1</v>
          </cell>
          <cell r="J17106">
            <v>45541</v>
          </cell>
          <cell r="K17106">
            <v>8</v>
          </cell>
        </row>
        <row r="17107">
          <cell r="C17107" t="str">
            <v>葉宏政</v>
          </cell>
          <cell r="J17107">
            <v>45544</v>
          </cell>
          <cell r="K17107">
            <v>1.5</v>
          </cell>
        </row>
        <row r="17108">
          <cell r="C17108" t="str">
            <v>葉宏政</v>
          </cell>
          <cell r="F17108" t="str">
            <v>M240702R1</v>
          </cell>
          <cell r="J17108">
            <v>45544</v>
          </cell>
          <cell r="K17108">
            <v>3.5</v>
          </cell>
        </row>
        <row r="17109">
          <cell r="C17109" t="str">
            <v>葉宏政</v>
          </cell>
          <cell r="F17109" t="str">
            <v>M240804R1</v>
          </cell>
          <cell r="J17109">
            <v>45544</v>
          </cell>
          <cell r="K17109">
            <v>2</v>
          </cell>
        </row>
        <row r="17110">
          <cell r="C17110" t="str">
            <v>葉宏政</v>
          </cell>
          <cell r="F17110" t="str">
            <v>K240101R1</v>
          </cell>
          <cell r="J17110">
            <v>45544</v>
          </cell>
          <cell r="K17110">
            <v>2</v>
          </cell>
        </row>
        <row r="17111">
          <cell r="C17111" t="str">
            <v>葉宏政</v>
          </cell>
          <cell r="F17111" t="str">
            <v>K240101R1</v>
          </cell>
          <cell r="J17111">
            <v>45545</v>
          </cell>
          <cell r="K17111">
            <v>1</v>
          </cell>
        </row>
        <row r="17112">
          <cell r="C17112" t="str">
            <v>葉宏政</v>
          </cell>
          <cell r="F17112" t="str">
            <v>M240804R1</v>
          </cell>
          <cell r="J17112">
            <v>45545</v>
          </cell>
          <cell r="K17112">
            <v>8</v>
          </cell>
        </row>
        <row r="17113">
          <cell r="C17113" t="str">
            <v>葉宏政</v>
          </cell>
          <cell r="F17113" t="str">
            <v>M240804R1</v>
          </cell>
          <cell r="J17113">
            <v>45546</v>
          </cell>
          <cell r="K17113">
            <v>8.5</v>
          </cell>
        </row>
        <row r="17114">
          <cell r="C17114" t="str">
            <v>葉宏政</v>
          </cell>
          <cell r="F17114" t="str">
            <v>M240702R1</v>
          </cell>
          <cell r="J17114">
            <v>45547</v>
          </cell>
          <cell r="K17114">
            <v>2</v>
          </cell>
        </row>
        <row r="17115">
          <cell r="C17115" t="str">
            <v>葉宏政</v>
          </cell>
          <cell r="F17115" t="str">
            <v>M240804R1</v>
          </cell>
          <cell r="J17115">
            <v>45547</v>
          </cell>
          <cell r="K17115">
            <v>7</v>
          </cell>
        </row>
        <row r="17116">
          <cell r="C17116" t="str">
            <v>葉宏政</v>
          </cell>
          <cell r="J17116">
            <v>45548</v>
          </cell>
          <cell r="K17116">
            <v>2</v>
          </cell>
        </row>
        <row r="17117">
          <cell r="C17117" t="str">
            <v>葉宏政</v>
          </cell>
          <cell r="F17117" t="str">
            <v>M240804R1</v>
          </cell>
          <cell r="J17117">
            <v>45548</v>
          </cell>
          <cell r="K17117">
            <v>6.5</v>
          </cell>
        </row>
        <row r="17118">
          <cell r="C17118" t="str">
            <v>葉宏政</v>
          </cell>
          <cell r="F17118" t="str">
            <v>M230705R1</v>
          </cell>
          <cell r="J17118">
            <v>45551</v>
          </cell>
          <cell r="K17118">
            <v>1</v>
          </cell>
        </row>
        <row r="17119">
          <cell r="C17119" t="str">
            <v>葉宏政</v>
          </cell>
          <cell r="J17119">
            <v>45551</v>
          </cell>
          <cell r="K17119">
            <v>1.5</v>
          </cell>
        </row>
        <row r="17120">
          <cell r="C17120" t="str">
            <v>葉宏政</v>
          </cell>
          <cell r="F17120" t="str">
            <v>M240702R1</v>
          </cell>
          <cell r="J17120">
            <v>45551</v>
          </cell>
          <cell r="K17120">
            <v>0.5</v>
          </cell>
        </row>
        <row r="17121">
          <cell r="C17121" t="str">
            <v>葉宏政</v>
          </cell>
          <cell r="F17121" t="str">
            <v>M240804R1</v>
          </cell>
          <cell r="J17121">
            <v>45551</v>
          </cell>
          <cell r="K17121">
            <v>6</v>
          </cell>
        </row>
        <row r="17122">
          <cell r="C17122" t="str">
            <v>葉宏政</v>
          </cell>
          <cell r="F17122" t="str">
            <v>M221002R1</v>
          </cell>
          <cell r="J17122">
            <v>45553</v>
          </cell>
          <cell r="K17122">
            <v>3</v>
          </cell>
        </row>
        <row r="17123">
          <cell r="C17123" t="str">
            <v>葉宏政</v>
          </cell>
          <cell r="F17123" t="str">
            <v>M240804R1</v>
          </cell>
          <cell r="J17123">
            <v>45553</v>
          </cell>
          <cell r="K17123">
            <v>6</v>
          </cell>
        </row>
        <row r="17124">
          <cell r="C17124" t="str">
            <v>葉宏政</v>
          </cell>
          <cell r="F17124" t="str">
            <v>M240702R1</v>
          </cell>
          <cell r="J17124">
            <v>45554</v>
          </cell>
          <cell r="K17124">
            <v>1.5</v>
          </cell>
        </row>
        <row r="17125">
          <cell r="C17125" t="str">
            <v>葉宏政</v>
          </cell>
          <cell r="F17125" t="str">
            <v>M240804R1</v>
          </cell>
          <cell r="J17125">
            <v>45554</v>
          </cell>
          <cell r="K17125">
            <v>7.5</v>
          </cell>
        </row>
        <row r="17126">
          <cell r="C17126" t="str">
            <v>葉宏政</v>
          </cell>
          <cell r="J17126">
            <v>45555</v>
          </cell>
          <cell r="K17126">
            <v>1.5</v>
          </cell>
        </row>
        <row r="17127">
          <cell r="C17127" t="str">
            <v>葉宏政</v>
          </cell>
          <cell r="J17127">
            <v>45555</v>
          </cell>
          <cell r="K17127">
            <v>1.5</v>
          </cell>
        </row>
        <row r="17128">
          <cell r="C17128" t="str">
            <v>葉宏政</v>
          </cell>
          <cell r="F17128" t="str">
            <v>M240804R1</v>
          </cell>
          <cell r="J17128">
            <v>45555</v>
          </cell>
          <cell r="K17128">
            <v>3</v>
          </cell>
        </row>
        <row r="17129">
          <cell r="C17129" t="str">
            <v>葉宏政</v>
          </cell>
          <cell r="F17129" t="str">
            <v>K240101R1</v>
          </cell>
          <cell r="J17129">
            <v>45555</v>
          </cell>
          <cell r="K17129">
            <v>2</v>
          </cell>
        </row>
        <row r="17130">
          <cell r="C17130" t="str">
            <v>葉宏政</v>
          </cell>
          <cell r="F17130" t="str">
            <v>M240201R1</v>
          </cell>
          <cell r="J17130">
            <v>45559</v>
          </cell>
          <cell r="K17130">
            <v>1.5</v>
          </cell>
        </row>
        <row r="17131">
          <cell r="C17131" t="str">
            <v>葉宏政</v>
          </cell>
          <cell r="F17131" t="str">
            <v>M230705R1</v>
          </cell>
          <cell r="J17131">
            <v>45559</v>
          </cell>
          <cell r="K17131">
            <v>2</v>
          </cell>
        </row>
        <row r="17132">
          <cell r="C17132" t="str">
            <v>葉宏政</v>
          </cell>
          <cell r="F17132" t="str">
            <v>M230705R1</v>
          </cell>
          <cell r="J17132">
            <v>45559</v>
          </cell>
          <cell r="K17132">
            <v>1</v>
          </cell>
        </row>
        <row r="17133">
          <cell r="C17133" t="str">
            <v>葉宏政</v>
          </cell>
          <cell r="F17133" t="str">
            <v>K240801R1</v>
          </cell>
          <cell r="J17133">
            <v>45559</v>
          </cell>
          <cell r="K17133">
            <v>2</v>
          </cell>
        </row>
        <row r="17134">
          <cell r="C17134" t="str">
            <v>葉宏政</v>
          </cell>
          <cell r="F17134" t="str">
            <v>K240101R1</v>
          </cell>
          <cell r="J17134">
            <v>45559</v>
          </cell>
          <cell r="K17134">
            <v>2</v>
          </cell>
        </row>
        <row r="17135">
          <cell r="C17135" t="str">
            <v>葉宏政</v>
          </cell>
          <cell r="J17135">
            <v>45560</v>
          </cell>
          <cell r="K17135">
            <v>1</v>
          </cell>
        </row>
        <row r="17136">
          <cell r="C17136" t="str">
            <v>葉宏政</v>
          </cell>
          <cell r="F17136" t="str">
            <v>M240201R1</v>
          </cell>
          <cell r="J17136">
            <v>45560</v>
          </cell>
          <cell r="K17136">
            <v>2</v>
          </cell>
        </row>
        <row r="17137">
          <cell r="C17137" t="str">
            <v>葉宏政</v>
          </cell>
          <cell r="F17137" t="str">
            <v>M240702R1</v>
          </cell>
          <cell r="J17137">
            <v>45560</v>
          </cell>
          <cell r="K17137">
            <v>1</v>
          </cell>
        </row>
        <row r="17138">
          <cell r="C17138" t="str">
            <v>葉宏政</v>
          </cell>
          <cell r="F17138" t="str">
            <v>K240101R1</v>
          </cell>
          <cell r="J17138">
            <v>45560</v>
          </cell>
          <cell r="K17138">
            <v>1</v>
          </cell>
        </row>
        <row r="17139">
          <cell r="C17139" t="str">
            <v>葉宏政</v>
          </cell>
          <cell r="F17139" t="str">
            <v>M240804R1</v>
          </cell>
          <cell r="J17139">
            <v>45560</v>
          </cell>
          <cell r="K17139">
            <v>4</v>
          </cell>
        </row>
        <row r="17140">
          <cell r="C17140" t="str">
            <v>葉宏政</v>
          </cell>
          <cell r="F17140" t="str">
            <v>M240201R1</v>
          </cell>
          <cell r="J17140">
            <v>45561</v>
          </cell>
          <cell r="K17140">
            <v>3.5</v>
          </cell>
        </row>
        <row r="17141">
          <cell r="C17141" t="str">
            <v>葉宏政</v>
          </cell>
          <cell r="F17141" t="str">
            <v>M240804R1</v>
          </cell>
          <cell r="J17141">
            <v>45561</v>
          </cell>
          <cell r="K17141">
            <v>5</v>
          </cell>
        </row>
        <row r="17142">
          <cell r="C17142" t="str">
            <v>葉宏政</v>
          </cell>
          <cell r="J17142">
            <v>45562</v>
          </cell>
          <cell r="K17142">
            <v>1</v>
          </cell>
        </row>
        <row r="17143">
          <cell r="C17143" t="str">
            <v>葉宏政</v>
          </cell>
          <cell r="F17143" t="str">
            <v>M240201R1</v>
          </cell>
          <cell r="J17143">
            <v>45562</v>
          </cell>
          <cell r="K17143">
            <v>5</v>
          </cell>
        </row>
        <row r="17144">
          <cell r="C17144" t="str">
            <v>葉宏政</v>
          </cell>
          <cell r="F17144" t="str">
            <v>K240101R1</v>
          </cell>
          <cell r="J17144">
            <v>45562</v>
          </cell>
          <cell r="K17144">
            <v>2</v>
          </cell>
        </row>
        <row r="17145">
          <cell r="C17145" t="str">
            <v>葉宏政</v>
          </cell>
          <cell r="J17145">
            <v>45565</v>
          </cell>
          <cell r="K17145">
            <v>0.5</v>
          </cell>
        </row>
        <row r="17146">
          <cell r="C17146" t="str">
            <v>葉宏政</v>
          </cell>
          <cell r="F17146" t="str">
            <v>M240702R1</v>
          </cell>
          <cell r="J17146">
            <v>45565</v>
          </cell>
          <cell r="K17146">
            <v>0.5</v>
          </cell>
        </row>
        <row r="17147">
          <cell r="C17147" t="str">
            <v>葉宏政</v>
          </cell>
          <cell r="F17147" t="str">
            <v>M240804R1</v>
          </cell>
          <cell r="J17147">
            <v>45565</v>
          </cell>
          <cell r="K17147">
            <v>8</v>
          </cell>
        </row>
        <row r="17148">
          <cell r="C17148" t="str">
            <v>葉宏政</v>
          </cell>
          <cell r="F17148" t="str">
            <v>M240702R1</v>
          </cell>
          <cell r="J17148">
            <v>45566</v>
          </cell>
          <cell r="K17148">
            <v>3</v>
          </cell>
        </row>
        <row r="17149">
          <cell r="C17149" t="str">
            <v>葉宏政</v>
          </cell>
          <cell r="F17149" t="str">
            <v>M240804R1</v>
          </cell>
          <cell r="J17149">
            <v>45566</v>
          </cell>
          <cell r="K17149">
            <v>6</v>
          </cell>
        </row>
        <row r="17150">
          <cell r="C17150" t="str">
            <v>葉宏政</v>
          </cell>
          <cell r="J17150">
            <v>45567</v>
          </cell>
          <cell r="K17150">
            <v>8</v>
          </cell>
        </row>
        <row r="17151">
          <cell r="C17151" t="str">
            <v>葉宏政</v>
          </cell>
          <cell r="J17151">
            <v>45568</v>
          </cell>
          <cell r="K17151">
            <v>8</v>
          </cell>
        </row>
        <row r="17152">
          <cell r="C17152" t="str">
            <v>葉宏政</v>
          </cell>
          <cell r="F17152" t="str">
            <v>M240201R1</v>
          </cell>
          <cell r="J17152">
            <v>45569</v>
          </cell>
          <cell r="K17152">
            <v>4</v>
          </cell>
        </row>
        <row r="17153">
          <cell r="C17153" t="str">
            <v>葉宏政</v>
          </cell>
          <cell r="F17153" t="str">
            <v>M240702R1</v>
          </cell>
          <cell r="J17153">
            <v>45569</v>
          </cell>
          <cell r="K17153">
            <v>2</v>
          </cell>
        </row>
        <row r="17154">
          <cell r="C17154" t="str">
            <v>葉宏政</v>
          </cell>
          <cell r="F17154" t="str">
            <v>K240101R1</v>
          </cell>
          <cell r="J17154">
            <v>45569</v>
          </cell>
          <cell r="K17154">
            <v>0.5</v>
          </cell>
        </row>
        <row r="17155">
          <cell r="C17155" t="str">
            <v>葉宏政</v>
          </cell>
          <cell r="F17155" t="str">
            <v>M240804R1</v>
          </cell>
          <cell r="J17155">
            <v>45569</v>
          </cell>
          <cell r="K17155">
            <v>1.5</v>
          </cell>
        </row>
        <row r="17156">
          <cell r="C17156" t="str">
            <v>葉宏政</v>
          </cell>
          <cell r="J17156">
            <v>45572</v>
          </cell>
          <cell r="K17156">
            <v>2.5</v>
          </cell>
        </row>
        <row r="17157">
          <cell r="C17157" t="str">
            <v>葉宏政</v>
          </cell>
          <cell r="F17157" t="str">
            <v>M240804R1</v>
          </cell>
          <cell r="J17157">
            <v>45572</v>
          </cell>
          <cell r="K17157">
            <v>6</v>
          </cell>
        </row>
        <row r="17158">
          <cell r="C17158" t="str">
            <v>葉宏政</v>
          </cell>
          <cell r="J17158">
            <v>45573</v>
          </cell>
          <cell r="K17158">
            <v>0.5</v>
          </cell>
        </row>
        <row r="17159">
          <cell r="C17159" t="str">
            <v>葉宏政</v>
          </cell>
          <cell r="F17159" t="str">
            <v>M240201R1</v>
          </cell>
          <cell r="J17159">
            <v>45573</v>
          </cell>
          <cell r="K17159">
            <v>1</v>
          </cell>
        </row>
        <row r="17160">
          <cell r="C17160" t="str">
            <v>葉宏政</v>
          </cell>
          <cell r="F17160" t="str">
            <v>M240702R1</v>
          </cell>
          <cell r="J17160">
            <v>45573</v>
          </cell>
          <cell r="K17160">
            <v>1</v>
          </cell>
        </row>
        <row r="17161">
          <cell r="C17161" t="str">
            <v>葉宏政</v>
          </cell>
          <cell r="F17161" t="str">
            <v>M240804R1</v>
          </cell>
          <cell r="J17161">
            <v>45573</v>
          </cell>
          <cell r="K17161">
            <v>6.5</v>
          </cell>
        </row>
        <row r="17162">
          <cell r="C17162" t="str">
            <v>葉宏政</v>
          </cell>
          <cell r="F17162" t="str">
            <v>M240201R1</v>
          </cell>
          <cell r="J17162">
            <v>45574</v>
          </cell>
          <cell r="K17162">
            <v>1</v>
          </cell>
        </row>
        <row r="17163">
          <cell r="C17163" t="str">
            <v>葉宏政</v>
          </cell>
          <cell r="F17163" t="str">
            <v>M240702R1</v>
          </cell>
          <cell r="J17163">
            <v>45574</v>
          </cell>
          <cell r="K17163">
            <v>1</v>
          </cell>
        </row>
        <row r="17164">
          <cell r="C17164" t="str">
            <v>葉宏政</v>
          </cell>
          <cell r="F17164" t="str">
            <v>M240804R1</v>
          </cell>
          <cell r="J17164">
            <v>45574</v>
          </cell>
          <cell r="K17164">
            <v>5.5</v>
          </cell>
        </row>
        <row r="17165">
          <cell r="C17165" t="str">
            <v>葉宏政</v>
          </cell>
          <cell r="F17165" t="str">
            <v>M230705R1</v>
          </cell>
          <cell r="J17165">
            <v>45574</v>
          </cell>
          <cell r="K17165">
            <v>0.5</v>
          </cell>
        </row>
        <row r="17166">
          <cell r="C17166" t="str">
            <v>葉宏政</v>
          </cell>
          <cell r="F17166" t="str">
            <v>K240101R1</v>
          </cell>
          <cell r="J17166">
            <v>45574</v>
          </cell>
          <cell r="K17166">
            <v>1</v>
          </cell>
        </row>
        <row r="17167">
          <cell r="C17167" t="str">
            <v>葉宏政</v>
          </cell>
          <cell r="J17167">
            <v>45579</v>
          </cell>
          <cell r="K17167">
            <v>1</v>
          </cell>
        </row>
        <row r="17168">
          <cell r="C17168" t="str">
            <v>葉宏政</v>
          </cell>
          <cell r="F17168" t="str">
            <v>M240702R1</v>
          </cell>
          <cell r="J17168">
            <v>45579</v>
          </cell>
          <cell r="K17168">
            <v>4</v>
          </cell>
        </row>
        <row r="17169">
          <cell r="C17169" t="str">
            <v>葉宏政</v>
          </cell>
          <cell r="F17169" t="str">
            <v>M240804R1</v>
          </cell>
          <cell r="J17169">
            <v>45579</v>
          </cell>
          <cell r="K17169">
            <v>3</v>
          </cell>
        </row>
        <row r="17170">
          <cell r="C17170" t="str">
            <v>葉宏政</v>
          </cell>
          <cell r="F17170" t="str">
            <v>K240101R1</v>
          </cell>
          <cell r="J17170">
            <v>45579</v>
          </cell>
          <cell r="K17170">
            <v>1.5</v>
          </cell>
        </row>
        <row r="17171">
          <cell r="C17171" t="str">
            <v>葉宏政</v>
          </cell>
          <cell r="J17171">
            <v>45580</v>
          </cell>
          <cell r="K17171">
            <v>0.5</v>
          </cell>
        </row>
        <row r="17172">
          <cell r="C17172" t="str">
            <v>葉宏政</v>
          </cell>
          <cell r="F17172" t="str">
            <v>M240702R1</v>
          </cell>
          <cell r="J17172">
            <v>45580</v>
          </cell>
          <cell r="K17172">
            <v>3</v>
          </cell>
        </row>
        <row r="17173">
          <cell r="C17173" t="str">
            <v>葉宏政</v>
          </cell>
          <cell r="F17173" t="str">
            <v>M230705R1</v>
          </cell>
          <cell r="J17173">
            <v>45580</v>
          </cell>
          <cell r="K17173">
            <v>1</v>
          </cell>
        </row>
        <row r="17174">
          <cell r="C17174" t="str">
            <v>葉宏政</v>
          </cell>
          <cell r="F17174" t="str">
            <v>M240804R1</v>
          </cell>
          <cell r="J17174">
            <v>45580</v>
          </cell>
          <cell r="K17174">
            <v>3.5</v>
          </cell>
        </row>
        <row r="17175">
          <cell r="C17175" t="str">
            <v>葉宏政</v>
          </cell>
          <cell r="F17175" t="str">
            <v>M240201R1</v>
          </cell>
          <cell r="J17175">
            <v>45580</v>
          </cell>
          <cell r="K17175">
            <v>1</v>
          </cell>
        </row>
        <row r="17176">
          <cell r="C17176" t="str">
            <v>葉宏政</v>
          </cell>
          <cell r="J17176">
            <v>45581</v>
          </cell>
          <cell r="K17176">
            <v>0.5</v>
          </cell>
        </row>
        <row r="17177">
          <cell r="C17177" t="str">
            <v>葉宏政</v>
          </cell>
          <cell r="F17177" t="str">
            <v>M240702R1</v>
          </cell>
          <cell r="J17177">
            <v>45581</v>
          </cell>
          <cell r="K17177">
            <v>2</v>
          </cell>
        </row>
        <row r="17178">
          <cell r="C17178" t="str">
            <v>葉宏政</v>
          </cell>
          <cell r="F17178" t="str">
            <v>M240804R1</v>
          </cell>
          <cell r="J17178">
            <v>45581</v>
          </cell>
          <cell r="K17178">
            <v>4</v>
          </cell>
        </row>
        <row r="17179">
          <cell r="C17179" t="str">
            <v>葉宏政</v>
          </cell>
          <cell r="F17179" t="str">
            <v>M230705R1</v>
          </cell>
          <cell r="J17179">
            <v>45581</v>
          </cell>
          <cell r="K17179">
            <v>2</v>
          </cell>
        </row>
        <row r="17180">
          <cell r="C17180" t="str">
            <v>葉宏政</v>
          </cell>
          <cell r="F17180" t="str">
            <v>M240804R1</v>
          </cell>
          <cell r="J17180">
            <v>45582</v>
          </cell>
          <cell r="K17180">
            <v>5.5</v>
          </cell>
        </row>
        <row r="17181">
          <cell r="C17181" t="str">
            <v>葉宏政</v>
          </cell>
          <cell r="F17181" t="str">
            <v>M240703R1</v>
          </cell>
          <cell r="J17181">
            <v>45582</v>
          </cell>
          <cell r="K17181">
            <v>3</v>
          </cell>
        </row>
        <row r="17182">
          <cell r="C17182" t="str">
            <v>葉宏政</v>
          </cell>
          <cell r="J17182">
            <v>45583</v>
          </cell>
          <cell r="K17182">
            <v>1</v>
          </cell>
        </row>
        <row r="17183">
          <cell r="C17183" t="str">
            <v>葉宏政</v>
          </cell>
          <cell r="F17183" t="str">
            <v>M240804R1</v>
          </cell>
          <cell r="J17183">
            <v>45583</v>
          </cell>
          <cell r="K17183">
            <v>6</v>
          </cell>
        </row>
        <row r="17184">
          <cell r="C17184" t="str">
            <v>葉宏政</v>
          </cell>
          <cell r="F17184" t="str">
            <v>M240703R1</v>
          </cell>
          <cell r="J17184">
            <v>45583</v>
          </cell>
          <cell r="K17184">
            <v>1.5</v>
          </cell>
        </row>
        <row r="17185">
          <cell r="C17185" t="str">
            <v>葉宏政</v>
          </cell>
          <cell r="J17185">
            <v>45586</v>
          </cell>
          <cell r="K17185">
            <v>2</v>
          </cell>
        </row>
        <row r="17186">
          <cell r="C17186" t="str">
            <v>葉宏政</v>
          </cell>
          <cell r="F17186" t="str">
            <v>M240804R1</v>
          </cell>
          <cell r="J17186">
            <v>45586</v>
          </cell>
          <cell r="K17186">
            <v>1</v>
          </cell>
        </row>
        <row r="17187">
          <cell r="C17187" t="str">
            <v>葉宏政</v>
          </cell>
          <cell r="F17187" t="str">
            <v>M240804R1</v>
          </cell>
          <cell r="J17187">
            <v>45586</v>
          </cell>
          <cell r="K17187">
            <v>6</v>
          </cell>
        </row>
        <row r="17188">
          <cell r="C17188" t="str">
            <v>葉宏政</v>
          </cell>
          <cell r="F17188" t="str">
            <v>M240702R1</v>
          </cell>
          <cell r="J17188">
            <v>45587</v>
          </cell>
          <cell r="K17188">
            <v>1</v>
          </cell>
        </row>
        <row r="17189">
          <cell r="C17189" t="str">
            <v>葉宏政</v>
          </cell>
          <cell r="F17189" t="str">
            <v>M240804R1</v>
          </cell>
          <cell r="J17189">
            <v>45587</v>
          </cell>
          <cell r="K17189">
            <v>7.5</v>
          </cell>
        </row>
        <row r="17190">
          <cell r="C17190" t="str">
            <v>葉宏政</v>
          </cell>
          <cell r="J17190">
            <v>45588</v>
          </cell>
          <cell r="K17190">
            <v>1</v>
          </cell>
        </row>
        <row r="17191">
          <cell r="C17191" t="str">
            <v>葉宏政</v>
          </cell>
          <cell r="F17191" t="str">
            <v>M240804R1</v>
          </cell>
          <cell r="J17191">
            <v>45588</v>
          </cell>
          <cell r="K17191">
            <v>3.5</v>
          </cell>
        </row>
        <row r="17192">
          <cell r="C17192" t="str">
            <v>葉宏政</v>
          </cell>
          <cell r="F17192" t="str">
            <v>K240101R1</v>
          </cell>
          <cell r="J17192">
            <v>45588</v>
          </cell>
          <cell r="K17192">
            <v>5</v>
          </cell>
        </row>
        <row r="17193">
          <cell r="C17193" t="str">
            <v>葉宏政</v>
          </cell>
          <cell r="J17193">
            <v>45589</v>
          </cell>
          <cell r="K17193">
            <v>1</v>
          </cell>
        </row>
        <row r="17194">
          <cell r="C17194" t="str">
            <v>葉宏政</v>
          </cell>
          <cell r="J17194">
            <v>45589</v>
          </cell>
          <cell r="K17194">
            <v>1</v>
          </cell>
        </row>
        <row r="17195">
          <cell r="C17195" t="str">
            <v>葉宏政</v>
          </cell>
          <cell r="J17195">
            <v>45589</v>
          </cell>
          <cell r="K17195">
            <v>1</v>
          </cell>
        </row>
        <row r="17196">
          <cell r="C17196" t="str">
            <v>葉宏政</v>
          </cell>
          <cell r="F17196" t="str">
            <v>K240101R1</v>
          </cell>
          <cell r="J17196">
            <v>45589</v>
          </cell>
          <cell r="K17196">
            <v>6</v>
          </cell>
        </row>
        <row r="17197">
          <cell r="C17197" t="str">
            <v>葉宏政</v>
          </cell>
          <cell r="F17197" t="str">
            <v>M240201R1</v>
          </cell>
          <cell r="J17197">
            <v>45590</v>
          </cell>
          <cell r="K17197">
            <v>1</v>
          </cell>
        </row>
        <row r="17198">
          <cell r="C17198" t="str">
            <v>葉宏政</v>
          </cell>
          <cell r="F17198" t="str">
            <v>K240101R1</v>
          </cell>
          <cell r="J17198">
            <v>45590</v>
          </cell>
          <cell r="K17198">
            <v>3</v>
          </cell>
        </row>
        <row r="17199">
          <cell r="C17199" t="str">
            <v>葉宏政</v>
          </cell>
          <cell r="F17199" t="str">
            <v>M230705R1</v>
          </cell>
          <cell r="J17199">
            <v>45590</v>
          </cell>
          <cell r="K17199">
            <v>4.5</v>
          </cell>
        </row>
        <row r="17200">
          <cell r="C17200" t="str">
            <v>葉宏政</v>
          </cell>
          <cell r="F17200" t="str">
            <v>M240804R1</v>
          </cell>
          <cell r="J17200">
            <v>45593</v>
          </cell>
          <cell r="K17200">
            <v>1.5</v>
          </cell>
        </row>
        <row r="17201">
          <cell r="C17201" t="str">
            <v>葉宏政</v>
          </cell>
          <cell r="F17201" t="str">
            <v>M240201R1</v>
          </cell>
          <cell r="J17201">
            <v>45593</v>
          </cell>
          <cell r="K17201">
            <v>3</v>
          </cell>
        </row>
        <row r="17202">
          <cell r="C17202" t="str">
            <v>葉宏政</v>
          </cell>
          <cell r="F17202" t="str">
            <v>M240804R1</v>
          </cell>
          <cell r="J17202">
            <v>45593</v>
          </cell>
          <cell r="K17202">
            <v>4.5</v>
          </cell>
        </row>
        <row r="17203">
          <cell r="C17203" t="str">
            <v>葉宏政</v>
          </cell>
          <cell r="F17203" t="str">
            <v>M240804R1</v>
          </cell>
          <cell r="J17203">
            <v>45594</v>
          </cell>
          <cell r="K17203">
            <v>9</v>
          </cell>
        </row>
        <row r="17204">
          <cell r="C17204" t="str">
            <v>葉宏政</v>
          </cell>
          <cell r="F17204" t="str">
            <v>M230705R1</v>
          </cell>
          <cell r="J17204">
            <v>45595</v>
          </cell>
          <cell r="K17204">
            <v>3</v>
          </cell>
        </row>
        <row r="17205">
          <cell r="C17205" t="str">
            <v>葉宏政</v>
          </cell>
          <cell r="F17205" t="str">
            <v>M240804R1</v>
          </cell>
          <cell r="J17205">
            <v>45595</v>
          </cell>
          <cell r="K17205">
            <v>5.5</v>
          </cell>
        </row>
        <row r="17206">
          <cell r="C17206" t="str">
            <v>葉宏政</v>
          </cell>
          <cell r="J17206">
            <v>45597</v>
          </cell>
          <cell r="K17206">
            <v>5</v>
          </cell>
        </row>
        <row r="17207">
          <cell r="C17207" t="str">
            <v>葉宏政</v>
          </cell>
          <cell r="F17207" t="str">
            <v>M240804R1</v>
          </cell>
          <cell r="J17207">
            <v>45597</v>
          </cell>
          <cell r="K17207">
            <v>4</v>
          </cell>
        </row>
        <row r="17208">
          <cell r="C17208" t="str">
            <v>葉宏政</v>
          </cell>
          <cell r="J17208">
            <v>45600</v>
          </cell>
          <cell r="K17208">
            <v>7.5</v>
          </cell>
        </row>
        <row r="17209">
          <cell r="C17209" t="str">
            <v>葉宏政</v>
          </cell>
          <cell r="F17209" t="str">
            <v>M240702R1</v>
          </cell>
          <cell r="J17209">
            <v>45600</v>
          </cell>
          <cell r="K17209">
            <v>1</v>
          </cell>
        </row>
        <row r="17210">
          <cell r="C17210" t="str">
            <v>葉宏政</v>
          </cell>
          <cell r="J17210">
            <v>45601</v>
          </cell>
          <cell r="K17210">
            <v>8.5</v>
          </cell>
        </row>
        <row r="17211">
          <cell r="C17211" t="str">
            <v>葉宏政</v>
          </cell>
          <cell r="F17211" t="str">
            <v>M240702R1</v>
          </cell>
          <cell r="J17211">
            <v>45601</v>
          </cell>
          <cell r="K17211">
            <v>1</v>
          </cell>
        </row>
        <row r="17212">
          <cell r="C17212" t="str">
            <v>葉宏政</v>
          </cell>
          <cell r="J17212">
            <v>45602</v>
          </cell>
          <cell r="K17212">
            <v>7.5</v>
          </cell>
        </row>
        <row r="17213">
          <cell r="C17213" t="str">
            <v>葉宏政</v>
          </cell>
          <cell r="F17213" t="str">
            <v>K240101R1</v>
          </cell>
          <cell r="J17213">
            <v>45602</v>
          </cell>
          <cell r="K17213">
            <v>1</v>
          </cell>
        </row>
        <row r="17214">
          <cell r="C17214" t="str">
            <v>葉宏政</v>
          </cell>
          <cell r="J17214">
            <v>45604</v>
          </cell>
          <cell r="K17214">
            <v>6</v>
          </cell>
        </row>
        <row r="17215">
          <cell r="C17215" t="str">
            <v>葉宏政</v>
          </cell>
          <cell r="F17215" t="str">
            <v>M230705R1</v>
          </cell>
          <cell r="J17215">
            <v>45604</v>
          </cell>
          <cell r="K17215">
            <v>2</v>
          </cell>
        </row>
        <row r="17216">
          <cell r="C17216" t="str">
            <v>葉宏政</v>
          </cell>
          <cell r="J17216">
            <v>45607</v>
          </cell>
          <cell r="K17216">
            <v>6</v>
          </cell>
        </row>
        <row r="17217">
          <cell r="C17217" t="str">
            <v>葉宏政</v>
          </cell>
          <cell r="F17217" t="str">
            <v>M240804R1</v>
          </cell>
          <cell r="J17217">
            <v>45607</v>
          </cell>
          <cell r="K17217">
            <v>3</v>
          </cell>
        </row>
        <row r="17218">
          <cell r="C17218" t="str">
            <v>葉宏政</v>
          </cell>
          <cell r="J17218">
            <v>45608</v>
          </cell>
          <cell r="K17218">
            <v>9</v>
          </cell>
        </row>
        <row r="17219">
          <cell r="C17219" t="str">
            <v>葉宏政</v>
          </cell>
          <cell r="F17219" t="str">
            <v>M230705R1</v>
          </cell>
          <cell r="J17219">
            <v>45608</v>
          </cell>
          <cell r="K17219">
            <v>0.5</v>
          </cell>
        </row>
        <row r="17220">
          <cell r="C17220" t="str">
            <v>葉宏政</v>
          </cell>
          <cell r="J17220">
            <v>45609</v>
          </cell>
          <cell r="K17220">
            <v>3</v>
          </cell>
        </row>
        <row r="17221">
          <cell r="C17221" t="str">
            <v>葉宏政</v>
          </cell>
          <cell r="J17221">
            <v>45609</v>
          </cell>
          <cell r="K17221">
            <v>2</v>
          </cell>
        </row>
        <row r="17222">
          <cell r="C17222" t="str">
            <v>葉宏政</v>
          </cell>
          <cell r="F17222" t="str">
            <v>M240804R1</v>
          </cell>
          <cell r="J17222">
            <v>45609</v>
          </cell>
          <cell r="K17222">
            <v>3.5</v>
          </cell>
        </row>
        <row r="17223">
          <cell r="C17223" t="str">
            <v>葉宏政</v>
          </cell>
          <cell r="F17223" t="str">
            <v>M240804R1</v>
          </cell>
          <cell r="J17223">
            <v>45610</v>
          </cell>
          <cell r="K17223">
            <v>5</v>
          </cell>
        </row>
        <row r="17224">
          <cell r="C17224" t="str">
            <v>葉宏政</v>
          </cell>
          <cell r="F17224" t="str">
            <v>M240804R1</v>
          </cell>
          <cell r="J17224">
            <v>45610</v>
          </cell>
          <cell r="K17224">
            <v>4</v>
          </cell>
        </row>
        <row r="17225">
          <cell r="C17225" t="str">
            <v>葉宏政</v>
          </cell>
          <cell r="J17225">
            <v>45611</v>
          </cell>
          <cell r="K17225">
            <v>3</v>
          </cell>
        </row>
        <row r="17226">
          <cell r="C17226" t="str">
            <v>葉宏政</v>
          </cell>
          <cell r="F17226" t="str">
            <v>M240804R1</v>
          </cell>
          <cell r="J17226">
            <v>45611</v>
          </cell>
          <cell r="K17226">
            <v>5</v>
          </cell>
        </row>
        <row r="17227">
          <cell r="C17227" t="str">
            <v>葉宏政</v>
          </cell>
          <cell r="F17227" t="str">
            <v>K240101R1</v>
          </cell>
          <cell r="J17227">
            <v>45614</v>
          </cell>
          <cell r="K17227">
            <v>2.5</v>
          </cell>
        </row>
        <row r="17228">
          <cell r="C17228" t="str">
            <v>葉宏政</v>
          </cell>
          <cell r="F17228" t="str">
            <v>K240101R1</v>
          </cell>
          <cell r="J17228">
            <v>45614</v>
          </cell>
          <cell r="K17228">
            <v>3.5</v>
          </cell>
        </row>
        <row r="17229">
          <cell r="C17229" t="str">
            <v>葉宏政</v>
          </cell>
          <cell r="J17229">
            <v>45614</v>
          </cell>
          <cell r="K17229">
            <v>1.5</v>
          </cell>
        </row>
        <row r="17230">
          <cell r="C17230" t="str">
            <v>葉宏政</v>
          </cell>
          <cell r="F17230" t="str">
            <v>M240804R1</v>
          </cell>
          <cell r="J17230">
            <v>45614</v>
          </cell>
          <cell r="K17230">
            <v>1</v>
          </cell>
        </row>
        <row r="17231">
          <cell r="C17231" t="str">
            <v>葉宏政</v>
          </cell>
          <cell r="F17231" t="str">
            <v>M240804R1</v>
          </cell>
          <cell r="J17231">
            <v>45614</v>
          </cell>
          <cell r="K17231">
            <v>1</v>
          </cell>
        </row>
        <row r="17232">
          <cell r="C17232" t="str">
            <v>葉宏政</v>
          </cell>
          <cell r="F17232" t="str">
            <v>M230705R1</v>
          </cell>
          <cell r="J17232">
            <v>45615</v>
          </cell>
          <cell r="K17232">
            <v>2</v>
          </cell>
        </row>
        <row r="17233">
          <cell r="C17233" t="str">
            <v>葉宏政</v>
          </cell>
          <cell r="F17233" t="str">
            <v>M240702C1</v>
          </cell>
          <cell r="J17233">
            <v>45615</v>
          </cell>
          <cell r="K17233">
            <v>6.5</v>
          </cell>
        </row>
        <row r="17234">
          <cell r="C17234" t="str">
            <v>葉宏政</v>
          </cell>
          <cell r="J17234">
            <v>45616</v>
          </cell>
          <cell r="K17234">
            <v>1.5</v>
          </cell>
        </row>
        <row r="17235">
          <cell r="C17235" t="str">
            <v>葉宏政</v>
          </cell>
          <cell r="F17235" t="str">
            <v>M240703R1</v>
          </cell>
          <cell r="J17235">
            <v>45616</v>
          </cell>
          <cell r="K17235">
            <v>3</v>
          </cell>
        </row>
        <row r="17236">
          <cell r="C17236" t="str">
            <v>葉宏政</v>
          </cell>
          <cell r="F17236" t="str">
            <v>M240804R1</v>
          </cell>
          <cell r="J17236">
            <v>45616</v>
          </cell>
          <cell r="K17236">
            <v>5</v>
          </cell>
        </row>
        <row r="17237">
          <cell r="C17237" t="str">
            <v>葉宏政</v>
          </cell>
          <cell r="J17237">
            <v>45617</v>
          </cell>
          <cell r="K17237">
            <v>0.5</v>
          </cell>
        </row>
        <row r="17238">
          <cell r="C17238" t="str">
            <v>葉宏政</v>
          </cell>
          <cell r="J17238">
            <v>45617</v>
          </cell>
          <cell r="K17238">
            <v>1</v>
          </cell>
        </row>
        <row r="17239">
          <cell r="C17239" t="str">
            <v>葉宏政</v>
          </cell>
          <cell r="F17239" t="str">
            <v>M240702R1</v>
          </cell>
          <cell r="J17239">
            <v>45617</v>
          </cell>
          <cell r="K17239">
            <v>2</v>
          </cell>
        </row>
        <row r="17240">
          <cell r="C17240" t="str">
            <v>葉宏政</v>
          </cell>
          <cell r="F17240" t="str">
            <v>M240703R1</v>
          </cell>
          <cell r="J17240">
            <v>45617</v>
          </cell>
          <cell r="K17240">
            <v>1</v>
          </cell>
        </row>
        <row r="17241">
          <cell r="C17241" t="str">
            <v>葉宏政</v>
          </cell>
          <cell r="F17241" t="str">
            <v>M240804R1</v>
          </cell>
          <cell r="J17241">
            <v>45617</v>
          </cell>
          <cell r="K17241">
            <v>4</v>
          </cell>
        </row>
        <row r="17242">
          <cell r="C17242" t="str">
            <v>葉宏政</v>
          </cell>
          <cell r="J17242">
            <v>45618</v>
          </cell>
          <cell r="K17242">
            <v>8</v>
          </cell>
        </row>
        <row r="17243">
          <cell r="C17243" t="str">
            <v>葉宏政</v>
          </cell>
          <cell r="F17243" t="str">
            <v>M240702R1</v>
          </cell>
          <cell r="J17243">
            <v>45621</v>
          </cell>
          <cell r="K17243">
            <v>2</v>
          </cell>
        </row>
        <row r="17244">
          <cell r="C17244" t="str">
            <v>葉宏政</v>
          </cell>
          <cell r="F17244" t="str">
            <v>M240804R1</v>
          </cell>
          <cell r="J17244">
            <v>45621</v>
          </cell>
          <cell r="K17244">
            <v>7</v>
          </cell>
        </row>
        <row r="17245">
          <cell r="C17245" t="str">
            <v>葉宏政</v>
          </cell>
          <cell r="J17245">
            <v>45622</v>
          </cell>
          <cell r="K17245">
            <v>3</v>
          </cell>
        </row>
        <row r="17246">
          <cell r="C17246" t="str">
            <v>葉宏政</v>
          </cell>
          <cell r="F17246" t="str">
            <v>M240201R1</v>
          </cell>
          <cell r="J17246">
            <v>45622</v>
          </cell>
          <cell r="K17246">
            <v>1</v>
          </cell>
        </row>
        <row r="17247">
          <cell r="C17247" t="str">
            <v>葉宏政</v>
          </cell>
          <cell r="F17247" t="str">
            <v>M240702R1</v>
          </cell>
          <cell r="J17247">
            <v>45622</v>
          </cell>
          <cell r="K17247">
            <v>2</v>
          </cell>
        </row>
        <row r="17248">
          <cell r="C17248" t="str">
            <v>葉宏政</v>
          </cell>
          <cell r="F17248" t="str">
            <v>M240804R1</v>
          </cell>
          <cell r="J17248">
            <v>45622</v>
          </cell>
          <cell r="K17248">
            <v>3</v>
          </cell>
        </row>
        <row r="17249">
          <cell r="C17249" t="str">
            <v>葉宏政</v>
          </cell>
          <cell r="F17249" t="str">
            <v>M240702R1</v>
          </cell>
          <cell r="J17249">
            <v>45623</v>
          </cell>
          <cell r="K17249">
            <v>8.5</v>
          </cell>
        </row>
        <row r="17250">
          <cell r="C17250" t="str">
            <v>葉宏政</v>
          </cell>
          <cell r="J17250">
            <v>45624</v>
          </cell>
          <cell r="K17250">
            <v>0.5</v>
          </cell>
        </row>
        <row r="17251">
          <cell r="C17251" t="str">
            <v>葉宏政</v>
          </cell>
          <cell r="F17251" t="str">
            <v>M240703R1</v>
          </cell>
          <cell r="J17251">
            <v>45624</v>
          </cell>
          <cell r="K17251">
            <v>1</v>
          </cell>
        </row>
        <row r="17252">
          <cell r="C17252" t="str">
            <v>葉宏政</v>
          </cell>
          <cell r="F17252" t="str">
            <v>M240804R1</v>
          </cell>
          <cell r="J17252">
            <v>45624</v>
          </cell>
          <cell r="K17252">
            <v>3</v>
          </cell>
        </row>
        <row r="17253">
          <cell r="C17253" t="str">
            <v>葉宏政</v>
          </cell>
          <cell r="F17253" t="str">
            <v>M240804R1</v>
          </cell>
          <cell r="J17253">
            <v>45624</v>
          </cell>
          <cell r="K17253">
            <v>4.5</v>
          </cell>
        </row>
        <row r="17254">
          <cell r="C17254" t="str">
            <v>葉宏政</v>
          </cell>
          <cell r="F17254" t="str">
            <v>M240703R1</v>
          </cell>
          <cell r="J17254">
            <v>45625</v>
          </cell>
          <cell r="K17254">
            <v>2</v>
          </cell>
        </row>
        <row r="17255">
          <cell r="C17255" t="str">
            <v>葉宏政</v>
          </cell>
          <cell r="F17255" t="str">
            <v>M240804R1</v>
          </cell>
          <cell r="J17255">
            <v>45625</v>
          </cell>
          <cell r="K17255">
            <v>6.5</v>
          </cell>
        </row>
        <row r="17256">
          <cell r="C17256" t="str">
            <v>葉宏政</v>
          </cell>
          <cell r="J17256">
            <v>45628</v>
          </cell>
          <cell r="K17256">
            <v>2</v>
          </cell>
        </row>
        <row r="17257">
          <cell r="C17257" t="str">
            <v>葉宏政</v>
          </cell>
          <cell r="J17257">
            <v>45628</v>
          </cell>
          <cell r="K17257">
            <v>1</v>
          </cell>
        </row>
        <row r="17258">
          <cell r="C17258" t="str">
            <v>葉宏政</v>
          </cell>
          <cell r="F17258" t="str">
            <v>M240201R1</v>
          </cell>
          <cell r="J17258">
            <v>45628</v>
          </cell>
          <cell r="K17258">
            <v>3</v>
          </cell>
        </row>
        <row r="17259">
          <cell r="C17259" t="str">
            <v>葉宏政</v>
          </cell>
          <cell r="F17259" t="str">
            <v>M240702R1</v>
          </cell>
          <cell r="J17259">
            <v>45628</v>
          </cell>
          <cell r="K17259">
            <v>3.5</v>
          </cell>
        </row>
        <row r="17260">
          <cell r="C17260" t="str">
            <v>葉宏政</v>
          </cell>
          <cell r="F17260" t="str">
            <v>M240804R1</v>
          </cell>
          <cell r="J17260">
            <v>45629</v>
          </cell>
          <cell r="K17260">
            <v>1</v>
          </cell>
        </row>
        <row r="17261">
          <cell r="C17261" t="str">
            <v>葉宏政</v>
          </cell>
          <cell r="F17261" t="str">
            <v>M240201R1</v>
          </cell>
          <cell r="J17261">
            <v>45629</v>
          </cell>
          <cell r="K17261">
            <v>7.5</v>
          </cell>
        </row>
        <row r="17262">
          <cell r="C17262" t="str">
            <v>葉宏政</v>
          </cell>
          <cell r="J17262">
            <v>45630</v>
          </cell>
          <cell r="K17262">
            <v>1</v>
          </cell>
        </row>
        <row r="17263">
          <cell r="C17263" t="str">
            <v>葉宏政</v>
          </cell>
          <cell r="F17263" t="str">
            <v>M240201R1</v>
          </cell>
          <cell r="J17263">
            <v>45630</v>
          </cell>
          <cell r="K17263">
            <v>7.5</v>
          </cell>
        </row>
        <row r="17264">
          <cell r="C17264" t="str">
            <v>葉宏政</v>
          </cell>
          <cell r="J17264">
            <v>45631</v>
          </cell>
          <cell r="K17264">
            <v>0.5</v>
          </cell>
        </row>
        <row r="17265">
          <cell r="C17265" t="str">
            <v>葉宏政</v>
          </cell>
          <cell r="J17265">
            <v>45631</v>
          </cell>
          <cell r="K17265">
            <v>7</v>
          </cell>
        </row>
        <row r="17266">
          <cell r="C17266" t="str">
            <v>葉宏政</v>
          </cell>
          <cell r="F17266" t="str">
            <v>M230705R1</v>
          </cell>
          <cell r="J17266">
            <v>45631</v>
          </cell>
          <cell r="K17266">
            <v>1</v>
          </cell>
        </row>
        <row r="17267">
          <cell r="C17267" t="str">
            <v>葉宏政</v>
          </cell>
          <cell r="J17267">
            <v>45632</v>
          </cell>
          <cell r="K17267">
            <v>2.5</v>
          </cell>
        </row>
        <row r="17268">
          <cell r="C17268" t="str">
            <v>葉宏政</v>
          </cell>
          <cell r="F17268" t="str">
            <v>M240804R1</v>
          </cell>
          <cell r="J17268">
            <v>45632</v>
          </cell>
          <cell r="K17268">
            <v>6</v>
          </cell>
        </row>
        <row r="17269">
          <cell r="C17269" t="str">
            <v>葉宏政</v>
          </cell>
          <cell r="F17269" t="str">
            <v>M240804R1</v>
          </cell>
          <cell r="J17269">
            <v>45635</v>
          </cell>
          <cell r="K17269">
            <v>7.5</v>
          </cell>
        </row>
        <row r="17270">
          <cell r="C17270" t="str">
            <v>葉宏政</v>
          </cell>
          <cell r="F17270" t="str">
            <v>M240702C1</v>
          </cell>
          <cell r="J17270">
            <v>45635</v>
          </cell>
          <cell r="K17270">
            <v>2</v>
          </cell>
        </row>
        <row r="17271">
          <cell r="C17271" t="str">
            <v>葉宏政</v>
          </cell>
          <cell r="F17271" t="str">
            <v>M240804R1</v>
          </cell>
          <cell r="J17271">
            <v>45636</v>
          </cell>
          <cell r="K17271">
            <v>7</v>
          </cell>
        </row>
        <row r="17272">
          <cell r="C17272" t="str">
            <v>葉宏政</v>
          </cell>
          <cell r="F17272" t="str">
            <v>K240101R1</v>
          </cell>
          <cell r="J17272">
            <v>45636</v>
          </cell>
          <cell r="K17272">
            <v>2</v>
          </cell>
        </row>
        <row r="17273">
          <cell r="C17273" t="str">
            <v>葉宏政</v>
          </cell>
          <cell r="J17273">
            <v>45637</v>
          </cell>
          <cell r="K17273">
            <v>1.5</v>
          </cell>
        </row>
        <row r="17274">
          <cell r="C17274" t="str">
            <v>葉宏政</v>
          </cell>
          <cell r="J17274">
            <v>45637</v>
          </cell>
          <cell r="K17274">
            <v>2.5</v>
          </cell>
        </row>
        <row r="17275">
          <cell r="C17275" t="str">
            <v>葉宏政</v>
          </cell>
          <cell r="F17275" t="str">
            <v>M240804R1</v>
          </cell>
          <cell r="J17275">
            <v>45637</v>
          </cell>
          <cell r="K17275">
            <v>5</v>
          </cell>
        </row>
        <row r="17276">
          <cell r="C17276" t="str">
            <v>葉宏政</v>
          </cell>
          <cell r="J17276">
            <v>45638</v>
          </cell>
          <cell r="K17276">
            <v>0.5</v>
          </cell>
        </row>
        <row r="17277">
          <cell r="C17277" t="str">
            <v>葉宏政</v>
          </cell>
          <cell r="F17277" t="str">
            <v>M240804R1</v>
          </cell>
          <cell r="J17277">
            <v>45638</v>
          </cell>
          <cell r="K17277">
            <v>3</v>
          </cell>
        </row>
        <row r="17278">
          <cell r="C17278" t="str">
            <v>葉宏政</v>
          </cell>
          <cell r="F17278" t="str">
            <v>M240201R1</v>
          </cell>
          <cell r="J17278">
            <v>45638</v>
          </cell>
          <cell r="K17278">
            <v>5</v>
          </cell>
        </row>
        <row r="17279">
          <cell r="C17279" t="str">
            <v>葉宏政</v>
          </cell>
          <cell r="J17279">
            <v>45639</v>
          </cell>
          <cell r="K17279">
            <v>6</v>
          </cell>
        </row>
        <row r="17280">
          <cell r="C17280" t="str">
            <v>葉宏政</v>
          </cell>
          <cell r="F17280" t="str">
            <v>M240804R1</v>
          </cell>
          <cell r="J17280">
            <v>45639</v>
          </cell>
          <cell r="K17280">
            <v>2.5</v>
          </cell>
        </row>
        <row r="17281">
          <cell r="C17281" t="str">
            <v>葉宏政</v>
          </cell>
          <cell r="F17281" t="str">
            <v>M240804R1</v>
          </cell>
          <cell r="J17281">
            <v>45642</v>
          </cell>
          <cell r="K17281">
            <v>0.5</v>
          </cell>
        </row>
        <row r="17282">
          <cell r="C17282" t="str">
            <v>葉宏政</v>
          </cell>
          <cell r="F17282" t="str">
            <v>M240804R1</v>
          </cell>
          <cell r="J17282">
            <v>45642</v>
          </cell>
          <cell r="K17282">
            <v>8</v>
          </cell>
        </row>
        <row r="17283">
          <cell r="C17283" t="str">
            <v>葉宏政</v>
          </cell>
          <cell r="F17283" t="str">
            <v>K240101R1</v>
          </cell>
          <cell r="J17283">
            <v>45643</v>
          </cell>
          <cell r="K17283">
            <v>8</v>
          </cell>
        </row>
        <row r="17284">
          <cell r="C17284" t="str">
            <v>葉宏政</v>
          </cell>
          <cell r="F17284" t="str">
            <v>M240804R1</v>
          </cell>
          <cell r="J17284">
            <v>45643</v>
          </cell>
          <cell r="K17284">
            <v>1</v>
          </cell>
        </row>
        <row r="17285">
          <cell r="C17285" t="str">
            <v>葉宏政</v>
          </cell>
          <cell r="F17285" t="str">
            <v>M240702R1</v>
          </cell>
          <cell r="J17285">
            <v>45644</v>
          </cell>
          <cell r="K17285">
            <v>0.5</v>
          </cell>
        </row>
        <row r="17286">
          <cell r="C17286" t="str">
            <v>葉宏政</v>
          </cell>
          <cell r="J17286">
            <v>45644</v>
          </cell>
          <cell r="K17286">
            <v>2</v>
          </cell>
        </row>
        <row r="17287">
          <cell r="C17287" t="str">
            <v>葉宏政</v>
          </cell>
          <cell r="F17287" t="str">
            <v>M240702R1</v>
          </cell>
          <cell r="J17287">
            <v>45644</v>
          </cell>
          <cell r="K17287">
            <v>5</v>
          </cell>
        </row>
        <row r="17288">
          <cell r="C17288" t="str">
            <v>葉宏政</v>
          </cell>
          <cell r="F17288" t="str">
            <v>M230705R1</v>
          </cell>
          <cell r="J17288">
            <v>45644</v>
          </cell>
          <cell r="K17288">
            <v>1</v>
          </cell>
        </row>
        <row r="17289">
          <cell r="C17289" t="str">
            <v>葉宏政</v>
          </cell>
          <cell r="J17289">
            <v>45645</v>
          </cell>
          <cell r="K17289">
            <v>0.5</v>
          </cell>
        </row>
        <row r="17290">
          <cell r="C17290" t="str">
            <v>葉宏政</v>
          </cell>
          <cell r="J17290">
            <v>45645</v>
          </cell>
          <cell r="K17290">
            <v>1</v>
          </cell>
        </row>
        <row r="17291">
          <cell r="C17291" t="str">
            <v>葉宏政</v>
          </cell>
          <cell r="J17291">
            <v>45645</v>
          </cell>
          <cell r="K17291">
            <v>1.5</v>
          </cell>
        </row>
        <row r="17292">
          <cell r="C17292" t="str">
            <v>葉宏政</v>
          </cell>
          <cell r="F17292" t="str">
            <v>M240201R1</v>
          </cell>
          <cell r="J17292">
            <v>45645</v>
          </cell>
          <cell r="K17292">
            <v>1</v>
          </cell>
        </row>
        <row r="17293">
          <cell r="C17293" t="str">
            <v>葉宏政</v>
          </cell>
          <cell r="F17293" t="str">
            <v>M240804R1</v>
          </cell>
          <cell r="J17293">
            <v>45645</v>
          </cell>
          <cell r="K17293">
            <v>2</v>
          </cell>
        </row>
        <row r="17294">
          <cell r="C17294" t="str">
            <v>葉宏政</v>
          </cell>
          <cell r="F17294" t="str">
            <v>M240804R1</v>
          </cell>
          <cell r="J17294">
            <v>45645</v>
          </cell>
          <cell r="K17294">
            <v>3.5</v>
          </cell>
        </row>
        <row r="17295">
          <cell r="C17295" t="str">
            <v>葉宏政</v>
          </cell>
          <cell r="J17295">
            <v>45646</v>
          </cell>
          <cell r="K17295">
            <v>8</v>
          </cell>
        </row>
        <row r="17296">
          <cell r="C17296" t="str">
            <v>葉宏政</v>
          </cell>
          <cell r="F17296" t="str">
            <v>M230705R1</v>
          </cell>
          <cell r="J17296">
            <v>45646</v>
          </cell>
          <cell r="K17296">
            <v>0.5</v>
          </cell>
        </row>
        <row r="17297">
          <cell r="C17297" t="str">
            <v>葉宏政</v>
          </cell>
          <cell r="F17297" t="str">
            <v>M240702R1</v>
          </cell>
          <cell r="J17297">
            <v>45650</v>
          </cell>
          <cell r="K17297">
            <v>4</v>
          </cell>
        </row>
        <row r="17298">
          <cell r="C17298" t="str">
            <v>葉宏政</v>
          </cell>
          <cell r="F17298" t="str">
            <v>M240702R1</v>
          </cell>
          <cell r="J17298">
            <v>45650</v>
          </cell>
          <cell r="K17298">
            <v>2</v>
          </cell>
        </row>
        <row r="17299">
          <cell r="C17299" t="str">
            <v>葉宏政</v>
          </cell>
          <cell r="F17299" t="str">
            <v>M240804R1</v>
          </cell>
          <cell r="J17299">
            <v>45650</v>
          </cell>
          <cell r="K17299">
            <v>3</v>
          </cell>
        </row>
        <row r="17300">
          <cell r="C17300" t="str">
            <v>葉宏政</v>
          </cell>
          <cell r="J17300">
            <v>45651</v>
          </cell>
          <cell r="K17300">
            <v>3</v>
          </cell>
        </row>
        <row r="17301">
          <cell r="C17301" t="str">
            <v>葉宏政</v>
          </cell>
          <cell r="F17301" t="str">
            <v>M240804R1</v>
          </cell>
          <cell r="J17301">
            <v>45651</v>
          </cell>
          <cell r="K17301">
            <v>5.5</v>
          </cell>
        </row>
        <row r="17302">
          <cell r="C17302" t="str">
            <v>葉宏政</v>
          </cell>
          <cell r="J17302">
            <v>45652</v>
          </cell>
          <cell r="K17302">
            <v>0.5</v>
          </cell>
        </row>
        <row r="17303">
          <cell r="C17303" t="str">
            <v>葉宏政</v>
          </cell>
          <cell r="F17303" t="str">
            <v>M240804R1</v>
          </cell>
          <cell r="J17303">
            <v>45652</v>
          </cell>
          <cell r="K17303">
            <v>8</v>
          </cell>
        </row>
        <row r="17304">
          <cell r="C17304" t="str">
            <v>葉宏政</v>
          </cell>
          <cell r="J17304">
            <v>45653</v>
          </cell>
          <cell r="K17304">
            <v>0.5</v>
          </cell>
        </row>
        <row r="17305">
          <cell r="C17305" t="str">
            <v>葉宏政</v>
          </cell>
          <cell r="F17305" t="str">
            <v>M240201R1</v>
          </cell>
          <cell r="J17305">
            <v>45653</v>
          </cell>
          <cell r="K17305">
            <v>3</v>
          </cell>
        </row>
        <row r="17306">
          <cell r="C17306" t="str">
            <v>葉宏政</v>
          </cell>
          <cell r="F17306" t="str">
            <v>M240804R1</v>
          </cell>
          <cell r="J17306">
            <v>45653</v>
          </cell>
          <cell r="K17306">
            <v>4.5</v>
          </cell>
        </row>
        <row r="17307">
          <cell r="C17307" t="str">
            <v>葉宏政</v>
          </cell>
          <cell r="F17307" t="str">
            <v>M240804R1</v>
          </cell>
          <cell r="J17307">
            <v>45656</v>
          </cell>
          <cell r="K17307">
            <v>0.5</v>
          </cell>
        </row>
        <row r="17308">
          <cell r="C17308" t="str">
            <v>葉宏政</v>
          </cell>
          <cell r="F17308" t="str">
            <v>M240804R1</v>
          </cell>
          <cell r="J17308">
            <v>45656</v>
          </cell>
          <cell r="K17308">
            <v>8</v>
          </cell>
        </row>
        <row r="17309">
          <cell r="C17309" t="str">
            <v>葉宏政</v>
          </cell>
          <cell r="F17309" t="str">
            <v>M240804R1</v>
          </cell>
          <cell r="J17309">
            <v>45657</v>
          </cell>
          <cell r="K17309">
            <v>8</v>
          </cell>
        </row>
        <row r="17310">
          <cell r="C17310" t="str">
            <v>葉宏政</v>
          </cell>
          <cell r="J17310">
            <v>45659</v>
          </cell>
          <cell r="K17310">
            <v>1</v>
          </cell>
        </row>
        <row r="17311">
          <cell r="C17311" t="str">
            <v>葉宏政</v>
          </cell>
          <cell r="F17311" t="str">
            <v>M240201R1</v>
          </cell>
          <cell r="J17311">
            <v>45659</v>
          </cell>
          <cell r="K17311">
            <v>8</v>
          </cell>
        </row>
        <row r="17312">
          <cell r="C17312" t="str">
            <v>葉宏政</v>
          </cell>
          <cell r="J17312">
            <v>45660</v>
          </cell>
          <cell r="K17312">
            <v>1.5</v>
          </cell>
        </row>
        <row r="17313">
          <cell r="C17313" t="str">
            <v>葉宏政</v>
          </cell>
          <cell r="J17313">
            <v>45660</v>
          </cell>
          <cell r="K17313">
            <v>2.5</v>
          </cell>
        </row>
        <row r="17314">
          <cell r="C17314" t="str">
            <v>葉宏政</v>
          </cell>
          <cell r="J17314">
            <v>45660</v>
          </cell>
          <cell r="K17314">
            <v>2</v>
          </cell>
        </row>
        <row r="17315">
          <cell r="C17315" t="str">
            <v>葉宏政</v>
          </cell>
          <cell r="F17315" t="str">
            <v>M240201R1</v>
          </cell>
          <cell r="J17315">
            <v>45660</v>
          </cell>
          <cell r="K17315">
            <v>3</v>
          </cell>
        </row>
        <row r="17316">
          <cell r="C17316" t="str">
            <v>葉宏政</v>
          </cell>
          <cell r="F17316" t="str">
            <v>M240804R1</v>
          </cell>
          <cell r="J17316">
            <v>45663</v>
          </cell>
          <cell r="K17316">
            <v>1</v>
          </cell>
        </row>
        <row r="17317">
          <cell r="C17317" t="str">
            <v>葉宏政</v>
          </cell>
          <cell r="F17317" t="str">
            <v>M240201R1</v>
          </cell>
          <cell r="J17317">
            <v>45663</v>
          </cell>
          <cell r="K17317">
            <v>7</v>
          </cell>
        </row>
        <row r="17318">
          <cell r="C17318" t="str">
            <v>葉宏政</v>
          </cell>
          <cell r="J17318">
            <v>45664</v>
          </cell>
          <cell r="K17318">
            <v>5.5</v>
          </cell>
        </row>
        <row r="17319">
          <cell r="C17319" t="str">
            <v>葉宏政</v>
          </cell>
          <cell r="F17319" t="str">
            <v>M240201R1</v>
          </cell>
          <cell r="J17319">
            <v>45664</v>
          </cell>
          <cell r="K17319">
            <v>4</v>
          </cell>
        </row>
        <row r="17320">
          <cell r="C17320" t="str">
            <v>葉宏政</v>
          </cell>
          <cell r="J17320">
            <v>45665</v>
          </cell>
          <cell r="K17320">
            <v>3</v>
          </cell>
        </row>
        <row r="17321">
          <cell r="C17321" t="str">
            <v>葉宏政</v>
          </cell>
          <cell r="F17321" t="str">
            <v>M240201R1</v>
          </cell>
          <cell r="J17321">
            <v>45665</v>
          </cell>
          <cell r="K17321">
            <v>3.5</v>
          </cell>
        </row>
        <row r="17322">
          <cell r="C17322" t="str">
            <v>葉宏政</v>
          </cell>
          <cell r="F17322" t="str">
            <v>M240804R1</v>
          </cell>
          <cell r="J17322">
            <v>45665</v>
          </cell>
          <cell r="K17322">
            <v>2.5</v>
          </cell>
        </row>
        <row r="17323">
          <cell r="C17323" t="str">
            <v>葉宏政</v>
          </cell>
          <cell r="J17323">
            <v>45666</v>
          </cell>
          <cell r="K17323">
            <v>4.5</v>
          </cell>
        </row>
        <row r="17324">
          <cell r="C17324" t="str">
            <v>葉宏政</v>
          </cell>
          <cell r="F17324" t="str">
            <v>M240201R1</v>
          </cell>
          <cell r="J17324">
            <v>45666</v>
          </cell>
          <cell r="K17324">
            <v>3</v>
          </cell>
        </row>
        <row r="17325">
          <cell r="C17325" t="str">
            <v>葉宏政</v>
          </cell>
          <cell r="F17325" t="str">
            <v>M240804R1</v>
          </cell>
          <cell r="J17325">
            <v>45666</v>
          </cell>
          <cell r="K17325">
            <v>1</v>
          </cell>
        </row>
        <row r="17326">
          <cell r="C17326" t="str">
            <v>葉宏政</v>
          </cell>
          <cell r="J17326">
            <v>45667</v>
          </cell>
          <cell r="K17326">
            <v>3.5</v>
          </cell>
        </row>
        <row r="17327">
          <cell r="C17327" t="str">
            <v>葉宏政</v>
          </cell>
          <cell r="F17327" t="str">
            <v>M240201R1</v>
          </cell>
          <cell r="J17327">
            <v>45667</v>
          </cell>
          <cell r="K17327">
            <v>1.5</v>
          </cell>
        </row>
        <row r="17328">
          <cell r="C17328" t="str">
            <v>葉宏政</v>
          </cell>
          <cell r="F17328" t="str">
            <v>M240201R1</v>
          </cell>
          <cell r="J17328">
            <v>45670</v>
          </cell>
          <cell r="K17328">
            <v>5</v>
          </cell>
        </row>
        <row r="17329">
          <cell r="C17329" t="str">
            <v>葉宏政</v>
          </cell>
          <cell r="F17329" t="str">
            <v>M240804R1</v>
          </cell>
          <cell r="J17329">
            <v>45670</v>
          </cell>
          <cell r="K17329">
            <v>1</v>
          </cell>
        </row>
        <row r="17330">
          <cell r="C17330" t="str">
            <v>葉宏政</v>
          </cell>
          <cell r="F17330" t="str">
            <v>M240804R1</v>
          </cell>
          <cell r="J17330">
            <v>45670</v>
          </cell>
          <cell r="K17330">
            <v>2</v>
          </cell>
        </row>
        <row r="17331">
          <cell r="C17331" t="str">
            <v>葉宏政</v>
          </cell>
          <cell r="F17331" t="str">
            <v>M240201R1</v>
          </cell>
          <cell r="J17331">
            <v>45671</v>
          </cell>
          <cell r="K17331">
            <v>3</v>
          </cell>
        </row>
        <row r="17332">
          <cell r="C17332" t="str">
            <v>葉宏政</v>
          </cell>
          <cell r="F17332" t="str">
            <v>M240804R1</v>
          </cell>
          <cell r="J17332">
            <v>45671</v>
          </cell>
          <cell r="K17332">
            <v>1</v>
          </cell>
        </row>
        <row r="17333">
          <cell r="C17333" t="str">
            <v>葉宏政</v>
          </cell>
          <cell r="F17333" t="str">
            <v>M230705R1</v>
          </cell>
          <cell r="J17333">
            <v>45671</v>
          </cell>
          <cell r="K17333">
            <v>5</v>
          </cell>
        </row>
        <row r="17334">
          <cell r="C17334" t="str">
            <v>葉宏政</v>
          </cell>
          <cell r="J17334">
            <v>45672</v>
          </cell>
          <cell r="K17334">
            <v>2</v>
          </cell>
        </row>
        <row r="17335">
          <cell r="C17335" t="str">
            <v>葉宏政</v>
          </cell>
          <cell r="F17335" t="str">
            <v>M230705R1</v>
          </cell>
          <cell r="J17335">
            <v>45672</v>
          </cell>
          <cell r="K17335">
            <v>5</v>
          </cell>
        </row>
        <row r="17336">
          <cell r="C17336" t="str">
            <v>葉宏政</v>
          </cell>
          <cell r="F17336" t="str">
            <v>M240804R1</v>
          </cell>
          <cell r="J17336">
            <v>45672</v>
          </cell>
          <cell r="K17336">
            <v>1.5</v>
          </cell>
        </row>
        <row r="17337">
          <cell r="C17337" t="str">
            <v>葉宏政</v>
          </cell>
          <cell r="J17337">
            <v>45673</v>
          </cell>
          <cell r="K17337">
            <v>0.5</v>
          </cell>
        </row>
        <row r="17338">
          <cell r="C17338" t="str">
            <v>葉宏政</v>
          </cell>
          <cell r="F17338" t="str">
            <v>M230705P1</v>
          </cell>
          <cell r="J17338">
            <v>45673</v>
          </cell>
          <cell r="K17338">
            <v>2</v>
          </cell>
        </row>
        <row r="17339">
          <cell r="C17339" t="str">
            <v>葉宏政</v>
          </cell>
          <cell r="F17339" t="str">
            <v>M240702R1</v>
          </cell>
          <cell r="J17339">
            <v>45673</v>
          </cell>
          <cell r="K17339">
            <v>0.5</v>
          </cell>
        </row>
        <row r="17340">
          <cell r="C17340" t="str">
            <v>葉宏政</v>
          </cell>
          <cell r="F17340" t="str">
            <v>M240804R1</v>
          </cell>
          <cell r="J17340">
            <v>45673</v>
          </cell>
          <cell r="K17340">
            <v>5.5</v>
          </cell>
        </row>
        <row r="17341">
          <cell r="C17341" t="str">
            <v>葉宏政</v>
          </cell>
          <cell r="F17341" t="str">
            <v>M230705P1</v>
          </cell>
          <cell r="J17341">
            <v>45674</v>
          </cell>
          <cell r="K17341">
            <v>1</v>
          </cell>
        </row>
        <row r="17342">
          <cell r="C17342" t="str">
            <v>葉宏政</v>
          </cell>
          <cell r="F17342" t="str">
            <v>M240201R1</v>
          </cell>
          <cell r="J17342">
            <v>45674</v>
          </cell>
          <cell r="K17342">
            <v>5</v>
          </cell>
        </row>
        <row r="17343">
          <cell r="C17343" t="str">
            <v>葉宏政</v>
          </cell>
          <cell r="F17343" t="str">
            <v>M240804R1</v>
          </cell>
          <cell r="J17343">
            <v>45674</v>
          </cell>
          <cell r="K17343">
            <v>3</v>
          </cell>
        </row>
        <row r="17344">
          <cell r="C17344" t="str">
            <v>葉宏政</v>
          </cell>
          <cell r="F17344" t="str">
            <v>M240804R1</v>
          </cell>
          <cell r="J17344">
            <v>45677</v>
          </cell>
          <cell r="K17344">
            <v>1</v>
          </cell>
        </row>
        <row r="17345">
          <cell r="C17345" t="str">
            <v>葉宏政</v>
          </cell>
          <cell r="F17345" t="str">
            <v>M240201R1</v>
          </cell>
          <cell r="J17345">
            <v>45677</v>
          </cell>
          <cell r="K17345">
            <v>2</v>
          </cell>
        </row>
        <row r="17346">
          <cell r="C17346" t="str">
            <v>葉宏政</v>
          </cell>
          <cell r="F17346" t="str">
            <v>M240804R1</v>
          </cell>
          <cell r="J17346">
            <v>45677</v>
          </cell>
          <cell r="K17346">
            <v>2</v>
          </cell>
        </row>
        <row r="17347">
          <cell r="C17347" t="str">
            <v>葉宏政</v>
          </cell>
          <cell r="F17347" t="str">
            <v>M240804R1</v>
          </cell>
          <cell r="J17347">
            <v>45677</v>
          </cell>
          <cell r="K17347">
            <v>4</v>
          </cell>
        </row>
        <row r="17348">
          <cell r="C17348" t="str">
            <v>葉宏政</v>
          </cell>
          <cell r="F17348" t="str">
            <v>M240201R1</v>
          </cell>
          <cell r="J17348">
            <v>45678</v>
          </cell>
          <cell r="K17348">
            <v>1.5</v>
          </cell>
        </row>
        <row r="17349">
          <cell r="C17349" t="str">
            <v>葉宏政</v>
          </cell>
          <cell r="F17349" t="str">
            <v>M240702R1</v>
          </cell>
          <cell r="J17349">
            <v>45678</v>
          </cell>
          <cell r="K17349">
            <v>1</v>
          </cell>
        </row>
        <row r="17350">
          <cell r="C17350" t="str">
            <v>葉宏政</v>
          </cell>
          <cell r="F17350" t="str">
            <v>M240804R1</v>
          </cell>
          <cell r="J17350">
            <v>45678</v>
          </cell>
          <cell r="K17350">
            <v>6.5</v>
          </cell>
        </row>
        <row r="17351">
          <cell r="C17351" t="str">
            <v>葉宏政</v>
          </cell>
          <cell r="F17351" t="str">
            <v>M240201R1</v>
          </cell>
          <cell r="J17351">
            <v>45679</v>
          </cell>
          <cell r="K17351">
            <v>3</v>
          </cell>
        </row>
        <row r="17352">
          <cell r="C17352" t="str">
            <v>葉宏政</v>
          </cell>
          <cell r="J17352">
            <v>45679</v>
          </cell>
          <cell r="K17352">
            <v>1</v>
          </cell>
        </row>
        <row r="17353">
          <cell r="C17353" t="str">
            <v>葉宏政</v>
          </cell>
          <cell r="F17353" t="str">
            <v>M240702R1</v>
          </cell>
          <cell r="J17353">
            <v>45679</v>
          </cell>
          <cell r="K17353">
            <v>2.5</v>
          </cell>
        </row>
        <row r="17354">
          <cell r="C17354" t="str">
            <v>葉宏政</v>
          </cell>
          <cell r="F17354" t="str">
            <v>M230705R1</v>
          </cell>
          <cell r="J17354">
            <v>45679</v>
          </cell>
          <cell r="K17354">
            <v>3</v>
          </cell>
        </row>
        <row r="17355">
          <cell r="C17355" t="str">
            <v>葉宏政</v>
          </cell>
          <cell r="J17355">
            <v>45680</v>
          </cell>
          <cell r="K17355">
            <v>8</v>
          </cell>
        </row>
        <row r="17356">
          <cell r="C17356" t="str">
            <v>葉宏政</v>
          </cell>
          <cell r="J17356">
            <v>45681</v>
          </cell>
          <cell r="K17356">
            <v>2.5</v>
          </cell>
        </row>
        <row r="17357">
          <cell r="C17357" t="str">
            <v>葉宏政</v>
          </cell>
          <cell r="F17357" t="str">
            <v>M240804R1</v>
          </cell>
          <cell r="J17357">
            <v>45681</v>
          </cell>
          <cell r="K17357">
            <v>1</v>
          </cell>
        </row>
        <row r="17358">
          <cell r="C17358" t="str">
            <v>葉宏政</v>
          </cell>
          <cell r="F17358" t="str">
            <v>M240702R1</v>
          </cell>
          <cell r="J17358">
            <v>45681</v>
          </cell>
          <cell r="K17358">
            <v>2</v>
          </cell>
        </row>
        <row r="17359">
          <cell r="C17359" t="str">
            <v>葉宏政</v>
          </cell>
          <cell r="J17359">
            <v>45691</v>
          </cell>
          <cell r="K17359">
            <v>3</v>
          </cell>
        </row>
        <row r="17360">
          <cell r="C17360" t="str">
            <v>葉宏政</v>
          </cell>
          <cell r="J17360">
            <v>45691</v>
          </cell>
          <cell r="K17360">
            <v>1</v>
          </cell>
        </row>
        <row r="17361">
          <cell r="C17361" t="str">
            <v>葉宏政</v>
          </cell>
          <cell r="F17361" t="str">
            <v>M240804R1</v>
          </cell>
          <cell r="J17361">
            <v>45691</v>
          </cell>
          <cell r="K17361">
            <v>2</v>
          </cell>
        </row>
        <row r="17362">
          <cell r="C17362" t="str">
            <v>葉宏政</v>
          </cell>
          <cell r="F17362" t="str">
            <v>M240804R1</v>
          </cell>
          <cell r="J17362">
            <v>45691</v>
          </cell>
          <cell r="K17362">
            <v>2.5</v>
          </cell>
        </row>
        <row r="17363">
          <cell r="C17363" t="str">
            <v>葉宏政</v>
          </cell>
          <cell r="J17363">
            <v>45692</v>
          </cell>
          <cell r="K17363">
            <v>1</v>
          </cell>
        </row>
        <row r="17364">
          <cell r="C17364" t="str">
            <v>葉宏政</v>
          </cell>
          <cell r="J17364">
            <v>45692</v>
          </cell>
          <cell r="K17364">
            <v>2</v>
          </cell>
        </row>
        <row r="17365">
          <cell r="C17365" t="str">
            <v>葉宏政</v>
          </cell>
          <cell r="J17365">
            <v>45692</v>
          </cell>
          <cell r="K17365">
            <v>1</v>
          </cell>
        </row>
        <row r="17366">
          <cell r="C17366" t="str">
            <v>葉宏政</v>
          </cell>
          <cell r="F17366" t="str">
            <v>M240804R1</v>
          </cell>
          <cell r="J17366">
            <v>45692</v>
          </cell>
          <cell r="K17366">
            <v>1</v>
          </cell>
        </row>
        <row r="17367">
          <cell r="C17367" t="str">
            <v>葉宏政</v>
          </cell>
          <cell r="F17367" t="str">
            <v>M230705P1</v>
          </cell>
          <cell r="J17367">
            <v>45692</v>
          </cell>
          <cell r="K17367">
            <v>1.5</v>
          </cell>
        </row>
        <row r="17368">
          <cell r="C17368" t="str">
            <v>葉宏政</v>
          </cell>
          <cell r="F17368" t="str">
            <v>M240201R1</v>
          </cell>
          <cell r="J17368">
            <v>45692</v>
          </cell>
          <cell r="K17368">
            <v>1.5</v>
          </cell>
        </row>
        <row r="17369">
          <cell r="C17369" t="str">
            <v>葉宏政</v>
          </cell>
          <cell r="F17369" t="str">
            <v>M240201R1</v>
          </cell>
          <cell r="J17369">
            <v>45693</v>
          </cell>
          <cell r="K17369">
            <v>1.5</v>
          </cell>
        </row>
        <row r="17370">
          <cell r="C17370" t="str">
            <v>葉宏政</v>
          </cell>
          <cell r="F17370" t="str">
            <v>M240804R1</v>
          </cell>
          <cell r="J17370">
            <v>45693</v>
          </cell>
          <cell r="K17370">
            <v>7.5</v>
          </cell>
        </row>
        <row r="17371">
          <cell r="C17371" t="str">
            <v>葉宏政</v>
          </cell>
          <cell r="J17371">
            <v>45694</v>
          </cell>
          <cell r="K17371">
            <v>0.5</v>
          </cell>
        </row>
        <row r="17372">
          <cell r="C17372" t="str">
            <v>葉宏政</v>
          </cell>
          <cell r="F17372" t="str">
            <v>M240201R1</v>
          </cell>
          <cell r="J17372">
            <v>45694</v>
          </cell>
          <cell r="K17372">
            <v>4</v>
          </cell>
        </row>
        <row r="17373">
          <cell r="C17373" t="str">
            <v>葉宏政</v>
          </cell>
          <cell r="F17373" t="str">
            <v>M240804R1</v>
          </cell>
          <cell r="J17373">
            <v>45694</v>
          </cell>
          <cell r="K17373">
            <v>4.5</v>
          </cell>
        </row>
        <row r="17374">
          <cell r="C17374" t="str">
            <v>葉宏政</v>
          </cell>
          <cell r="J17374">
            <v>45695</v>
          </cell>
          <cell r="K17374">
            <v>2</v>
          </cell>
        </row>
        <row r="17375">
          <cell r="C17375" t="str">
            <v>葉宏政</v>
          </cell>
          <cell r="J17375">
            <v>45695</v>
          </cell>
          <cell r="K17375">
            <v>2</v>
          </cell>
        </row>
        <row r="17376">
          <cell r="C17376" t="str">
            <v>葉宏政</v>
          </cell>
          <cell r="F17376" t="str">
            <v>M240201R1</v>
          </cell>
          <cell r="J17376">
            <v>45695</v>
          </cell>
          <cell r="K17376">
            <v>4</v>
          </cell>
        </row>
        <row r="17377">
          <cell r="C17377" t="str">
            <v>葉宏政</v>
          </cell>
          <cell r="F17377" t="str">
            <v>M240804R1</v>
          </cell>
          <cell r="J17377">
            <v>45695</v>
          </cell>
          <cell r="K17377">
            <v>1</v>
          </cell>
        </row>
        <row r="17378">
          <cell r="C17378" t="str">
            <v>葉宏政</v>
          </cell>
          <cell r="F17378" t="str">
            <v>M230705R1</v>
          </cell>
          <cell r="J17378">
            <v>45696</v>
          </cell>
          <cell r="K17378">
            <v>2</v>
          </cell>
        </row>
        <row r="17379">
          <cell r="C17379" t="str">
            <v>葉宏政</v>
          </cell>
          <cell r="F17379" t="str">
            <v>M240804R1</v>
          </cell>
          <cell r="J17379">
            <v>45696</v>
          </cell>
          <cell r="K17379">
            <v>6</v>
          </cell>
        </row>
        <row r="17380">
          <cell r="C17380" t="str">
            <v>葉宏政</v>
          </cell>
          <cell r="F17380" t="str">
            <v>M240804R1</v>
          </cell>
          <cell r="J17380">
            <v>45698</v>
          </cell>
          <cell r="K17380">
            <v>3</v>
          </cell>
        </row>
        <row r="17381">
          <cell r="C17381" t="str">
            <v>葉宏政</v>
          </cell>
          <cell r="F17381" t="str">
            <v>M240804R1</v>
          </cell>
          <cell r="J17381">
            <v>45698</v>
          </cell>
          <cell r="K17381">
            <v>5</v>
          </cell>
        </row>
        <row r="17382">
          <cell r="C17382" t="str">
            <v>葉宏政</v>
          </cell>
          <cell r="F17382" t="str">
            <v>D240902R1</v>
          </cell>
          <cell r="J17382">
            <v>45699</v>
          </cell>
          <cell r="K17382">
            <v>6</v>
          </cell>
        </row>
        <row r="17383">
          <cell r="C17383" t="str">
            <v>葉宏政</v>
          </cell>
          <cell r="F17383" t="str">
            <v>M240804R1</v>
          </cell>
          <cell r="J17383">
            <v>45699</v>
          </cell>
          <cell r="K17383">
            <v>2.5</v>
          </cell>
        </row>
        <row r="17384">
          <cell r="C17384" t="str">
            <v>葉宏政</v>
          </cell>
          <cell r="F17384" t="str">
            <v>M230705P1</v>
          </cell>
          <cell r="J17384">
            <v>45700</v>
          </cell>
          <cell r="K17384">
            <v>1</v>
          </cell>
        </row>
        <row r="17385">
          <cell r="C17385" t="str">
            <v>葉宏政</v>
          </cell>
          <cell r="F17385" t="str">
            <v>M240804R1</v>
          </cell>
          <cell r="J17385">
            <v>45700</v>
          </cell>
          <cell r="K17385">
            <v>4</v>
          </cell>
        </row>
        <row r="17386">
          <cell r="C17386" t="str">
            <v>葉宏政</v>
          </cell>
          <cell r="F17386" t="str">
            <v>D240902R1</v>
          </cell>
          <cell r="J17386">
            <v>45700</v>
          </cell>
          <cell r="K17386">
            <v>1.5</v>
          </cell>
        </row>
        <row r="17387">
          <cell r="C17387" t="str">
            <v>葉宏政</v>
          </cell>
          <cell r="F17387" t="str">
            <v>M230705P1</v>
          </cell>
          <cell r="J17387">
            <v>45700</v>
          </cell>
          <cell r="K17387">
            <v>2</v>
          </cell>
        </row>
        <row r="17388">
          <cell r="C17388" t="str">
            <v>葉宏政</v>
          </cell>
          <cell r="F17388" t="str">
            <v>M230705P1</v>
          </cell>
          <cell r="J17388">
            <v>45701</v>
          </cell>
          <cell r="K17388">
            <v>2</v>
          </cell>
        </row>
        <row r="17389">
          <cell r="C17389" t="str">
            <v>葉宏政</v>
          </cell>
          <cell r="F17389" t="str">
            <v>M240804R1</v>
          </cell>
          <cell r="J17389">
            <v>45701</v>
          </cell>
          <cell r="K17389">
            <v>6</v>
          </cell>
        </row>
        <row r="17390">
          <cell r="C17390" t="str">
            <v>葉宏政</v>
          </cell>
          <cell r="F17390" t="str">
            <v>M240804R1</v>
          </cell>
          <cell r="J17390">
            <v>45702</v>
          </cell>
          <cell r="K17390">
            <v>2</v>
          </cell>
        </row>
        <row r="17391">
          <cell r="C17391" t="str">
            <v>葉宏政</v>
          </cell>
          <cell r="F17391" t="str">
            <v>M240804R1</v>
          </cell>
          <cell r="J17391">
            <v>45702</v>
          </cell>
          <cell r="K17391">
            <v>6</v>
          </cell>
        </row>
        <row r="17392">
          <cell r="C17392" t="str">
            <v>葉宏政</v>
          </cell>
          <cell r="F17392" t="str">
            <v>M240804R1</v>
          </cell>
          <cell r="J17392">
            <v>45705</v>
          </cell>
          <cell r="K17392">
            <v>5</v>
          </cell>
        </row>
        <row r="17393">
          <cell r="C17393" t="str">
            <v>葉宏政</v>
          </cell>
          <cell r="F17393" t="str">
            <v>M240804R1</v>
          </cell>
          <cell r="J17393">
            <v>45705</v>
          </cell>
          <cell r="K17393">
            <v>2</v>
          </cell>
        </row>
        <row r="17394">
          <cell r="C17394" t="str">
            <v>葉宏政</v>
          </cell>
          <cell r="F17394" t="str">
            <v>M240804R1</v>
          </cell>
          <cell r="J17394">
            <v>45705</v>
          </cell>
          <cell r="K17394">
            <v>1.5</v>
          </cell>
        </row>
        <row r="17395">
          <cell r="C17395" t="str">
            <v>葉宏政</v>
          </cell>
          <cell r="F17395" t="str">
            <v>M240804R1</v>
          </cell>
          <cell r="J17395">
            <v>45706</v>
          </cell>
          <cell r="K17395">
            <v>3</v>
          </cell>
        </row>
        <row r="17396">
          <cell r="C17396" t="str">
            <v>葉宏政</v>
          </cell>
          <cell r="F17396" t="str">
            <v>M240804R1</v>
          </cell>
          <cell r="J17396">
            <v>45706</v>
          </cell>
          <cell r="K17396">
            <v>5.5</v>
          </cell>
        </row>
        <row r="17397">
          <cell r="C17397" t="str">
            <v>葉宏政</v>
          </cell>
          <cell r="J17397">
            <v>45707</v>
          </cell>
          <cell r="K17397">
            <v>2</v>
          </cell>
        </row>
        <row r="17398">
          <cell r="C17398" t="str">
            <v>葉宏政</v>
          </cell>
          <cell r="J17398">
            <v>45707</v>
          </cell>
          <cell r="K17398">
            <v>2</v>
          </cell>
        </row>
        <row r="17399">
          <cell r="C17399" t="str">
            <v>葉宏政</v>
          </cell>
          <cell r="F17399" t="str">
            <v>M230705P1</v>
          </cell>
          <cell r="J17399">
            <v>45707</v>
          </cell>
          <cell r="K17399">
            <v>1</v>
          </cell>
        </row>
        <row r="17400">
          <cell r="C17400" t="str">
            <v>葉宏政</v>
          </cell>
          <cell r="F17400" t="str">
            <v>M240804R1</v>
          </cell>
          <cell r="J17400">
            <v>45707</v>
          </cell>
          <cell r="K17400">
            <v>2</v>
          </cell>
        </row>
        <row r="17401">
          <cell r="C17401" t="str">
            <v>葉宏政</v>
          </cell>
          <cell r="F17401" t="str">
            <v>M240804R1</v>
          </cell>
          <cell r="J17401">
            <v>45707</v>
          </cell>
          <cell r="K17401">
            <v>1.5</v>
          </cell>
        </row>
        <row r="17402">
          <cell r="C17402" t="str">
            <v>葉宏政</v>
          </cell>
          <cell r="J17402">
            <v>45708</v>
          </cell>
          <cell r="K17402">
            <v>0.5</v>
          </cell>
        </row>
        <row r="17403">
          <cell r="C17403" t="str">
            <v>葉宏政</v>
          </cell>
          <cell r="F17403" t="str">
            <v>M240804R1</v>
          </cell>
          <cell r="J17403">
            <v>45708</v>
          </cell>
          <cell r="K17403">
            <v>1</v>
          </cell>
        </row>
        <row r="17404">
          <cell r="C17404" t="str">
            <v>葉宏政</v>
          </cell>
          <cell r="F17404" t="str">
            <v>M240804R1</v>
          </cell>
          <cell r="J17404">
            <v>45708</v>
          </cell>
          <cell r="K17404">
            <v>7</v>
          </cell>
        </row>
        <row r="17405">
          <cell r="C17405" t="str">
            <v>葉宏政</v>
          </cell>
          <cell r="F17405" t="str">
            <v>M240804R1</v>
          </cell>
          <cell r="J17405">
            <v>45709</v>
          </cell>
          <cell r="K17405">
            <v>6</v>
          </cell>
        </row>
        <row r="17406">
          <cell r="C17406" t="str">
            <v>葉宏政</v>
          </cell>
          <cell r="F17406" t="str">
            <v>M240804R1</v>
          </cell>
          <cell r="J17406">
            <v>45709</v>
          </cell>
          <cell r="K17406">
            <v>2</v>
          </cell>
        </row>
        <row r="17407">
          <cell r="C17407" t="str">
            <v>葉宏政</v>
          </cell>
          <cell r="F17407" t="str">
            <v>M240804R1</v>
          </cell>
          <cell r="J17407">
            <v>45712</v>
          </cell>
          <cell r="K17407">
            <v>3</v>
          </cell>
        </row>
        <row r="17408">
          <cell r="C17408" t="str">
            <v>葉宏政</v>
          </cell>
          <cell r="F17408" t="str">
            <v>M240804R1</v>
          </cell>
          <cell r="J17408">
            <v>45712</v>
          </cell>
          <cell r="K17408">
            <v>6</v>
          </cell>
        </row>
        <row r="17409">
          <cell r="C17409" t="str">
            <v>葉宏政</v>
          </cell>
          <cell r="F17409" t="str">
            <v>M240804R1</v>
          </cell>
          <cell r="J17409">
            <v>45713</v>
          </cell>
          <cell r="K17409">
            <v>8.5</v>
          </cell>
        </row>
        <row r="17410">
          <cell r="C17410" t="str">
            <v>葉宏政</v>
          </cell>
          <cell r="F17410" t="str">
            <v>M230705P1</v>
          </cell>
          <cell r="J17410">
            <v>45714</v>
          </cell>
          <cell r="K17410">
            <v>1</v>
          </cell>
        </row>
        <row r="17411">
          <cell r="C17411" t="str">
            <v>葉宏政</v>
          </cell>
          <cell r="F17411" t="str">
            <v>M240804R1</v>
          </cell>
          <cell r="J17411">
            <v>45714</v>
          </cell>
          <cell r="K17411">
            <v>7.5</v>
          </cell>
        </row>
        <row r="17412">
          <cell r="C17412" t="str">
            <v>葉宏政</v>
          </cell>
          <cell r="J17412">
            <v>45715</v>
          </cell>
          <cell r="K17412">
            <v>0.5</v>
          </cell>
        </row>
        <row r="17413">
          <cell r="C17413" t="str">
            <v>葉宏政</v>
          </cell>
          <cell r="F17413" t="str">
            <v>M240804R1</v>
          </cell>
          <cell r="J17413">
            <v>45715</v>
          </cell>
          <cell r="K17413">
            <v>7.5</v>
          </cell>
        </row>
        <row r="17414">
          <cell r="C17414" t="str">
            <v>葉宏政</v>
          </cell>
          <cell r="J17414">
            <v>45719</v>
          </cell>
          <cell r="K17414">
            <v>8</v>
          </cell>
        </row>
        <row r="17415">
          <cell r="C17415" t="str">
            <v>葉宏政</v>
          </cell>
          <cell r="J17415">
            <v>45720</v>
          </cell>
          <cell r="K17415">
            <v>8</v>
          </cell>
        </row>
        <row r="17416">
          <cell r="C17416" t="str">
            <v>葉宏政</v>
          </cell>
          <cell r="J17416">
            <v>45721</v>
          </cell>
          <cell r="K17416">
            <v>8</v>
          </cell>
        </row>
        <row r="17417">
          <cell r="C17417" t="str">
            <v>葉宏政</v>
          </cell>
          <cell r="J17417">
            <v>45722</v>
          </cell>
          <cell r="K17417">
            <v>8</v>
          </cell>
        </row>
        <row r="17418">
          <cell r="C17418" t="str">
            <v>葉宏政</v>
          </cell>
          <cell r="J17418">
            <v>45723</v>
          </cell>
          <cell r="K17418">
            <v>8</v>
          </cell>
        </row>
        <row r="17419">
          <cell r="C17419" t="str">
            <v>葉宏政</v>
          </cell>
          <cell r="F17419" t="str">
            <v>M240804R1</v>
          </cell>
          <cell r="J17419">
            <v>45726</v>
          </cell>
          <cell r="K17419">
            <v>5</v>
          </cell>
        </row>
        <row r="17420">
          <cell r="C17420" t="str">
            <v>葉宏政</v>
          </cell>
          <cell r="F17420" t="str">
            <v>M240804R1</v>
          </cell>
          <cell r="J17420">
            <v>45726</v>
          </cell>
          <cell r="K17420">
            <v>4</v>
          </cell>
        </row>
        <row r="17421">
          <cell r="C17421" t="str">
            <v>葉宏政</v>
          </cell>
          <cell r="F17421" t="str">
            <v>M240804R1</v>
          </cell>
          <cell r="J17421">
            <v>45727</v>
          </cell>
          <cell r="K17421">
            <v>5</v>
          </cell>
        </row>
        <row r="17422">
          <cell r="C17422" t="str">
            <v>葉宏政</v>
          </cell>
          <cell r="F17422" t="str">
            <v>M240804R1</v>
          </cell>
          <cell r="J17422">
            <v>45727</v>
          </cell>
          <cell r="K17422">
            <v>3.5</v>
          </cell>
        </row>
        <row r="17423">
          <cell r="C17423" t="str">
            <v>葉宏政</v>
          </cell>
          <cell r="F17423" t="str">
            <v>M240804R1</v>
          </cell>
          <cell r="J17423">
            <v>45728</v>
          </cell>
          <cell r="K17423">
            <v>8.5</v>
          </cell>
        </row>
        <row r="17424">
          <cell r="C17424" t="str">
            <v>葉宏政</v>
          </cell>
          <cell r="J17424">
            <v>45729</v>
          </cell>
          <cell r="K17424">
            <v>1</v>
          </cell>
        </row>
        <row r="17425">
          <cell r="C17425" t="str">
            <v>葉宏政</v>
          </cell>
          <cell r="F17425" t="str">
            <v>M240702R1</v>
          </cell>
          <cell r="J17425">
            <v>45729</v>
          </cell>
          <cell r="K17425">
            <v>4</v>
          </cell>
        </row>
        <row r="17426">
          <cell r="C17426" t="str">
            <v>葉宏政</v>
          </cell>
          <cell r="F17426" t="str">
            <v>M240804R1</v>
          </cell>
          <cell r="J17426">
            <v>45729</v>
          </cell>
          <cell r="K17426">
            <v>2.5</v>
          </cell>
        </row>
        <row r="17427">
          <cell r="C17427" t="str">
            <v>葉宏政</v>
          </cell>
          <cell r="F17427" t="str">
            <v>M230705P1</v>
          </cell>
          <cell r="J17427">
            <v>45729</v>
          </cell>
          <cell r="K17427">
            <v>1.5</v>
          </cell>
        </row>
        <row r="17428">
          <cell r="C17428" t="str">
            <v>葉宏政</v>
          </cell>
          <cell r="F17428" t="str">
            <v>M250301C1</v>
          </cell>
          <cell r="J17428">
            <v>45730</v>
          </cell>
          <cell r="K17428">
            <v>1</v>
          </cell>
        </row>
        <row r="17429">
          <cell r="C17429" t="str">
            <v>葉宏政</v>
          </cell>
          <cell r="F17429" t="str">
            <v>M240702R1</v>
          </cell>
          <cell r="J17429">
            <v>45730</v>
          </cell>
          <cell r="K17429">
            <v>3</v>
          </cell>
        </row>
        <row r="17430">
          <cell r="C17430" t="str">
            <v>葉宏政</v>
          </cell>
          <cell r="F17430" t="str">
            <v>M240804R1</v>
          </cell>
          <cell r="J17430">
            <v>45730</v>
          </cell>
          <cell r="K17430">
            <v>4</v>
          </cell>
        </row>
        <row r="17431">
          <cell r="C17431" t="str">
            <v>葉宏政</v>
          </cell>
          <cell r="F17431" t="str">
            <v>M250301C1</v>
          </cell>
          <cell r="J17431">
            <v>45733</v>
          </cell>
          <cell r="K17431">
            <v>8.5</v>
          </cell>
        </row>
        <row r="17432">
          <cell r="C17432" t="str">
            <v>葉宏政</v>
          </cell>
          <cell r="J17432">
            <v>45734</v>
          </cell>
          <cell r="K17432">
            <v>2</v>
          </cell>
        </row>
        <row r="17433">
          <cell r="C17433" t="str">
            <v>葉宏政</v>
          </cell>
          <cell r="F17433" t="str">
            <v>M230705P1</v>
          </cell>
          <cell r="J17433">
            <v>45734</v>
          </cell>
          <cell r="K17433">
            <v>3</v>
          </cell>
        </row>
        <row r="17434">
          <cell r="C17434" t="str">
            <v>葉宏政</v>
          </cell>
          <cell r="F17434" t="str">
            <v>M250301C1</v>
          </cell>
          <cell r="J17434">
            <v>45734</v>
          </cell>
          <cell r="K17434">
            <v>4</v>
          </cell>
        </row>
        <row r="17435">
          <cell r="C17435" t="str">
            <v>葉宏政</v>
          </cell>
          <cell r="F17435" t="str">
            <v>M230705P1</v>
          </cell>
          <cell r="J17435">
            <v>45735</v>
          </cell>
          <cell r="K17435">
            <v>0.5</v>
          </cell>
        </row>
        <row r="17436">
          <cell r="C17436" t="str">
            <v>葉宏政</v>
          </cell>
          <cell r="F17436" t="str">
            <v>M240804R1</v>
          </cell>
          <cell r="J17436">
            <v>45735</v>
          </cell>
          <cell r="K17436">
            <v>4</v>
          </cell>
        </row>
        <row r="17437">
          <cell r="C17437" t="str">
            <v>葉宏政</v>
          </cell>
          <cell r="F17437" t="str">
            <v>M250301C1</v>
          </cell>
          <cell r="J17437">
            <v>45735</v>
          </cell>
          <cell r="K17437">
            <v>4</v>
          </cell>
        </row>
        <row r="17438">
          <cell r="C17438" t="str">
            <v>葉宏政</v>
          </cell>
          <cell r="J17438">
            <v>45736</v>
          </cell>
          <cell r="K17438">
            <v>0.5</v>
          </cell>
        </row>
        <row r="17439">
          <cell r="C17439" t="str">
            <v>葉宏政</v>
          </cell>
          <cell r="J17439">
            <v>45736</v>
          </cell>
          <cell r="K17439">
            <v>1</v>
          </cell>
        </row>
        <row r="17440">
          <cell r="C17440" t="str">
            <v>葉宏政</v>
          </cell>
          <cell r="F17440" t="str">
            <v>M230705P1</v>
          </cell>
          <cell r="J17440">
            <v>45736</v>
          </cell>
          <cell r="K17440">
            <v>3</v>
          </cell>
        </row>
        <row r="17441">
          <cell r="C17441" t="str">
            <v>葉宏政</v>
          </cell>
          <cell r="F17441" t="str">
            <v>M240804R1</v>
          </cell>
          <cell r="J17441">
            <v>45736</v>
          </cell>
          <cell r="K17441">
            <v>2</v>
          </cell>
        </row>
        <row r="17442">
          <cell r="C17442" t="str">
            <v>葉宏政</v>
          </cell>
          <cell r="F17442" t="str">
            <v>M230705P1</v>
          </cell>
          <cell r="J17442">
            <v>45736</v>
          </cell>
          <cell r="K17442">
            <v>2.5</v>
          </cell>
        </row>
        <row r="17443">
          <cell r="C17443" t="str">
            <v>葉宏政</v>
          </cell>
          <cell r="F17443" t="str">
            <v>M240702R1</v>
          </cell>
          <cell r="J17443">
            <v>45737</v>
          </cell>
          <cell r="K17443">
            <v>4</v>
          </cell>
        </row>
        <row r="17444">
          <cell r="C17444" t="str">
            <v>葉宏政</v>
          </cell>
          <cell r="F17444" t="str">
            <v>M230705P1</v>
          </cell>
          <cell r="J17444">
            <v>45737</v>
          </cell>
          <cell r="K17444">
            <v>1</v>
          </cell>
        </row>
        <row r="17445">
          <cell r="C17445" t="str">
            <v>葉宏政</v>
          </cell>
          <cell r="F17445" t="str">
            <v>M230705P1</v>
          </cell>
          <cell r="J17445">
            <v>45737</v>
          </cell>
          <cell r="K17445">
            <v>2</v>
          </cell>
        </row>
        <row r="17446">
          <cell r="C17446" t="str">
            <v>葉宏政</v>
          </cell>
          <cell r="F17446" t="str">
            <v>M250301C1</v>
          </cell>
          <cell r="J17446">
            <v>45737</v>
          </cell>
          <cell r="K17446">
            <v>1</v>
          </cell>
        </row>
        <row r="17447">
          <cell r="C17447" t="str">
            <v>葉宏政</v>
          </cell>
          <cell r="J17447">
            <v>45740</v>
          </cell>
          <cell r="K17447">
            <v>0.5</v>
          </cell>
        </row>
        <row r="17448">
          <cell r="C17448" t="str">
            <v>葉宏政</v>
          </cell>
          <cell r="F17448" t="str">
            <v>M240804R1</v>
          </cell>
          <cell r="J17448">
            <v>45740</v>
          </cell>
          <cell r="K17448">
            <v>2</v>
          </cell>
        </row>
        <row r="17449">
          <cell r="C17449" t="str">
            <v>葉宏政</v>
          </cell>
          <cell r="F17449" t="str">
            <v>M230705P1</v>
          </cell>
          <cell r="J17449">
            <v>45740</v>
          </cell>
          <cell r="K17449">
            <v>1.5</v>
          </cell>
        </row>
        <row r="17450">
          <cell r="C17450" t="str">
            <v>葉宏政</v>
          </cell>
          <cell r="F17450" t="str">
            <v>M250301C1</v>
          </cell>
          <cell r="J17450">
            <v>45740</v>
          </cell>
          <cell r="K17450">
            <v>1</v>
          </cell>
        </row>
        <row r="17451">
          <cell r="C17451" t="str">
            <v>葉宏政</v>
          </cell>
          <cell r="F17451" t="str">
            <v>M250301C1</v>
          </cell>
          <cell r="J17451">
            <v>45740</v>
          </cell>
          <cell r="K17451">
            <v>1.5</v>
          </cell>
        </row>
        <row r="17452">
          <cell r="C17452" t="str">
            <v>葉宏政</v>
          </cell>
          <cell r="F17452" t="str">
            <v>M240804R1</v>
          </cell>
          <cell r="J17452">
            <v>45740</v>
          </cell>
          <cell r="K17452">
            <v>3</v>
          </cell>
        </row>
        <row r="17453">
          <cell r="C17453" t="str">
            <v>葉宏政</v>
          </cell>
          <cell r="F17453" t="str">
            <v>M230705P1</v>
          </cell>
          <cell r="J17453">
            <v>45741</v>
          </cell>
          <cell r="K17453">
            <v>1</v>
          </cell>
        </row>
        <row r="17454">
          <cell r="C17454" t="str">
            <v>葉宏政</v>
          </cell>
          <cell r="F17454" t="str">
            <v>M230705P1</v>
          </cell>
          <cell r="J17454">
            <v>45741</v>
          </cell>
          <cell r="K17454">
            <v>4</v>
          </cell>
        </row>
        <row r="17455">
          <cell r="C17455" t="str">
            <v>葉宏政</v>
          </cell>
          <cell r="F17455" t="str">
            <v>M240804R1</v>
          </cell>
          <cell r="J17455">
            <v>45741</v>
          </cell>
          <cell r="K17455">
            <v>1.5</v>
          </cell>
        </row>
        <row r="17456">
          <cell r="C17456" t="str">
            <v>葉宏政</v>
          </cell>
          <cell r="F17456" t="str">
            <v>M250301R1</v>
          </cell>
          <cell r="J17456">
            <v>45741</v>
          </cell>
          <cell r="K17456">
            <v>2</v>
          </cell>
        </row>
        <row r="17457">
          <cell r="C17457" t="str">
            <v>葉宏政</v>
          </cell>
          <cell r="J17457">
            <v>45742</v>
          </cell>
          <cell r="K17457">
            <v>2</v>
          </cell>
        </row>
        <row r="17458">
          <cell r="C17458" t="str">
            <v>葉宏政</v>
          </cell>
          <cell r="J17458">
            <v>45742</v>
          </cell>
          <cell r="K17458">
            <v>4</v>
          </cell>
        </row>
        <row r="17459">
          <cell r="C17459" t="str">
            <v>葉宏政</v>
          </cell>
          <cell r="F17459" t="str">
            <v>M230705P1</v>
          </cell>
          <cell r="J17459">
            <v>45742</v>
          </cell>
          <cell r="K17459">
            <v>3</v>
          </cell>
        </row>
        <row r="17460">
          <cell r="C17460" t="str">
            <v>葉宏政</v>
          </cell>
          <cell r="J17460">
            <v>45743</v>
          </cell>
          <cell r="K17460">
            <v>1</v>
          </cell>
        </row>
        <row r="17461">
          <cell r="C17461" t="str">
            <v>葉宏政</v>
          </cell>
          <cell r="J17461">
            <v>45743</v>
          </cell>
          <cell r="K17461">
            <v>6.5</v>
          </cell>
        </row>
        <row r="17462">
          <cell r="C17462" t="str">
            <v>葉宏政</v>
          </cell>
          <cell r="J17462">
            <v>45743</v>
          </cell>
          <cell r="K17462">
            <v>1</v>
          </cell>
        </row>
        <row r="17463">
          <cell r="C17463" t="str">
            <v>葉宏政</v>
          </cell>
          <cell r="F17463" t="str">
            <v>M250301R1</v>
          </cell>
          <cell r="J17463">
            <v>45743</v>
          </cell>
          <cell r="K17463">
            <v>1</v>
          </cell>
        </row>
        <row r="17464">
          <cell r="C17464" t="str">
            <v>葉宏政</v>
          </cell>
          <cell r="J17464">
            <v>45744</v>
          </cell>
          <cell r="K17464">
            <v>8</v>
          </cell>
        </row>
        <row r="17465">
          <cell r="C17465" t="str">
            <v>葉宏政</v>
          </cell>
          <cell r="F17465" t="str">
            <v>M240804R1</v>
          </cell>
          <cell r="J17465">
            <v>45747</v>
          </cell>
          <cell r="K17465">
            <v>2</v>
          </cell>
        </row>
        <row r="17466">
          <cell r="C17466" t="str">
            <v>葉宏政</v>
          </cell>
          <cell r="J17466">
            <v>45747</v>
          </cell>
          <cell r="K17466">
            <v>2</v>
          </cell>
        </row>
        <row r="17467">
          <cell r="C17467" t="str">
            <v>葉宏政</v>
          </cell>
          <cell r="F17467" t="str">
            <v>M240804R1</v>
          </cell>
          <cell r="J17467">
            <v>45747</v>
          </cell>
          <cell r="K17467">
            <v>2</v>
          </cell>
        </row>
        <row r="17468">
          <cell r="C17468" t="str">
            <v>葉宏政</v>
          </cell>
          <cell r="F17468" t="str">
            <v>M240804R1</v>
          </cell>
          <cell r="J17468">
            <v>45747</v>
          </cell>
          <cell r="K17468">
            <v>2.5</v>
          </cell>
        </row>
        <row r="17469">
          <cell r="C17469" t="str">
            <v>葉宏政</v>
          </cell>
          <cell r="F17469" t="str">
            <v>M250301C1</v>
          </cell>
          <cell r="J17469">
            <v>45748</v>
          </cell>
          <cell r="K17469">
            <v>3</v>
          </cell>
        </row>
        <row r="17470">
          <cell r="C17470" t="str">
            <v>葉宏政</v>
          </cell>
          <cell r="F17470" t="str">
            <v>M240804R1</v>
          </cell>
          <cell r="J17470">
            <v>45748</v>
          </cell>
          <cell r="K17470">
            <v>5.5</v>
          </cell>
        </row>
        <row r="17471">
          <cell r="C17471" t="str">
            <v>葉宏政</v>
          </cell>
          <cell r="F17471" t="str">
            <v>M230705P1</v>
          </cell>
          <cell r="J17471">
            <v>45749</v>
          </cell>
          <cell r="K17471">
            <v>1</v>
          </cell>
        </row>
        <row r="17472">
          <cell r="C17472" t="str">
            <v>葉宏政</v>
          </cell>
          <cell r="F17472" t="str">
            <v>M230705P1</v>
          </cell>
          <cell r="J17472">
            <v>45749</v>
          </cell>
          <cell r="K17472">
            <v>3</v>
          </cell>
        </row>
        <row r="17473">
          <cell r="C17473" t="str">
            <v>葉宏政</v>
          </cell>
          <cell r="F17473" t="str">
            <v>M240804R1</v>
          </cell>
          <cell r="J17473">
            <v>45749</v>
          </cell>
          <cell r="K17473">
            <v>5</v>
          </cell>
        </row>
        <row r="17474">
          <cell r="C17474" t="str">
            <v>葉宏政</v>
          </cell>
          <cell r="F17474" t="str">
            <v>M250301C1</v>
          </cell>
          <cell r="J17474">
            <v>45754</v>
          </cell>
          <cell r="K17474">
            <v>4</v>
          </cell>
        </row>
        <row r="17475">
          <cell r="C17475" t="str">
            <v>葉宏政</v>
          </cell>
          <cell r="F17475" t="str">
            <v>M240804R1</v>
          </cell>
          <cell r="J17475">
            <v>45754</v>
          </cell>
          <cell r="K17475">
            <v>5</v>
          </cell>
        </row>
        <row r="17476">
          <cell r="C17476" t="str">
            <v>葉宏政</v>
          </cell>
          <cell r="F17476" t="str">
            <v>M240804R1</v>
          </cell>
          <cell r="J17476">
            <v>45755</v>
          </cell>
          <cell r="K17476">
            <v>1</v>
          </cell>
        </row>
        <row r="17477">
          <cell r="C17477" t="str">
            <v>葉宏政</v>
          </cell>
          <cell r="F17477" t="str">
            <v>M240804R1</v>
          </cell>
          <cell r="J17477">
            <v>45755</v>
          </cell>
          <cell r="K17477">
            <v>2</v>
          </cell>
        </row>
        <row r="17478">
          <cell r="C17478" t="str">
            <v>葉宏政</v>
          </cell>
          <cell r="F17478" t="str">
            <v>M250301C1</v>
          </cell>
          <cell r="J17478">
            <v>45755</v>
          </cell>
          <cell r="K17478">
            <v>6</v>
          </cell>
        </row>
        <row r="17479">
          <cell r="C17479" t="str">
            <v>葉宏政</v>
          </cell>
          <cell r="J17479">
            <v>45756</v>
          </cell>
          <cell r="K17479">
            <v>8</v>
          </cell>
        </row>
        <row r="17480">
          <cell r="C17480" t="str">
            <v>葉宏政</v>
          </cell>
          <cell r="F17480" t="str">
            <v>M240702R1</v>
          </cell>
          <cell r="J17480">
            <v>45757</v>
          </cell>
          <cell r="K17480">
            <v>2</v>
          </cell>
        </row>
        <row r="17481">
          <cell r="C17481" t="str">
            <v>葉宏政</v>
          </cell>
          <cell r="J17481">
            <v>45757</v>
          </cell>
          <cell r="K17481">
            <v>1</v>
          </cell>
        </row>
        <row r="17482">
          <cell r="C17482" t="str">
            <v>葉宏政</v>
          </cell>
          <cell r="J17482">
            <v>45757</v>
          </cell>
          <cell r="K17482">
            <v>1.5</v>
          </cell>
        </row>
        <row r="17483">
          <cell r="C17483" t="str">
            <v>葉宏政</v>
          </cell>
          <cell r="F17483" t="str">
            <v>M250301C1</v>
          </cell>
          <cell r="J17483">
            <v>45757</v>
          </cell>
          <cell r="K17483">
            <v>4.5</v>
          </cell>
        </row>
        <row r="17484">
          <cell r="C17484" t="str">
            <v>葉宏政</v>
          </cell>
          <cell r="F17484" t="str">
            <v>M240702R1</v>
          </cell>
          <cell r="J17484">
            <v>45758</v>
          </cell>
          <cell r="K17484">
            <v>7</v>
          </cell>
        </row>
        <row r="17485">
          <cell r="C17485" t="str">
            <v>葉宏政</v>
          </cell>
          <cell r="F17485" t="str">
            <v>M250301C1</v>
          </cell>
          <cell r="J17485">
            <v>45758</v>
          </cell>
          <cell r="K17485">
            <v>2</v>
          </cell>
        </row>
        <row r="17486">
          <cell r="C17486" t="str">
            <v>葉宏政</v>
          </cell>
          <cell r="J17486">
            <v>45761</v>
          </cell>
          <cell r="K17486">
            <v>8</v>
          </cell>
        </row>
        <row r="17487">
          <cell r="C17487" t="str">
            <v>葉宏政</v>
          </cell>
          <cell r="J17487">
            <v>45761</v>
          </cell>
          <cell r="K17487">
            <v>1</v>
          </cell>
        </row>
        <row r="17488">
          <cell r="C17488" t="str">
            <v>葉宏政</v>
          </cell>
          <cell r="F17488" t="str">
            <v>M230705P1</v>
          </cell>
          <cell r="J17488">
            <v>45761</v>
          </cell>
          <cell r="K17488">
            <v>0.5</v>
          </cell>
        </row>
        <row r="17489">
          <cell r="C17489" t="str">
            <v>葉宏政</v>
          </cell>
          <cell r="J17489">
            <v>45762</v>
          </cell>
          <cell r="K17489">
            <v>1.5</v>
          </cell>
        </row>
        <row r="17490">
          <cell r="C17490" t="str">
            <v>葉宏政</v>
          </cell>
          <cell r="F17490" t="str">
            <v>M250301R1</v>
          </cell>
          <cell r="J17490">
            <v>45762</v>
          </cell>
          <cell r="K17490">
            <v>7</v>
          </cell>
        </row>
        <row r="17491">
          <cell r="C17491" t="str">
            <v>葉宏政</v>
          </cell>
          <cell r="J17491">
            <v>45763</v>
          </cell>
          <cell r="K17491">
            <v>3</v>
          </cell>
        </row>
        <row r="17492">
          <cell r="C17492" t="str">
            <v>葉宏政</v>
          </cell>
          <cell r="F17492" t="str">
            <v>M230705P1</v>
          </cell>
          <cell r="J17492">
            <v>45763</v>
          </cell>
          <cell r="K17492">
            <v>0.5</v>
          </cell>
        </row>
        <row r="17493">
          <cell r="C17493" t="str">
            <v>葉宏政</v>
          </cell>
          <cell r="F17493" t="str">
            <v>M250301R1</v>
          </cell>
          <cell r="J17493">
            <v>45763</v>
          </cell>
          <cell r="K17493">
            <v>5</v>
          </cell>
        </row>
        <row r="17494">
          <cell r="C17494" t="str">
            <v>葉宏政</v>
          </cell>
          <cell r="J17494">
            <v>45764</v>
          </cell>
          <cell r="K17494">
            <v>0.5</v>
          </cell>
        </row>
        <row r="17495">
          <cell r="C17495" t="str">
            <v>葉宏政</v>
          </cell>
          <cell r="F17495" t="str">
            <v>M230705P1</v>
          </cell>
          <cell r="J17495">
            <v>45764</v>
          </cell>
          <cell r="K17495">
            <v>1</v>
          </cell>
        </row>
        <row r="17496">
          <cell r="C17496" t="str">
            <v>葉宏政</v>
          </cell>
          <cell r="F17496" t="str">
            <v>M250301C1</v>
          </cell>
          <cell r="J17496">
            <v>45764</v>
          </cell>
          <cell r="K17496">
            <v>6</v>
          </cell>
        </row>
        <row r="17497">
          <cell r="C17497" t="str">
            <v>葉宏政</v>
          </cell>
          <cell r="F17497" t="str">
            <v>M240804R1</v>
          </cell>
          <cell r="J17497">
            <v>45764</v>
          </cell>
          <cell r="K17497">
            <v>1.5</v>
          </cell>
        </row>
        <row r="17498">
          <cell r="C17498" t="str">
            <v>葉宏政</v>
          </cell>
          <cell r="F17498" t="str">
            <v>M250301R1</v>
          </cell>
          <cell r="J17498">
            <v>45765</v>
          </cell>
          <cell r="K17498">
            <v>3</v>
          </cell>
        </row>
        <row r="17499">
          <cell r="C17499" t="str">
            <v>葉宏政</v>
          </cell>
          <cell r="F17499" t="str">
            <v>M250301C1</v>
          </cell>
          <cell r="J17499">
            <v>45765</v>
          </cell>
          <cell r="K17499">
            <v>5</v>
          </cell>
        </row>
        <row r="17500">
          <cell r="C17500" t="str">
            <v>葉宏政</v>
          </cell>
          <cell r="F17500" t="str">
            <v>M250301R1</v>
          </cell>
          <cell r="J17500">
            <v>45768</v>
          </cell>
          <cell r="K17500">
            <v>7.5</v>
          </cell>
        </row>
        <row r="17501">
          <cell r="C17501" t="str">
            <v>葉宏政</v>
          </cell>
          <cell r="F17501" t="str">
            <v>M250301C1</v>
          </cell>
          <cell r="J17501">
            <v>45768</v>
          </cell>
          <cell r="K17501">
            <v>1.5</v>
          </cell>
        </row>
        <row r="17502">
          <cell r="C17502" t="str">
            <v>葉宏政</v>
          </cell>
          <cell r="F17502" t="str">
            <v>M230705P1</v>
          </cell>
          <cell r="J17502">
            <v>45769</v>
          </cell>
          <cell r="K17502">
            <v>6</v>
          </cell>
        </row>
        <row r="17503">
          <cell r="C17503" t="str">
            <v>葉宏政</v>
          </cell>
          <cell r="F17503" t="str">
            <v>M250301C1</v>
          </cell>
          <cell r="J17503">
            <v>45769</v>
          </cell>
          <cell r="K17503">
            <v>3</v>
          </cell>
        </row>
        <row r="17504">
          <cell r="C17504" t="str">
            <v>葉宏政</v>
          </cell>
          <cell r="F17504" t="str">
            <v>M230705P1</v>
          </cell>
          <cell r="J17504">
            <v>45770</v>
          </cell>
          <cell r="K17504">
            <v>0.5</v>
          </cell>
        </row>
        <row r="17505">
          <cell r="C17505" t="str">
            <v>葉宏政</v>
          </cell>
          <cell r="J17505">
            <v>45770</v>
          </cell>
          <cell r="K17505">
            <v>1.5</v>
          </cell>
        </row>
        <row r="17506">
          <cell r="C17506" t="str">
            <v>葉宏政</v>
          </cell>
          <cell r="F17506" t="str">
            <v>M230705P1</v>
          </cell>
          <cell r="J17506">
            <v>45770</v>
          </cell>
          <cell r="K17506">
            <v>7</v>
          </cell>
        </row>
        <row r="17507">
          <cell r="C17507" t="str">
            <v>葉宏政</v>
          </cell>
          <cell r="J17507">
            <v>45771</v>
          </cell>
          <cell r="K17507">
            <v>1</v>
          </cell>
        </row>
        <row r="17508">
          <cell r="C17508" t="str">
            <v>葉宏政</v>
          </cell>
          <cell r="F17508" t="str">
            <v>M230705P1</v>
          </cell>
          <cell r="J17508">
            <v>45771</v>
          </cell>
          <cell r="K17508">
            <v>7.5</v>
          </cell>
        </row>
        <row r="17509">
          <cell r="C17509" t="str">
            <v>葉宏政</v>
          </cell>
          <cell r="F17509" t="str">
            <v>M250301C1</v>
          </cell>
          <cell r="J17509">
            <v>45772</v>
          </cell>
          <cell r="K17509">
            <v>1.5</v>
          </cell>
        </row>
        <row r="17510">
          <cell r="C17510" t="str">
            <v>葉宏政</v>
          </cell>
          <cell r="F17510" t="str">
            <v>M230705P1</v>
          </cell>
          <cell r="J17510">
            <v>45772</v>
          </cell>
          <cell r="K17510">
            <v>3</v>
          </cell>
        </row>
        <row r="17511">
          <cell r="C17511" t="str">
            <v>葉宏政</v>
          </cell>
          <cell r="F17511" t="str">
            <v>M250301R1</v>
          </cell>
          <cell r="J17511">
            <v>45772</v>
          </cell>
          <cell r="K17511">
            <v>4</v>
          </cell>
        </row>
        <row r="17512">
          <cell r="C17512" t="str">
            <v>葉宏政</v>
          </cell>
          <cell r="F17512" t="str">
            <v>M230705P1</v>
          </cell>
          <cell r="J17512">
            <v>45775</v>
          </cell>
          <cell r="K17512">
            <v>6</v>
          </cell>
        </row>
        <row r="17513">
          <cell r="C17513" t="str">
            <v>葉宏政</v>
          </cell>
          <cell r="F17513" t="str">
            <v>M250301R1</v>
          </cell>
          <cell r="J17513">
            <v>45775</v>
          </cell>
          <cell r="K17513">
            <v>3</v>
          </cell>
        </row>
        <row r="17514">
          <cell r="C17514" t="str">
            <v>葉宏政</v>
          </cell>
          <cell r="F17514" t="str">
            <v>M230705P1</v>
          </cell>
          <cell r="J17514">
            <v>45776</v>
          </cell>
          <cell r="K17514">
            <v>5</v>
          </cell>
        </row>
        <row r="17515">
          <cell r="C17515" t="str">
            <v>葉宏政</v>
          </cell>
          <cell r="F17515" t="str">
            <v>M250301R1</v>
          </cell>
          <cell r="J17515">
            <v>45776</v>
          </cell>
          <cell r="K17515">
            <v>4</v>
          </cell>
        </row>
        <row r="17516">
          <cell r="C17516" t="str">
            <v>葉宏政</v>
          </cell>
          <cell r="F17516" t="str">
            <v>M230705P1</v>
          </cell>
          <cell r="J17516">
            <v>45777</v>
          </cell>
          <cell r="K17516">
            <v>7.5</v>
          </cell>
        </row>
        <row r="17517">
          <cell r="C17517" t="str">
            <v>葉宏政</v>
          </cell>
          <cell r="F17517" t="str">
            <v>M240804R1</v>
          </cell>
          <cell r="J17517">
            <v>45777</v>
          </cell>
          <cell r="K17517">
            <v>1</v>
          </cell>
        </row>
        <row r="17518">
          <cell r="C17518" t="str">
            <v>葉宏政</v>
          </cell>
          <cell r="J17518">
            <v>45778</v>
          </cell>
          <cell r="K17518">
            <v>8</v>
          </cell>
        </row>
        <row r="17519">
          <cell r="C17519" t="str">
            <v>葉宏政</v>
          </cell>
          <cell r="F17519" t="str">
            <v>M240804R1</v>
          </cell>
          <cell r="J17519">
            <v>45779</v>
          </cell>
          <cell r="K17519">
            <v>7.5</v>
          </cell>
        </row>
        <row r="17520">
          <cell r="C17520" t="str">
            <v>葉宏政</v>
          </cell>
          <cell r="F17520" t="str">
            <v>M250301C1</v>
          </cell>
          <cell r="J17520">
            <v>45779</v>
          </cell>
          <cell r="K17520">
            <v>1</v>
          </cell>
        </row>
        <row r="17521">
          <cell r="C17521" t="str">
            <v>葉宏政</v>
          </cell>
          <cell r="F17521" t="str">
            <v>M240804R1</v>
          </cell>
          <cell r="J17521">
            <v>45782</v>
          </cell>
          <cell r="K17521">
            <v>1</v>
          </cell>
        </row>
        <row r="17522">
          <cell r="C17522" t="str">
            <v>葉宏政</v>
          </cell>
          <cell r="F17522" t="str">
            <v>M250301C1</v>
          </cell>
          <cell r="J17522">
            <v>45782</v>
          </cell>
          <cell r="K17522">
            <v>3</v>
          </cell>
        </row>
        <row r="17523">
          <cell r="C17523" t="str">
            <v>葉宏政</v>
          </cell>
          <cell r="F17523" t="str">
            <v>M250301R1</v>
          </cell>
          <cell r="J17523">
            <v>45782</v>
          </cell>
          <cell r="K17523">
            <v>5</v>
          </cell>
        </row>
        <row r="17524">
          <cell r="C17524" t="str">
            <v>葉宏政</v>
          </cell>
          <cell r="J17524">
            <v>45783</v>
          </cell>
          <cell r="K17524">
            <v>2</v>
          </cell>
        </row>
        <row r="17525">
          <cell r="C17525" t="str">
            <v>葉宏政</v>
          </cell>
          <cell r="F17525" t="str">
            <v>M250301C1</v>
          </cell>
          <cell r="J17525">
            <v>45783</v>
          </cell>
          <cell r="K17525">
            <v>3</v>
          </cell>
        </row>
        <row r="17526">
          <cell r="C17526" t="str">
            <v>葉宏政</v>
          </cell>
          <cell r="F17526" t="str">
            <v>M250301R1</v>
          </cell>
          <cell r="J17526">
            <v>45783</v>
          </cell>
          <cell r="K17526">
            <v>4</v>
          </cell>
        </row>
        <row r="17527">
          <cell r="C17527" t="str">
            <v>葉宏政</v>
          </cell>
          <cell r="F17527" t="str">
            <v>M250301C1</v>
          </cell>
          <cell r="J17527">
            <v>45784</v>
          </cell>
          <cell r="K17527">
            <v>5</v>
          </cell>
        </row>
        <row r="17528">
          <cell r="C17528" t="str">
            <v>葉宏政</v>
          </cell>
          <cell r="F17528" t="str">
            <v>M250301R1</v>
          </cell>
          <cell r="J17528">
            <v>45784</v>
          </cell>
          <cell r="K17528">
            <v>2</v>
          </cell>
        </row>
        <row r="17529">
          <cell r="C17529" t="str">
            <v>葉宏政</v>
          </cell>
          <cell r="F17529" t="str">
            <v>M250301R1</v>
          </cell>
          <cell r="J17529">
            <v>45784</v>
          </cell>
          <cell r="K17529">
            <v>2</v>
          </cell>
        </row>
        <row r="17530">
          <cell r="C17530" t="str">
            <v>葉宏政</v>
          </cell>
          <cell r="J17530">
            <v>45785</v>
          </cell>
          <cell r="K17530">
            <v>1</v>
          </cell>
        </row>
        <row r="17531">
          <cell r="C17531" t="str">
            <v>葉宏政</v>
          </cell>
          <cell r="F17531" t="str">
            <v>M250301C1</v>
          </cell>
          <cell r="J17531">
            <v>45785</v>
          </cell>
          <cell r="K17531">
            <v>6.5</v>
          </cell>
        </row>
        <row r="17532">
          <cell r="C17532" t="str">
            <v>葉宏政</v>
          </cell>
          <cell r="F17532" t="str">
            <v>M250301R1</v>
          </cell>
          <cell r="J17532">
            <v>45785</v>
          </cell>
          <cell r="K17532">
            <v>1</v>
          </cell>
        </row>
        <row r="17533">
          <cell r="C17533" t="str">
            <v>葉宏政</v>
          </cell>
          <cell r="F17533" t="str">
            <v>M240804R1</v>
          </cell>
          <cell r="J17533">
            <v>45786</v>
          </cell>
          <cell r="K17533">
            <v>8</v>
          </cell>
        </row>
        <row r="17534">
          <cell r="C17534" t="str">
            <v>葉宏政</v>
          </cell>
          <cell r="F17534" t="str">
            <v>M230705P1</v>
          </cell>
          <cell r="J17534">
            <v>45789</v>
          </cell>
          <cell r="K17534">
            <v>1</v>
          </cell>
        </row>
        <row r="17535">
          <cell r="C17535" t="str">
            <v>葉宏政</v>
          </cell>
          <cell r="F17535" t="str">
            <v>M240804R1</v>
          </cell>
          <cell r="J17535">
            <v>45789</v>
          </cell>
          <cell r="K17535">
            <v>8.5</v>
          </cell>
        </row>
        <row r="17536">
          <cell r="C17536" t="str">
            <v>葉宏政</v>
          </cell>
          <cell r="F17536" t="str">
            <v>M250301C1</v>
          </cell>
          <cell r="J17536">
            <v>45790</v>
          </cell>
          <cell r="K17536">
            <v>8.5</v>
          </cell>
        </row>
        <row r="17537">
          <cell r="C17537" t="str">
            <v>葉宏政</v>
          </cell>
          <cell r="F17537" t="str">
            <v>M230705P1</v>
          </cell>
          <cell r="J17537">
            <v>45791</v>
          </cell>
          <cell r="K17537">
            <v>2</v>
          </cell>
        </row>
        <row r="17538">
          <cell r="C17538" t="str">
            <v>葉宏政</v>
          </cell>
          <cell r="F17538" t="str">
            <v>M250301C1</v>
          </cell>
          <cell r="J17538">
            <v>45791</v>
          </cell>
          <cell r="K17538">
            <v>7</v>
          </cell>
        </row>
        <row r="17539">
          <cell r="C17539" t="str">
            <v>葉宏政</v>
          </cell>
          <cell r="J17539">
            <v>45792</v>
          </cell>
          <cell r="K17539">
            <v>0.5</v>
          </cell>
        </row>
        <row r="17540">
          <cell r="C17540" t="str">
            <v>葉宏政</v>
          </cell>
          <cell r="F17540" t="str">
            <v>M250301C1</v>
          </cell>
          <cell r="J17540">
            <v>45792</v>
          </cell>
          <cell r="K17540">
            <v>4</v>
          </cell>
        </row>
        <row r="17541">
          <cell r="C17541" t="str">
            <v>葉宏政</v>
          </cell>
          <cell r="F17541" t="str">
            <v>M250301R1</v>
          </cell>
          <cell r="J17541">
            <v>45792</v>
          </cell>
          <cell r="K17541">
            <v>2</v>
          </cell>
        </row>
        <row r="17542">
          <cell r="C17542" t="str">
            <v>葉宏政</v>
          </cell>
          <cell r="F17542" t="str">
            <v>M250301C1</v>
          </cell>
          <cell r="J17542">
            <v>45792</v>
          </cell>
          <cell r="K17542">
            <v>1.5</v>
          </cell>
        </row>
        <row r="17543">
          <cell r="C17543" t="str">
            <v>葉宏政</v>
          </cell>
          <cell r="F17543" t="str">
            <v>K240101R1</v>
          </cell>
          <cell r="J17543">
            <v>45793</v>
          </cell>
          <cell r="K17543">
            <v>6</v>
          </cell>
        </row>
        <row r="17544">
          <cell r="C17544" t="str">
            <v>葉宏政</v>
          </cell>
          <cell r="F17544" t="str">
            <v>M250301C1</v>
          </cell>
          <cell r="J17544">
            <v>45793</v>
          </cell>
          <cell r="K17544">
            <v>2</v>
          </cell>
        </row>
        <row r="17545">
          <cell r="C17545" t="str">
            <v>葉宏政</v>
          </cell>
          <cell r="F17545" t="str">
            <v>M250301R1</v>
          </cell>
          <cell r="J17545">
            <v>45793</v>
          </cell>
          <cell r="K17545">
            <v>1</v>
          </cell>
        </row>
        <row r="17546">
          <cell r="C17546" t="str">
            <v>葉宏政</v>
          </cell>
          <cell r="F17546" t="str">
            <v>M230705P1</v>
          </cell>
          <cell r="J17546">
            <v>45796</v>
          </cell>
          <cell r="K17546">
            <v>1</v>
          </cell>
        </row>
        <row r="17547">
          <cell r="C17547" t="str">
            <v>葉宏政</v>
          </cell>
          <cell r="F17547" t="str">
            <v>M250301R1</v>
          </cell>
          <cell r="J17547">
            <v>45796</v>
          </cell>
          <cell r="K17547">
            <v>4</v>
          </cell>
        </row>
        <row r="17548">
          <cell r="C17548" t="str">
            <v>葉宏政</v>
          </cell>
          <cell r="F17548" t="str">
            <v>M250301R1</v>
          </cell>
          <cell r="J17548">
            <v>45796</v>
          </cell>
          <cell r="K17548">
            <v>4.5</v>
          </cell>
        </row>
        <row r="17549">
          <cell r="C17549" t="str">
            <v>葉宏政</v>
          </cell>
          <cell r="J17549">
            <v>45797</v>
          </cell>
          <cell r="K17549">
            <v>8</v>
          </cell>
        </row>
        <row r="17550">
          <cell r="C17550" t="str">
            <v>葉宏政</v>
          </cell>
          <cell r="F17550" t="str">
            <v>M250301R1</v>
          </cell>
          <cell r="J17550">
            <v>45798</v>
          </cell>
          <cell r="K17550">
            <v>2.5</v>
          </cell>
        </row>
        <row r="17551">
          <cell r="C17551" t="str">
            <v>葉宏政</v>
          </cell>
          <cell r="F17551" t="str">
            <v>M250301R1</v>
          </cell>
          <cell r="J17551">
            <v>45798</v>
          </cell>
          <cell r="K17551">
            <v>1</v>
          </cell>
        </row>
        <row r="17552">
          <cell r="C17552" t="str">
            <v>葉宏政</v>
          </cell>
          <cell r="F17552" t="str">
            <v>M250301R1</v>
          </cell>
          <cell r="J17552">
            <v>45798</v>
          </cell>
          <cell r="K17552">
            <v>6</v>
          </cell>
        </row>
        <row r="17553">
          <cell r="C17553" t="str">
            <v>葉宏政</v>
          </cell>
          <cell r="J17553">
            <v>45799</v>
          </cell>
          <cell r="K17553">
            <v>0.5</v>
          </cell>
        </row>
        <row r="17554">
          <cell r="C17554" t="str">
            <v>葉宏政</v>
          </cell>
          <cell r="F17554" t="str">
            <v>M240201R1</v>
          </cell>
          <cell r="J17554">
            <v>45799</v>
          </cell>
          <cell r="K17554">
            <v>1</v>
          </cell>
        </row>
        <row r="17555">
          <cell r="C17555" t="str">
            <v>葉宏政</v>
          </cell>
          <cell r="F17555" t="str">
            <v>M230705P1</v>
          </cell>
          <cell r="J17555">
            <v>45799</v>
          </cell>
          <cell r="K17555">
            <v>8</v>
          </cell>
        </row>
        <row r="17556">
          <cell r="C17556" t="str">
            <v>葉宏政</v>
          </cell>
          <cell r="F17556" t="str">
            <v>M230705P1</v>
          </cell>
          <cell r="J17556">
            <v>45800</v>
          </cell>
          <cell r="K17556">
            <v>6.5</v>
          </cell>
        </row>
        <row r="17557">
          <cell r="C17557" t="str">
            <v>葉宏政</v>
          </cell>
          <cell r="F17557" t="str">
            <v>M250301C1</v>
          </cell>
          <cell r="J17557">
            <v>45800</v>
          </cell>
          <cell r="K17557">
            <v>1.5</v>
          </cell>
        </row>
        <row r="17558">
          <cell r="C17558" t="str">
            <v>葉宏政</v>
          </cell>
          <cell r="F17558" t="str">
            <v>M230705P1</v>
          </cell>
          <cell r="J17558">
            <v>45803</v>
          </cell>
          <cell r="K17558">
            <v>1</v>
          </cell>
        </row>
        <row r="17559">
          <cell r="C17559" t="str">
            <v>葉宏政</v>
          </cell>
          <cell r="F17559" t="str">
            <v>M230705P1</v>
          </cell>
          <cell r="J17559">
            <v>45803</v>
          </cell>
          <cell r="K17559">
            <v>7</v>
          </cell>
        </row>
        <row r="17560">
          <cell r="C17560" t="str">
            <v>葉宏政</v>
          </cell>
          <cell r="F17560" t="str">
            <v>M250301C1</v>
          </cell>
          <cell r="J17560">
            <v>45803</v>
          </cell>
          <cell r="K17560">
            <v>0.5</v>
          </cell>
        </row>
        <row r="17561">
          <cell r="C17561" t="str">
            <v>葉宏政</v>
          </cell>
          <cell r="F17561" t="str">
            <v>M240702R1</v>
          </cell>
          <cell r="J17561">
            <v>45804</v>
          </cell>
          <cell r="K17561">
            <v>1</v>
          </cell>
        </row>
        <row r="17562">
          <cell r="C17562" t="str">
            <v>葉宏政</v>
          </cell>
          <cell r="F17562" t="str">
            <v>M250301R1</v>
          </cell>
          <cell r="J17562">
            <v>45804</v>
          </cell>
          <cell r="K17562">
            <v>3</v>
          </cell>
        </row>
        <row r="17563">
          <cell r="C17563" t="str">
            <v>葉宏政</v>
          </cell>
          <cell r="F17563" t="str">
            <v>M230705P1</v>
          </cell>
          <cell r="J17563">
            <v>45804</v>
          </cell>
          <cell r="K17563">
            <v>5</v>
          </cell>
        </row>
        <row r="17564">
          <cell r="C17564" t="str">
            <v>葉宏政</v>
          </cell>
          <cell r="F17564" t="str">
            <v>M240804R1</v>
          </cell>
          <cell r="J17564">
            <v>45805</v>
          </cell>
          <cell r="K17564">
            <v>5</v>
          </cell>
        </row>
        <row r="17565">
          <cell r="C17565" t="str">
            <v>葉宏政</v>
          </cell>
          <cell r="F17565" t="str">
            <v>M230705P1</v>
          </cell>
          <cell r="J17565">
            <v>45805</v>
          </cell>
          <cell r="K17565">
            <v>4</v>
          </cell>
        </row>
        <row r="17566">
          <cell r="C17566" t="str">
            <v>葉宏政</v>
          </cell>
          <cell r="J17566">
            <v>45806</v>
          </cell>
          <cell r="K17566">
            <v>1</v>
          </cell>
        </row>
        <row r="17567">
          <cell r="C17567" t="str">
            <v>葉宏政</v>
          </cell>
          <cell r="J17567">
            <v>45806</v>
          </cell>
          <cell r="K17567">
            <v>1.5</v>
          </cell>
        </row>
        <row r="17568">
          <cell r="C17568" t="str">
            <v>葉宏政</v>
          </cell>
          <cell r="F17568" t="str">
            <v>M230705P1</v>
          </cell>
          <cell r="J17568">
            <v>45806</v>
          </cell>
          <cell r="K17568">
            <v>6</v>
          </cell>
        </row>
        <row r="17569">
          <cell r="C17569" t="str">
            <v>葉宏政</v>
          </cell>
          <cell r="J17569">
            <v>45807</v>
          </cell>
          <cell r="K17569">
            <v>8</v>
          </cell>
        </row>
        <row r="17570">
          <cell r="C17570" t="str">
            <v>葉宏政</v>
          </cell>
          <cell r="F17570" t="str">
            <v>M230705P1</v>
          </cell>
          <cell r="J17570">
            <v>45810</v>
          </cell>
          <cell r="K17570">
            <v>6.5</v>
          </cell>
        </row>
        <row r="17571">
          <cell r="C17571" t="str">
            <v>葉宏政</v>
          </cell>
          <cell r="F17571" t="str">
            <v>M240804R1</v>
          </cell>
          <cell r="J17571">
            <v>45810</v>
          </cell>
          <cell r="K17571">
            <v>2</v>
          </cell>
        </row>
        <row r="17572">
          <cell r="C17572" t="str">
            <v>葉宏政</v>
          </cell>
          <cell r="F17572" t="str">
            <v>M230705P1</v>
          </cell>
          <cell r="J17572">
            <v>45811</v>
          </cell>
          <cell r="K17572">
            <v>1</v>
          </cell>
        </row>
        <row r="17573">
          <cell r="C17573" t="str">
            <v>葉宏政</v>
          </cell>
          <cell r="F17573" t="str">
            <v>M240804R1</v>
          </cell>
          <cell r="J17573">
            <v>45811</v>
          </cell>
          <cell r="K17573">
            <v>8</v>
          </cell>
        </row>
        <row r="17574">
          <cell r="C17574" t="str">
            <v>葉宏政</v>
          </cell>
          <cell r="F17574" t="str">
            <v>M250301C1</v>
          </cell>
          <cell r="J17574">
            <v>45812</v>
          </cell>
          <cell r="K17574">
            <v>3</v>
          </cell>
        </row>
        <row r="17575">
          <cell r="C17575" t="str">
            <v>葉宏政</v>
          </cell>
          <cell r="F17575" t="str">
            <v>M230705P1</v>
          </cell>
          <cell r="J17575">
            <v>45812</v>
          </cell>
          <cell r="K17575">
            <v>6</v>
          </cell>
        </row>
        <row r="17576">
          <cell r="C17576" t="str">
            <v>葉宏政</v>
          </cell>
          <cell r="J17576">
            <v>45813</v>
          </cell>
          <cell r="K17576">
            <v>1</v>
          </cell>
        </row>
        <row r="17577">
          <cell r="C17577" t="str">
            <v>葉宏政</v>
          </cell>
          <cell r="F17577" t="str">
            <v>M230705P1</v>
          </cell>
          <cell r="J17577">
            <v>45813</v>
          </cell>
          <cell r="K17577">
            <v>8.5</v>
          </cell>
        </row>
        <row r="17578">
          <cell r="C17578" t="str">
            <v>葉宏政</v>
          </cell>
          <cell r="F17578" t="str">
            <v>M240804R1</v>
          </cell>
          <cell r="J17578">
            <v>45814</v>
          </cell>
          <cell r="K17578">
            <v>1</v>
          </cell>
        </row>
        <row r="17579">
          <cell r="C17579" t="str">
            <v>葉宏政</v>
          </cell>
          <cell r="F17579" t="str">
            <v>M230705P1</v>
          </cell>
          <cell r="J17579">
            <v>45814</v>
          </cell>
          <cell r="K17579">
            <v>7</v>
          </cell>
        </row>
        <row r="17580">
          <cell r="C17580" t="str">
            <v>葉宏政</v>
          </cell>
          <cell r="F17580" t="str">
            <v>M240804R1</v>
          </cell>
          <cell r="J17580">
            <v>45817</v>
          </cell>
          <cell r="K17580">
            <v>1.5</v>
          </cell>
        </row>
        <row r="17581">
          <cell r="C17581" t="str">
            <v>葉宏政</v>
          </cell>
          <cell r="F17581" t="str">
            <v>M240804R1</v>
          </cell>
          <cell r="J17581">
            <v>45817</v>
          </cell>
          <cell r="K17581">
            <v>2</v>
          </cell>
        </row>
        <row r="17582">
          <cell r="C17582" t="str">
            <v>葉宏政</v>
          </cell>
          <cell r="F17582" t="str">
            <v>M230705P1</v>
          </cell>
          <cell r="J17582">
            <v>45817</v>
          </cell>
          <cell r="K17582">
            <v>5</v>
          </cell>
        </row>
        <row r="17583">
          <cell r="C17583" t="str">
            <v>葉宏政</v>
          </cell>
          <cell r="F17583" t="str">
            <v>M230705P1</v>
          </cell>
          <cell r="J17583">
            <v>45818</v>
          </cell>
          <cell r="K17583">
            <v>7</v>
          </cell>
        </row>
        <row r="17584">
          <cell r="C17584" t="str">
            <v>葉宏政</v>
          </cell>
          <cell r="F17584" t="str">
            <v>M250301C1</v>
          </cell>
          <cell r="J17584">
            <v>45818</v>
          </cell>
          <cell r="K17584">
            <v>2</v>
          </cell>
        </row>
        <row r="17585">
          <cell r="C17585" t="str">
            <v>葉宏政</v>
          </cell>
          <cell r="J17585">
            <v>45819</v>
          </cell>
          <cell r="K17585">
            <v>2</v>
          </cell>
        </row>
        <row r="17586">
          <cell r="C17586" t="str">
            <v>葉宏政</v>
          </cell>
          <cell r="F17586" t="str">
            <v>M240804R1</v>
          </cell>
          <cell r="J17586">
            <v>45819</v>
          </cell>
          <cell r="K17586">
            <v>4.5</v>
          </cell>
        </row>
        <row r="17587">
          <cell r="C17587" t="str">
            <v>葉宏政</v>
          </cell>
          <cell r="F17587" t="str">
            <v>M250301R1</v>
          </cell>
          <cell r="J17587">
            <v>45819</v>
          </cell>
          <cell r="K17587">
            <v>2</v>
          </cell>
        </row>
        <row r="17588">
          <cell r="C17588" t="str">
            <v>葉宏政</v>
          </cell>
          <cell r="J17588">
            <v>45820</v>
          </cell>
          <cell r="K17588">
            <v>1</v>
          </cell>
        </row>
        <row r="17589">
          <cell r="C17589" t="str">
            <v>葉宏政</v>
          </cell>
          <cell r="F17589" t="str">
            <v>M240804R1</v>
          </cell>
          <cell r="J17589">
            <v>45820</v>
          </cell>
          <cell r="K17589">
            <v>7</v>
          </cell>
        </row>
        <row r="17590">
          <cell r="C17590" t="str">
            <v>葉宏政</v>
          </cell>
          <cell r="F17590" t="str">
            <v>M250301R1</v>
          </cell>
          <cell r="J17590">
            <v>45820</v>
          </cell>
          <cell r="K17590">
            <v>1</v>
          </cell>
        </row>
        <row r="17591">
          <cell r="C17591" t="str">
            <v>葉宏政</v>
          </cell>
          <cell r="F17591" t="str">
            <v>M240804R1</v>
          </cell>
          <cell r="J17591">
            <v>45821</v>
          </cell>
          <cell r="K17591">
            <v>8</v>
          </cell>
        </row>
        <row r="17592">
          <cell r="C17592" t="str">
            <v>葉宏政</v>
          </cell>
          <cell r="F17592" t="str">
            <v>M240804R1</v>
          </cell>
          <cell r="J17592">
            <v>45824</v>
          </cell>
          <cell r="K17592">
            <v>2</v>
          </cell>
        </row>
        <row r="17593">
          <cell r="C17593" t="str">
            <v>葉宏政</v>
          </cell>
          <cell r="F17593" t="str">
            <v>M240804R1</v>
          </cell>
          <cell r="J17593">
            <v>45824</v>
          </cell>
          <cell r="K17593">
            <v>7.5</v>
          </cell>
        </row>
        <row r="17594">
          <cell r="C17594" t="str">
            <v>葉宏政</v>
          </cell>
          <cell r="F17594" t="str">
            <v>M240804R1</v>
          </cell>
          <cell r="J17594">
            <v>45825</v>
          </cell>
          <cell r="K17594">
            <v>2</v>
          </cell>
        </row>
        <row r="17595">
          <cell r="C17595" t="str">
            <v>葉宏政</v>
          </cell>
          <cell r="F17595" t="str">
            <v>M230705P1</v>
          </cell>
          <cell r="J17595">
            <v>45825</v>
          </cell>
          <cell r="K17595">
            <v>7</v>
          </cell>
        </row>
        <row r="17596">
          <cell r="C17596" t="str">
            <v>葉宏政</v>
          </cell>
          <cell r="J17596">
            <v>45826</v>
          </cell>
          <cell r="K17596">
            <v>2</v>
          </cell>
        </row>
        <row r="17597">
          <cell r="C17597" t="str">
            <v>葉宏政</v>
          </cell>
          <cell r="F17597" t="str">
            <v>M230705P1</v>
          </cell>
          <cell r="J17597">
            <v>45826</v>
          </cell>
          <cell r="K17597">
            <v>7</v>
          </cell>
        </row>
        <row r="17598">
          <cell r="C17598" t="str">
            <v>葉宏政</v>
          </cell>
          <cell r="F17598" t="str">
            <v>M240804R1</v>
          </cell>
          <cell r="J17598">
            <v>45827</v>
          </cell>
          <cell r="K17598">
            <v>1.5</v>
          </cell>
        </row>
        <row r="17599">
          <cell r="C17599" t="str">
            <v>葉宏政</v>
          </cell>
          <cell r="J17599">
            <v>45827</v>
          </cell>
          <cell r="K17599">
            <v>1.5</v>
          </cell>
        </row>
        <row r="17600">
          <cell r="C17600" t="str">
            <v>葉宏政</v>
          </cell>
          <cell r="F17600" t="str">
            <v>M240804R1</v>
          </cell>
          <cell r="J17600">
            <v>45827</v>
          </cell>
          <cell r="K17600">
            <v>2</v>
          </cell>
        </row>
        <row r="17601">
          <cell r="C17601" t="str">
            <v>葉宏政</v>
          </cell>
          <cell r="F17601" t="str">
            <v>M230705P1</v>
          </cell>
          <cell r="J17601">
            <v>45827</v>
          </cell>
          <cell r="K17601">
            <v>4</v>
          </cell>
        </row>
        <row r="17602">
          <cell r="C17602" t="str">
            <v>葉宏政</v>
          </cell>
          <cell r="F17602" t="str">
            <v>M240804R1</v>
          </cell>
          <cell r="J17602">
            <v>45828</v>
          </cell>
          <cell r="K17602">
            <v>1.5</v>
          </cell>
        </row>
        <row r="17603">
          <cell r="C17603" t="str">
            <v>葉宏政</v>
          </cell>
          <cell r="J17603">
            <v>45828</v>
          </cell>
          <cell r="K17603">
            <v>1</v>
          </cell>
        </row>
        <row r="17604">
          <cell r="C17604" t="str">
            <v>葉宏政</v>
          </cell>
          <cell r="F17604" t="str">
            <v>M230705P1</v>
          </cell>
          <cell r="J17604">
            <v>45828</v>
          </cell>
          <cell r="K17604">
            <v>3</v>
          </cell>
        </row>
        <row r="17605">
          <cell r="C17605" t="str">
            <v>葉宏政</v>
          </cell>
          <cell r="F17605" t="str">
            <v>M240804R1</v>
          </cell>
          <cell r="J17605">
            <v>45828</v>
          </cell>
          <cell r="K17605">
            <v>3</v>
          </cell>
        </row>
        <row r="17606">
          <cell r="C17606" t="str">
            <v>葉宏政</v>
          </cell>
          <cell r="J17606">
            <v>45831</v>
          </cell>
          <cell r="K17606">
            <v>1</v>
          </cell>
        </row>
        <row r="17607">
          <cell r="C17607" t="str">
            <v>葉宏政</v>
          </cell>
          <cell r="J17607">
            <v>45831</v>
          </cell>
          <cell r="K17607">
            <v>2</v>
          </cell>
        </row>
        <row r="17608">
          <cell r="C17608" t="str">
            <v>葉宏政</v>
          </cell>
          <cell r="F17608" t="str">
            <v>M230705R1</v>
          </cell>
          <cell r="J17608">
            <v>45831</v>
          </cell>
          <cell r="K17608">
            <v>1</v>
          </cell>
        </row>
        <row r="17609">
          <cell r="C17609" t="str">
            <v>葉宏政</v>
          </cell>
          <cell r="F17609" t="str">
            <v>M240804R1</v>
          </cell>
          <cell r="J17609">
            <v>45831</v>
          </cell>
          <cell r="K17609">
            <v>3</v>
          </cell>
        </row>
        <row r="17610">
          <cell r="C17610" t="str">
            <v>葉宏政</v>
          </cell>
          <cell r="F17610" t="str">
            <v>M250301R1</v>
          </cell>
          <cell r="J17610">
            <v>45831</v>
          </cell>
          <cell r="K17610">
            <v>2.5</v>
          </cell>
        </row>
        <row r="17611">
          <cell r="C17611" t="str">
            <v>葉宏政</v>
          </cell>
          <cell r="J17611">
            <v>45832</v>
          </cell>
          <cell r="K17611">
            <v>1</v>
          </cell>
        </row>
        <row r="17612">
          <cell r="C17612" t="str">
            <v>葉宏政</v>
          </cell>
          <cell r="F17612" t="str">
            <v>M240804R1</v>
          </cell>
          <cell r="J17612">
            <v>45832</v>
          </cell>
          <cell r="K17612">
            <v>1</v>
          </cell>
        </row>
        <row r="17613">
          <cell r="C17613" t="str">
            <v>葉宏政</v>
          </cell>
          <cell r="F17613" t="str">
            <v>M230705P1</v>
          </cell>
          <cell r="J17613">
            <v>45832</v>
          </cell>
          <cell r="K17613">
            <v>4.5</v>
          </cell>
        </row>
        <row r="17614">
          <cell r="C17614" t="str">
            <v>葉宏政</v>
          </cell>
          <cell r="F17614" t="str">
            <v>M250301R1</v>
          </cell>
          <cell r="J17614">
            <v>45832</v>
          </cell>
          <cell r="K17614">
            <v>2.5</v>
          </cell>
        </row>
        <row r="17615">
          <cell r="C17615" t="str">
            <v>葉宏政</v>
          </cell>
          <cell r="J17615">
            <v>45833</v>
          </cell>
          <cell r="K17615">
            <v>2</v>
          </cell>
        </row>
        <row r="17616">
          <cell r="C17616" t="str">
            <v>葉宏政</v>
          </cell>
          <cell r="F17616" t="str">
            <v>M240804R1</v>
          </cell>
          <cell r="J17616">
            <v>45833</v>
          </cell>
          <cell r="K17616">
            <v>6.5</v>
          </cell>
        </row>
        <row r="17617">
          <cell r="C17617" t="str">
            <v>葉宏政</v>
          </cell>
          <cell r="J17617">
            <v>45834</v>
          </cell>
          <cell r="K17617">
            <v>1</v>
          </cell>
        </row>
        <row r="17618">
          <cell r="C17618" t="str">
            <v>葉宏政</v>
          </cell>
          <cell r="F17618" t="str">
            <v>M230705P1</v>
          </cell>
          <cell r="J17618">
            <v>45834</v>
          </cell>
          <cell r="K17618">
            <v>1.5</v>
          </cell>
        </row>
        <row r="17619">
          <cell r="C17619" t="str">
            <v>葉宏政</v>
          </cell>
          <cell r="F17619" t="str">
            <v>M240804R1</v>
          </cell>
          <cell r="J17619">
            <v>45834</v>
          </cell>
          <cell r="K17619">
            <v>6</v>
          </cell>
        </row>
        <row r="17620">
          <cell r="C17620" t="str">
            <v>葉宏政</v>
          </cell>
          <cell r="F17620" t="str">
            <v>M250301R1</v>
          </cell>
          <cell r="J17620">
            <v>45834</v>
          </cell>
          <cell r="K17620">
            <v>0.5</v>
          </cell>
        </row>
        <row r="17621">
          <cell r="C17621" t="str">
            <v>葉宏政</v>
          </cell>
          <cell r="J17621">
            <v>45835</v>
          </cell>
          <cell r="K17621">
            <v>3</v>
          </cell>
        </row>
        <row r="17622">
          <cell r="C17622" t="str">
            <v>葉宏政</v>
          </cell>
          <cell r="J17622">
            <v>45835</v>
          </cell>
          <cell r="K17622">
            <v>1.5</v>
          </cell>
        </row>
        <row r="17623">
          <cell r="C17623" t="str">
            <v>葉宏政</v>
          </cell>
          <cell r="F17623" t="str">
            <v>M240804R1</v>
          </cell>
          <cell r="J17623">
            <v>45835</v>
          </cell>
          <cell r="K17623">
            <v>1</v>
          </cell>
        </row>
        <row r="17624">
          <cell r="C17624" t="str">
            <v>葉宏政</v>
          </cell>
          <cell r="F17624" t="str">
            <v>M230705P1</v>
          </cell>
          <cell r="J17624">
            <v>45835</v>
          </cell>
          <cell r="K17624">
            <v>3</v>
          </cell>
        </row>
        <row r="17625">
          <cell r="C17625" t="str">
            <v>葉宏政</v>
          </cell>
          <cell r="J17625">
            <v>45838</v>
          </cell>
          <cell r="K17625">
            <v>1</v>
          </cell>
        </row>
        <row r="17626">
          <cell r="C17626" t="str">
            <v>葉宏政</v>
          </cell>
          <cell r="J17626">
            <v>45838</v>
          </cell>
          <cell r="K17626">
            <v>2</v>
          </cell>
        </row>
        <row r="17627">
          <cell r="C17627" t="str">
            <v>葉宏政</v>
          </cell>
          <cell r="F17627" t="str">
            <v>M230705P1</v>
          </cell>
          <cell r="J17627">
            <v>45838</v>
          </cell>
          <cell r="K17627">
            <v>3.5</v>
          </cell>
        </row>
        <row r="17628">
          <cell r="C17628" t="str">
            <v>葉宏政</v>
          </cell>
          <cell r="F17628" t="str">
            <v>M240804R1</v>
          </cell>
          <cell r="J17628">
            <v>45838</v>
          </cell>
          <cell r="K17628">
            <v>2</v>
          </cell>
        </row>
        <row r="17629">
          <cell r="C17629" t="str">
            <v>葉宏政</v>
          </cell>
          <cell r="F17629" t="str">
            <v>M250301R1</v>
          </cell>
          <cell r="J17629">
            <v>45838</v>
          </cell>
          <cell r="K17629">
            <v>1</v>
          </cell>
        </row>
        <row r="17630">
          <cell r="C17630" t="str">
            <v>葉宏政</v>
          </cell>
          <cell r="F17630" t="str">
            <v>M240804R1</v>
          </cell>
          <cell r="J17630">
            <v>45839</v>
          </cell>
          <cell r="K17630">
            <v>7</v>
          </cell>
        </row>
        <row r="17631">
          <cell r="C17631" t="str">
            <v>葉宏政</v>
          </cell>
          <cell r="F17631" t="str">
            <v>M250301R1</v>
          </cell>
          <cell r="J17631">
            <v>45839</v>
          </cell>
          <cell r="K17631">
            <v>1.5</v>
          </cell>
        </row>
        <row r="17632">
          <cell r="C17632" t="str">
            <v>葉宏政</v>
          </cell>
          <cell r="F17632" t="str">
            <v>M240804R1</v>
          </cell>
          <cell r="J17632">
            <v>45840</v>
          </cell>
          <cell r="K17632">
            <v>7.5</v>
          </cell>
        </row>
        <row r="17633">
          <cell r="C17633" t="str">
            <v>葉宏政</v>
          </cell>
          <cell r="F17633" t="str">
            <v>M250301R1</v>
          </cell>
          <cell r="J17633">
            <v>45840</v>
          </cell>
          <cell r="K17633">
            <v>1</v>
          </cell>
        </row>
        <row r="17634">
          <cell r="C17634" t="str">
            <v>葉宏政</v>
          </cell>
          <cell r="J17634">
            <v>45841</v>
          </cell>
          <cell r="K17634">
            <v>1</v>
          </cell>
        </row>
        <row r="17635">
          <cell r="C17635" t="str">
            <v>葉宏政</v>
          </cell>
          <cell r="F17635" t="str">
            <v>M240804R1</v>
          </cell>
          <cell r="J17635">
            <v>45841</v>
          </cell>
          <cell r="K17635">
            <v>2</v>
          </cell>
        </row>
        <row r="17636">
          <cell r="C17636" t="str">
            <v>葉宏政</v>
          </cell>
          <cell r="F17636" t="str">
            <v>M240804R1</v>
          </cell>
          <cell r="J17636">
            <v>45841</v>
          </cell>
          <cell r="K17636">
            <v>5.5</v>
          </cell>
        </row>
        <row r="17637">
          <cell r="C17637" t="str">
            <v>葉宏政</v>
          </cell>
          <cell r="F17637" t="str">
            <v>M240804R1</v>
          </cell>
          <cell r="J17637">
            <v>45841</v>
          </cell>
          <cell r="K17637">
            <v>1</v>
          </cell>
        </row>
        <row r="17638">
          <cell r="C17638" t="str">
            <v>葉宏政</v>
          </cell>
          <cell r="J17638">
            <v>45842</v>
          </cell>
          <cell r="K17638">
            <v>1</v>
          </cell>
        </row>
        <row r="17639">
          <cell r="C17639" t="str">
            <v>葉宏政</v>
          </cell>
          <cell r="F17639" t="str">
            <v>M240804R1</v>
          </cell>
          <cell r="J17639">
            <v>45842</v>
          </cell>
          <cell r="K17639">
            <v>1.5</v>
          </cell>
        </row>
        <row r="17640">
          <cell r="C17640" t="str">
            <v>葉宏政</v>
          </cell>
          <cell r="F17640" t="str">
            <v>M240804R1</v>
          </cell>
          <cell r="J17640">
            <v>45842</v>
          </cell>
          <cell r="K17640">
            <v>2.5</v>
          </cell>
        </row>
        <row r="17641">
          <cell r="C17641" t="str">
            <v>葉宏政</v>
          </cell>
          <cell r="F17641" t="str">
            <v>M240804R1</v>
          </cell>
          <cell r="J17641">
            <v>45842</v>
          </cell>
          <cell r="K17641">
            <v>3</v>
          </cell>
        </row>
        <row r="17642">
          <cell r="C17642" t="str">
            <v>葉宏政</v>
          </cell>
          <cell r="J17642">
            <v>45845</v>
          </cell>
          <cell r="K17642">
            <v>1</v>
          </cell>
        </row>
        <row r="17643">
          <cell r="C17643" t="str">
            <v>葉宏政</v>
          </cell>
          <cell r="F17643" t="str">
            <v>M230705P1</v>
          </cell>
          <cell r="J17643">
            <v>45845</v>
          </cell>
          <cell r="K17643">
            <v>4.5</v>
          </cell>
        </row>
        <row r="17644">
          <cell r="C17644" t="str">
            <v>葉宏政</v>
          </cell>
          <cell r="F17644" t="str">
            <v>M240804R1</v>
          </cell>
          <cell r="J17644">
            <v>45845</v>
          </cell>
          <cell r="K17644">
            <v>3</v>
          </cell>
        </row>
        <row r="17645">
          <cell r="C17645" t="str">
            <v>葉宏政</v>
          </cell>
          <cell r="F17645" t="str">
            <v>M240703R1</v>
          </cell>
          <cell r="J17645">
            <v>45846</v>
          </cell>
          <cell r="K17645">
            <v>1</v>
          </cell>
        </row>
        <row r="17646">
          <cell r="C17646" t="str">
            <v>葉宏政</v>
          </cell>
          <cell r="F17646" t="str">
            <v>M230705P1</v>
          </cell>
          <cell r="J17646">
            <v>45846</v>
          </cell>
          <cell r="K17646">
            <v>8</v>
          </cell>
        </row>
        <row r="17647">
          <cell r="C17647" t="str">
            <v>葉宏政</v>
          </cell>
          <cell r="J17647">
            <v>45847</v>
          </cell>
          <cell r="K17647">
            <v>5</v>
          </cell>
        </row>
        <row r="17648">
          <cell r="C17648" t="str">
            <v>葉宏政</v>
          </cell>
          <cell r="F17648" t="str">
            <v>M230705P1</v>
          </cell>
          <cell r="J17648">
            <v>45847</v>
          </cell>
          <cell r="K17648">
            <v>3</v>
          </cell>
        </row>
        <row r="17649">
          <cell r="C17649" t="str">
            <v>葉宏政</v>
          </cell>
          <cell r="J17649">
            <v>45848</v>
          </cell>
          <cell r="K17649">
            <v>1</v>
          </cell>
        </row>
        <row r="17650">
          <cell r="C17650" t="str">
            <v>葉宏政</v>
          </cell>
          <cell r="F17650" t="str">
            <v>M230705P1</v>
          </cell>
          <cell r="J17650">
            <v>45848</v>
          </cell>
          <cell r="K17650">
            <v>5</v>
          </cell>
        </row>
        <row r="17651">
          <cell r="C17651" t="str">
            <v>葉宏政</v>
          </cell>
          <cell r="F17651" t="str">
            <v>M240804R1</v>
          </cell>
          <cell r="J17651">
            <v>45848</v>
          </cell>
          <cell r="K17651">
            <v>2</v>
          </cell>
        </row>
        <row r="17652">
          <cell r="C17652" t="str">
            <v>葉宏政</v>
          </cell>
          <cell r="F17652" t="str">
            <v>M250301C1</v>
          </cell>
          <cell r="J17652">
            <v>45848</v>
          </cell>
          <cell r="K17652">
            <v>1</v>
          </cell>
        </row>
        <row r="17653">
          <cell r="C17653" t="str">
            <v>葉宏政</v>
          </cell>
          <cell r="F17653" t="str">
            <v>M250301C1</v>
          </cell>
          <cell r="J17653">
            <v>45849</v>
          </cell>
          <cell r="K17653">
            <v>3.5</v>
          </cell>
        </row>
        <row r="17654">
          <cell r="C17654" t="str">
            <v>葉宏政</v>
          </cell>
          <cell r="F17654" t="str">
            <v>M240804R1</v>
          </cell>
          <cell r="J17654">
            <v>45849</v>
          </cell>
          <cell r="K17654">
            <v>5</v>
          </cell>
        </row>
        <row r="17655">
          <cell r="C17655" t="str">
            <v>葉宏政</v>
          </cell>
          <cell r="J17655">
            <v>45852</v>
          </cell>
          <cell r="K17655">
            <v>0.5</v>
          </cell>
        </row>
        <row r="17656">
          <cell r="C17656" t="str">
            <v>葉宏政</v>
          </cell>
          <cell r="F17656" t="str">
            <v>M250301C1</v>
          </cell>
          <cell r="J17656">
            <v>45852</v>
          </cell>
          <cell r="K17656">
            <v>8.5</v>
          </cell>
        </row>
        <row r="17657">
          <cell r="C17657" t="str">
            <v>葉宏政</v>
          </cell>
          <cell r="F17657" t="str">
            <v>M240804R1</v>
          </cell>
          <cell r="J17657">
            <v>45853</v>
          </cell>
          <cell r="K17657">
            <v>1.5</v>
          </cell>
        </row>
        <row r="17658">
          <cell r="C17658" t="str">
            <v>葉宏政</v>
          </cell>
          <cell r="F17658" t="str">
            <v>M250301R1</v>
          </cell>
          <cell r="J17658">
            <v>45853</v>
          </cell>
          <cell r="K17658">
            <v>1.5</v>
          </cell>
        </row>
        <row r="17659">
          <cell r="C17659" t="str">
            <v>葉宏政</v>
          </cell>
          <cell r="F17659" t="str">
            <v>M250301C1</v>
          </cell>
          <cell r="J17659">
            <v>45853</v>
          </cell>
          <cell r="K17659">
            <v>6</v>
          </cell>
        </row>
        <row r="17660">
          <cell r="C17660" t="str">
            <v>葉宏政</v>
          </cell>
          <cell r="F17660" t="str">
            <v>M230705P1</v>
          </cell>
          <cell r="J17660">
            <v>45854</v>
          </cell>
          <cell r="K17660">
            <v>8.5</v>
          </cell>
        </row>
        <row r="17661">
          <cell r="C17661" t="str">
            <v>葉宏政</v>
          </cell>
          <cell r="J17661">
            <v>45855</v>
          </cell>
          <cell r="K17661">
            <v>1</v>
          </cell>
        </row>
        <row r="17662">
          <cell r="C17662" t="str">
            <v>葉宏政</v>
          </cell>
          <cell r="F17662" t="str">
            <v>M230705P1</v>
          </cell>
          <cell r="J17662">
            <v>45855</v>
          </cell>
          <cell r="K17662">
            <v>5</v>
          </cell>
        </row>
        <row r="17663">
          <cell r="C17663" t="str">
            <v>葉宏政</v>
          </cell>
          <cell r="F17663" t="str">
            <v>M240804R1</v>
          </cell>
          <cell r="J17663">
            <v>45855</v>
          </cell>
          <cell r="K17663">
            <v>2.5</v>
          </cell>
        </row>
        <row r="17664">
          <cell r="C17664" t="str">
            <v>葉宏政</v>
          </cell>
          <cell r="F17664" t="str">
            <v>M230705P1</v>
          </cell>
          <cell r="J17664">
            <v>45856</v>
          </cell>
          <cell r="K17664">
            <v>5</v>
          </cell>
        </row>
        <row r="17665">
          <cell r="C17665" t="str">
            <v>葉宏政</v>
          </cell>
          <cell r="F17665" t="str">
            <v>M250301R1</v>
          </cell>
          <cell r="J17665">
            <v>45856</v>
          </cell>
          <cell r="K17665">
            <v>3</v>
          </cell>
        </row>
        <row r="17666">
          <cell r="C17666" t="str">
            <v>葉宏政</v>
          </cell>
          <cell r="J17666">
            <v>45859</v>
          </cell>
          <cell r="K17666">
            <v>0.5</v>
          </cell>
        </row>
        <row r="17667">
          <cell r="C17667" t="str">
            <v>葉宏政</v>
          </cell>
          <cell r="F17667" t="str">
            <v>M230705P1</v>
          </cell>
          <cell r="J17667">
            <v>45859</v>
          </cell>
          <cell r="K17667">
            <v>1.5</v>
          </cell>
        </row>
        <row r="17668">
          <cell r="C17668" t="str">
            <v>葉宏政</v>
          </cell>
          <cell r="F17668" t="str">
            <v>M250301R1</v>
          </cell>
          <cell r="J17668">
            <v>45859</v>
          </cell>
          <cell r="K17668">
            <v>7</v>
          </cell>
        </row>
        <row r="17669">
          <cell r="C17669" t="str">
            <v>葉宏政</v>
          </cell>
          <cell r="F17669" t="str">
            <v>M250301R1</v>
          </cell>
          <cell r="J17669">
            <v>45860</v>
          </cell>
          <cell r="K17669">
            <v>8.5</v>
          </cell>
        </row>
        <row r="17670">
          <cell r="C17670" t="str">
            <v>葉宏政</v>
          </cell>
          <cell r="F17670" t="str">
            <v>M230705P1</v>
          </cell>
          <cell r="J17670">
            <v>45861</v>
          </cell>
          <cell r="K17670">
            <v>8</v>
          </cell>
        </row>
        <row r="17671">
          <cell r="C17671" t="str">
            <v>葉宏政</v>
          </cell>
          <cell r="J17671">
            <v>45862</v>
          </cell>
          <cell r="K17671">
            <v>5</v>
          </cell>
        </row>
        <row r="17672">
          <cell r="C17672" t="str">
            <v>葉宏政</v>
          </cell>
          <cell r="J17672">
            <v>45862</v>
          </cell>
          <cell r="K17672">
            <v>1.5</v>
          </cell>
        </row>
        <row r="17673">
          <cell r="C17673" t="str">
            <v>葉宏政</v>
          </cell>
          <cell r="F17673" t="str">
            <v>M230705P1</v>
          </cell>
          <cell r="J17673">
            <v>45862</v>
          </cell>
          <cell r="K17673">
            <v>1.5</v>
          </cell>
        </row>
        <row r="17674">
          <cell r="C17674" t="str">
            <v>葉宏政</v>
          </cell>
          <cell r="J17674">
            <v>45863</v>
          </cell>
          <cell r="K17674">
            <v>0.5</v>
          </cell>
        </row>
        <row r="17675">
          <cell r="C17675" t="str">
            <v>葉宏政</v>
          </cell>
          <cell r="F17675" t="str">
            <v>M230705P1</v>
          </cell>
          <cell r="J17675">
            <v>45863</v>
          </cell>
          <cell r="K17675">
            <v>5</v>
          </cell>
        </row>
        <row r="17676">
          <cell r="C17676" t="str">
            <v>葉宏政</v>
          </cell>
          <cell r="F17676" t="str">
            <v>M240804R1</v>
          </cell>
          <cell r="J17676">
            <v>45863</v>
          </cell>
          <cell r="K17676">
            <v>2</v>
          </cell>
        </row>
        <row r="17677">
          <cell r="C17677" t="str">
            <v>葉宏政</v>
          </cell>
          <cell r="F17677" t="str">
            <v>M250301C1</v>
          </cell>
          <cell r="J17677">
            <v>45863</v>
          </cell>
          <cell r="K17677">
            <v>1</v>
          </cell>
        </row>
        <row r="17678">
          <cell r="C17678" t="str">
            <v>葉宏政</v>
          </cell>
          <cell r="J17678">
            <v>45866</v>
          </cell>
          <cell r="K17678">
            <v>0.5</v>
          </cell>
        </row>
        <row r="17679">
          <cell r="C17679" t="str">
            <v>葉宏政</v>
          </cell>
          <cell r="F17679" t="str">
            <v>M230705P1</v>
          </cell>
          <cell r="J17679">
            <v>45866</v>
          </cell>
          <cell r="K17679">
            <v>4.5</v>
          </cell>
        </row>
        <row r="17680">
          <cell r="C17680" t="str">
            <v>葉宏政</v>
          </cell>
          <cell r="F17680" t="str">
            <v>M250301R1</v>
          </cell>
          <cell r="J17680">
            <v>45866</v>
          </cell>
          <cell r="K17680">
            <v>4</v>
          </cell>
        </row>
        <row r="17681">
          <cell r="C17681" t="str">
            <v>葉宏政</v>
          </cell>
          <cell r="F17681" t="str">
            <v>M240804R1</v>
          </cell>
          <cell r="J17681">
            <v>45867</v>
          </cell>
          <cell r="K17681">
            <v>1.5</v>
          </cell>
        </row>
        <row r="17682">
          <cell r="C17682" t="str">
            <v>葉宏政</v>
          </cell>
          <cell r="F17682" t="str">
            <v>M250301R1</v>
          </cell>
          <cell r="J17682">
            <v>45867</v>
          </cell>
          <cell r="K17682">
            <v>2</v>
          </cell>
        </row>
        <row r="17683">
          <cell r="C17683" t="str">
            <v>葉宏政</v>
          </cell>
          <cell r="F17683" t="str">
            <v>M230705P1</v>
          </cell>
          <cell r="J17683">
            <v>45867</v>
          </cell>
          <cell r="K17683">
            <v>2</v>
          </cell>
        </row>
        <row r="17684">
          <cell r="C17684" t="str">
            <v>葉宏政</v>
          </cell>
          <cell r="F17684" t="str">
            <v>M250301C1</v>
          </cell>
          <cell r="J17684">
            <v>45867</v>
          </cell>
          <cell r="K17684">
            <v>3</v>
          </cell>
        </row>
        <row r="17685">
          <cell r="C17685" t="str">
            <v>葉宏政</v>
          </cell>
          <cell r="J17685">
            <v>45868</v>
          </cell>
          <cell r="K17685">
            <v>1.5</v>
          </cell>
        </row>
        <row r="17686">
          <cell r="C17686" t="str">
            <v>葉宏政</v>
          </cell>
          <cell r="F17686" t="str">
            <v>M240804R1</v>
          </cell>
          <cell r="J17686">
            <v>45868</v>
          </cell>
          <cell r="K17686">
            <v>2</v>
          </cell>
        </row>
        <row r="17687">
          <cell r="C17687" t="str">
            <v>葉宏政</v>
          </cell>
          <cell r="F17687" t="str">
            <v>M240702R1</v>
          </cell>
          <cell r="J17687">
            <v>45868</v>
          </cell>
          <cell r="K17687">
            <v>2</v>
          </cell>
        </row>
        <row r="17688">
          <cell r="C17688" t="str">
            <v>葉宏政</v>
          </cell>
          <cell r="F17688" t="str">
            <v>M250301C1</v>
          </cell>
          <cell r="J17688">
            <v>45868</v>
          </cell>
          <cell r="K17688">
            <v>2</v>
          </cell>
        </row>
        <row r="17689">
          <cell r="C17689" t="str">
            <v>葉宏政</v>
          </cell>
          <cell r="F17689" t="str">
            <v>M240804R1</v>
          </cell>
          <cell r="J17689">
            <v>45868</v>
          </cell>
          <cell r="K17689">
            <v>1.5</v>
          </cell>
        </row>
        <row r="17690">
          <cell r="C17690" t="str">
            <v>葉宏政</v>
          </cell>
          <cell r="J17690">
            <v>45869</v>
          </cell>
          <cell r="K17690">
            <v>1.5</v>
          </cell>
        </row>
        <row r="17691">
          <cell r="C17691" t="str">
            <v>葉宏政</v>
          </cell>
          <cell r="F17691" t="str">
            <v>M240702R1</v>
          </cell>
          <cell r="J17691">
            <v>45869</v>
          </cell>
          <cell r="K17691">
            <v>4</v>
          </cell>
        </row>
        <row r="17692">
          <cell r="C17692" t="str">
            <v>葉宏政</v>
          </cell>
          <cell r="F17692" t="str">
            <v>M230705P1</v>
          </cell>
          <cell r="J17692">
            <v>45869</v>
          </cell>
          <cell r="K17692">
            <v>1</v>
          </cell>
        </row>
        <row r="17693">
          <cell r="C17693" t="str">
            <v>葉宏政</v>
          </cell>
          <cell r="F17693" t="str">
            <v>M250301C1</v>
          </cell>
          <cell r="J17693">
            <v>45869</v>
          </cell>
          <cell r="K17693">
            <v>2</v>
          </cell>
        </row>
        <row r="17694">
          <cell r="C17694" t="str">
            <v>葉宏政</v>
          </cell>
          <cell r="F17694" t="str">
            <v>M240702R1</v>
          </cell>
          <cell r="J17694">
            <v>45870</v>
          </cell>
          <cell r="K17694">
            <v>5</v>
          </cell>
        </row>
        <row r="17695">
          <cell r="C17695" t="str">
            <v>葉宏政</v>
          </cell>
          <cell r="F17695" t="str">
            <v>M250301C1</v>
          </cell>
          <cell r="J17695">
            <v>45870</v>
          </cell>
          <cell r="K17695">
            <v>3</v>
          </cell>
        </row>
        <row r="17696">
          <cell r="C17696" t="str">
            <v>葉宏政</v>
          </cell>
          <cell r="J17696">
            <v>45873</v>
          </cell>
          <cell r="K17696">
            <v>1</v>
          </cell>
        </row>
        <row r="17697">
          <cell r="C17697" t="str">
            <v>葉宏政</v>
          </cell>
          <cell r="F17697" t="str">
            <v>M240702R1</v>
          </cell>
          <cell r="J17697">
            <v>45873</v>
          </cell>
          <cell r="K17697">
            <v>4</v>
          </cell>
        </row>
        <row r="17698">
          <cell r="C17698" t="str">
            <v>葉宏政</v>
          </cell>
          <cell r="F17698" t="str">
            <v>M240804R1</v>
          </cell>
          <cell r="J17698">
            <v>45873</v>
          </cell>
          <cell r="K17698">
            <v>1</v>
          </cell>
        </row>
        <row r="17699">
          <cell r="C17699" t="str">
            <v>葉宏政</v>
          </cell>
          <cell r="F17699" t="str">
            <v>M250301C1</v>
          </cell>
          <cell r="J17699">
            <v>45873</v>
          </cell>
          <cell r="K17699">
            <v>2.5</v>
          </cell>
        </row>
        <row r="17700">
          <cell r="C17700" t="str">
            <v>葉宏政</v>
          </cell>
          <cell r="F17700" t="str">
            <v>M230705P1</v>
          </cell>
          <cell r="J17700">
            <v>45874</v>
          </cell>
          <cell r="K17700">
            <v>6</v>
          </cell>
        </row>
        <row r="17701">
          <cell r="C17701" t="str">
            <v>葉宏政</v>
          </cell>
          <cell r="F17701" t="str">
            <v>M250301C1</v>
          </cell>
          <cell r="J17701">
            <v>45874</v>
          </cell>
          <cell r="K17701">
            <v>3</v>
          </cell>
        </row>
        <row r="17702">
          <cell r="C17702" t="str">
            <v>葉宏政</v>
          </cell>
          <cell r="F17702" t="str">
            <v>M230705P1</v>
          </cell>
          <cell r="J17702">
            <v>45875</v>
          </cell>
          <cell r="K17702">
            <v>8</v>
          </cell>
        </row>
        <row r="17703">
          <cell r="C17703" t="str">
            <v>葉宏政</v>
          </cell>
          <cell r="F17703" t="str">
            <v>M250301C1</v>
          </cell>
          <cell r="J17703">
            <v>45875</v>
          </cell>
          <cell r="K17703">
            <v>1</v>
          </cell>
        </row>
        <row r="17704">
          <cell r="C17704" t="str">
            <v>葉宏政</v>
          </cell>
          <cell r="J17704">
            <v>45876</v>
          </cell>
          <cell r="K17704">
            <v>1</v>
          </cell>
        </row>
        <row r="17705">
          <cell r="C17705" t="str">
            <v>葉宏政</v>
          </cell>
          <cell r="F17705" t="str">
            <v>M230705P1</v>
          </cell>
          <cell r="J17705">
            <v>45876</v>
          </cell>
          <cell r="K17705">
            <v>6</v>
          </cell>
        </row>
        <row r="17706">
          <cell r="C17706" t="str">
            <v>葉宏政</v>
          </cell>
          <cell r="F17706" t="str">
            <v>M240804R1</v>
          </cell>
          <cell r="J17706">
            <v>45876</v>
          </cell>
          <cell r="K17706">
            <v>1.5</v>
          </cell>
        </row>
        <row r="17707">
          <cell r="C17707" t="str">
            <v>葉宏政</v>
          </cell>
          <cell r="J17707">
            <v>45877</v>
          </cell>
          <cell r="K17707">
            <v>1.5</v>
          </cell>
        </row>
        <row r="17708">
          <cell r="C17708" t="str">
            <v>葉宏政</v>
          </cell>
          <cell r="F17708" t="str">
            <v>M250301C1</v>
          </cell>
          <cell r="J17708">
            <v>45877</v>
          </cell>
          <cell r="K17708">
            <v>3.5</v>
          </cell>
        </row>
        <row r="17709">
          <cell r="C17709" t="str">
            <v>葉宏政</v>
          </cell>
          <cell r="F17709" t="str">
            <v>M240804R1</v>
          </cell>
          <cell r="J17709">
            <v>45877</v>
          </cell>
          <cell r="K17709">
            <v>3</v>
          </cell>
        </row>
        <row r="17710">
          <cell r="C17710" t="str">
            <v>葉宏政</v>
          </cell>
          <cell r="F17710" t="str">
            <v>M250301C1</v>
          </cell>
          <cell r="J17710">
            <v>45880</v>
          </cell>
          <cell r="K17710">
            <v>3</v>
          </cell>
        </row>
        <row r="17711">
          <cell r="C17711" t="str">
            <v>葉宏政</v>
          </cell>
          <cell r="F17711" t="str">
            <v>M240201R1</v>
          </cell>
          <cell r="J17711">
            <v>45880</v>
          </cell>
          <cell r="K17711">
            <v>1.5</v>
          </cell>
        </row>
        <row r="17712">
          <cell r="C17712" t="str">
            <v>葉宏政</v>
          </cell>
          <cell r="F17712" t="str">
            <v>M241001R1</v>
          </cell>
          <cell r="J17712">
            <v>45880</v>
          </cell>
          <cell r="K17712">
            <v>2.5</v>
          </cell>
        </row>
        <row r="17713">
          <cell r="C17713" t="str">
            <v>葉宏政</v>
          </cell>
          <cell r="F17713" t="str">
            <v>M240804R1</v>
          </cell>
          <cell r="J17713">
            <v>45880</v>
          </cell>
          <cell r="K17713">
            <v>2</v>
          </cell>
        </row>
        <row r="17714">
          <cell r="C17714" t="str">
            <v>葉宏政</v>
          </cell>
          <cell r="F17714" t="str">
            <v>M240804R1</v>
          </cell>
          <cell r="J17714">
            <v>45881</v>
          </cell>
          <cell r="K17714">
            <v>5.5</v>
          </cell>
        </row>
        <row r="17715">
          <cell r="C17715" t="str">
            <v>葉宏政</v>
          </cell>
          <cell r="F17715" t="str">
            <v>M240804R1</v>
          </cell>
          <cell r="J17715">
            <v>45881</v>
          </cell>
          <cell r="K17715">
            <v>2</v>
          </cell>
        </row>
        <row r="17716">
          <cell r="C17716" t="str">
            <v>葉宏政</v>
          </cell>
          <cell r="F17716" t="str">
            <v>M250301C1</v>
          </cell>
          <cell r="J17716">
            <v>45881</v>
          </cell>
          <cell r="K17716">
            <v>1</v>
          </cell>
        </row>
        <row r="17717">
          <cell r="C17717" t="str">
            <v>葉宏政</v>
          </cell>
          <cell r="F17717" t="str">
            <v>M230705P1</v>
          </cell>
          <cell r="J17717">
            <v>45882</v>
          </cell>
          <cell r="K17717">
            <v>2</v>
          </cell>
        </row>
        <row r="17718">
          <cell r="C17718" t="str">
            <v>葉宏政</v>
          </cell>
          <cell r="F17718" t="str">
            <v>M240804R1</v>
          </cell>
          <cell r="J17718">
            <v>45882</v>
          </cell>
          <cell r="K17718">
            <v>6.5</v>
          </cell>
        </row>
        <row r="17719">
          <cell r="C17719" t="str">
            <v>葉宏政</v>
          </cell>
          <cell r="J17719">
            <v>45883</v>
          </cell>
          <cell r="K17719">
            <v>1.5</v>
          </cell>
        </row>
        <row r="17720">
          <cell r="C17720" t="str">
            <v>葉宏政</v>
          </cell>
          <cell r="J17720">
            <v>45883</v>
          </cell>
          <cell r="K17720">
            <v>1</v>
          </cell>
        </row>
        <row r="17721">
          <cell r="C17721" t="str">
            <v>葉宏政</v>
          </cell>
          <cell r="F17721" t="str">
            <v>M240804R1</v>
          </cell>
          <cell r="J17721">
            <v>45883</v>
          </cell>
          <cell r="K17721">
            <v>4</v>
          </cell>
        </row>
        <row r="17722">
          <cell r="C17722" t="str">
            <v>葉宏政</v>
          </cell>
          <cell r="F17722" t="str">
            <v>M250301C1</v>
          </cell>
          <cell r="J17722">
            <v>45883</v>
          </cell>
          <cell r="K17722">
            <v>1.5</v>
          </cell>
        </row>
        <row r="17723">
          <cell r="C17723" t="str">
            <v>葉宏政</v>
          </cell>
          <cell r="F17723" t="str">
            <v>M240201R1</v>
          </cell>
          <cell r="J17723">
            <v>45884</v>
          </cell>
          <cell r="K17723">
            <v>1</v>
          </cell>
        </row>
        <row r="17724">
          <cell r="C17724" t="str">
            <v>葉宏政</v>
          </cell>
          <cell r="F17724" t="str">
            <v>M240804R1</v>
          </cell>
          <cell r="J17724">
            <v>45884</v>
          </cell>
          <cell r="K17724">
            <v>8</v>
          </cell>
        </row>
        <row r="17725">
          <cell r="C17725" t="str">
            <v>葉宏政</v>
          </cell>
          <cell r="J17725">
            <v>45887</v>
          </cell>
          <cell r="K17725">
            <v>1</v>
          </cell>
        </row>
        <row r="17726">
          <cell r="C17726" t="str">
            <v>葉宏政</v>
          </cell>
          <cell r="F17726" t="str">
            <v>M240804R1</v>
          </cell>
          <cell r="J17726">
            <v>45887</v>
          </cell>
          <cell r="K17726">
            <v>7.5</v>
          </cell>
        </row>
        <row r="17727">
          <cell r="C17727" t="str">
            <v>葉宏政</v>
          </cell>
          <cell r="F17727" t="str">
            <v>M230705P1</v>
          </cell>
          <cell r="J17727">
            <v>45888</v>
          </cell>
          <cell r="K17727">
            <v>2</v>
          </cell>
        </row>
        <row r="17728">
          <cell r="C17728" t="str">
            <v>葉宏政</v>
          </cell>
          <cell r="F17728" t="str">
            <v>M240804R1</v>
          </cell>
          <cell r="J17728">
            <v>45888</v>
          </cell>
          <cell r="K17728">
            <v>6</v>
          </cell>
        </row>
        <row r="17729">
          <cell r="C17729" t="str">
            <v>葉宏政</v>
          </cell>
          <cell r="F17729" t="str">
            <v>M250301C1</v>
          </cell>
          <cell r="J17729">
            <v>45888</v>
          </cell>
          <cell r="K17729">
            <v>1</v>
          </cell>
        </row>
        <row r="17730">
          <cell r="C17730" t="str">
            <v>葉宏政</v>
          </cell>
          <cell r="F17730" t="str">
            <v>M240804R1</v>
          </cell>
          <cell r="J17730">
            <v>45889</v>
          </cell>
          <cell r="K17730">
            <v>5.5</v>
          </cell>
        </row>
        <row r="17731">
          <cell r="C17731" t="str">
            <v>葉宏政</v>
          </cell>
          <cell r="F17731" t="str">
            <v>M250301C1</v>
          </cell>
          <cell r="J17731">
            <v>45889</v>
          </cell>
          <cell r="K17731">
            <v>3</v>
          </cell>
        </row>
        <row r="17732">
          <cell r="C17732" t="str">
            <v>葉宏政</v>
          </cell>
          <cell r="J17732">
            <v>45890</v>
          </cell>
          <cell r="K17732">
            <v>1.5</v>
          </cell>
        </row>
        <row r="17733">
          <cell r="C17733" t="str">
            <v>葉宏政</v>
          </cell>
          <cell r="F17733" t="str">
            <v>M240804R1</v>
          </cell>
          <cell r="J17733">
            <v>45890</v>
          </cell>
          <cell r="K17733">
            <v>6</v>
          </cell>
        </row>
        <row r="17734">
          <cell r="C17734" t="str">
            <v>葉宏政</v>
          </cell>
          <cell r="J17734">
            <v>45890</v>
          </cell>
          <cell r="K17734">
            <v>1</v>
          </cell>
        </row>
        <row r="17735">
          <cell r="C17735" t="str">
            <v>葉宏政</v>
          </cell>
          <cell r="F17735" t="str">
            <v>M240804R1</v>
          </cell>
          <cell r="J17735">
            <v>45891</v>
          </cell>
          <cell r="K17735">
            <v>8</v>
          </cell>
        </row>
        <row r="17736">
          <cell r="C17736" t="str">
            <v>葉宏政</v>
          </cell>
          <cell r="J17736">
            <v>45894</v>
          </cell>
          <cell r="K17736">
            <v>1</v>
          </cell>
        </row>
        <row r="17737">
          <cell r="C17737" t="str">
            <v>葉宏政</v>
          </cell>
          <cell r="F17737" t="str">
            <v>M240804R1</v>
          </cell>
          <cell r="J17737">
            <v>45894</v>
          </cell>
          <cell r="K17737">
            <v>8</v>
          </cell>
        </row>
        <row r="17738">
          <cell r="C17738" t="str">
            <v>葉宏政</v>
          </cell>
          <cell r="F17738" t="str">
            <v>M230705R1</v>
          </cell>
          <cell r="J17738">
            <v>45895</v>
          </cell>
          <cell r="K17738">
            <v>0.5</v>
          </cell>
        </row>
        <row r="17739">
          <cell r="C17739" t="str">
            <v>葉宏政</v>
          </cell>
          <cell r="J17739">
            <v>45895</v>
          </cell>
          <cell r="K17739">
            <v>0.5</v>
          </cell>
        </row>
        <row r="17740">
          <cell r="C17740" t="str">
            <v>葉宏政</v>
          </cell>
          <cell r="F17740" t="str">
            <v>M240201R1</v>
          </cell>
          <cell r="J17740">
            <v>45895</v>
          </cell>
          <cell r="K17740">
            <v>6.5</v>
          </cell>
        </row>
        <row r="17741">
          <cell r="C17741" t="str">
            <v>葉宏政</v>
          </cell>
          <cell r="F17741" t="str">
            <v>M240804R1</v>
          </cell>
          <cell r="J17741">
            <v>45895</v>
          </cell>
          <cell r="K17741">
            <v>1</v>
          </cell>
        </row>
        <row r="17742">
          <cell r="C17742" t="str">
            <v>葉宏政</v>
          </cell>
          <cell r="J17742">
            <v>45896</v>
          </cell>
          <cell r="K17742">
            <v>1.5</v>
          </cell>
        </row>
        <row r="17743">
          <cell r="C17743" t="str">
            <v>葉宏政</v>
          </cell>
          <cell r="F17743" t="str">
            <v>M230705P1</v>
          </cell>
          <cell r="J17743">
            <v>45896</v>
          </cell>
          <cell r="K17743">
            <v>5</v>
          </cell>
        </row>
        <row r="17744">
          <cell r="C17744" t="str">
            <v>葉宏政</v>
          </cell>
          <cell r="F17744" t="str">
            <v>M250301C1</v>
          </cell>
          <cell r="J17744">
            <v>45896</v>
          </cell>
          <cell r="K17744">
            <v>2</v>
          </cell>
        </row>
        <row r="17745">
          <cell r="C17745" t="str">
            <v>葉宏政</v>
          </cell>
          <cell r="F17745" t="str">
            <v>M240804R1</v>
          </cell>
          <cell r="J17745">
            <v>45897</v>
          </cell>
          <cell r="K17745">
            <v>4.5</v>
          </cell>
        </row>
        <row r="17746">
          <cell r="C17746" t="str">
            <v>葉宏政</v>
          </cell>
          <cell r="J17746">
            <v>45897</v>
          </cell>
          <cell r="K17746">
            <v>1</v>
          </cell>
        </row>
        <row r="17747">
          <cell r="C17747" t="str">
            <v>葉宏政</v>
          </cell>
          <cell r="J17747">
            <v>45897</v>
          </cell>
          <cell r="K17747">
            <v>2.5</v>
          </cell>
        </row>
        <row r="17748">
          <cell r="C17748" t="str">
            <v>葉宏政</v>
          </cell>
          <cell r="F17748" t="str">
            <v>M240804R1</v>
          </cell>
          <cell r="J17748">
            <v>45898</v>
          </cell>
          <cell r="K17748">
            <v>7</v>
          </cell>
        </row>
        <row r="17749">
          <cell r="C17749" t="str">
            <v>葉宏政</v>
          </cell>
          <cell r="F17749" t="str">
            <v>M240201R1</v>
          </cell>
          <cell r="J17749">
            <v>45898</v>
          </cell>
          <cell r="K17749">
            <v>1</v>
          </cell>
        </row>
        <row r="17750">
          <cell r="C17750" t="str">
            <v>葉宏政</v>
          </cell>
          <cell r="J17750">
            <v>45901</v>
          </cell>
          <cell r="K17750">
            <v>1.5</v>
          </cell>
        </row>
        <row r="17751">
          <cell r="C17751" t="str">
            <v>葉宏政</v>
          </cell>
          <cell r="F17751" t="str">
            <v>M240804R1</v>
          </cell>
          <cell r="J17751">
            <v>45901</v>
          </cell>
          <cell r="K17751">
            <v>2</v>
          </cell>
        </row>
        <row r="17752">
          <cell r="C17752" t="str">
            <v>葉宏政</v>
          </cell>
          <cell r="F17752" t="str">
            <v>M250301C1</v>
          </cell>
          <cell r="J17752">
            <v>45901</v>
          </cell>
          <cell r="K17752">
            <v>5.5</v>
          </cell>
        </row>
        <row r="17753">
          <cell r="C17753" t="str">
            <v>葉宏政</v>
          </cell>
          <cell r="F17753" t="str">
            <v>M250301C1</v>
          </cell>
          <cell r="J17753">
            <v>45902</v>
          </cell>
          <cell r="K17753">
            <v>1</v>
          </cell>
        </row>
        <row r="17754">
          <cell r="C17754" t="str">
            <v>葉宏政</v>
          </cell>
          <cell r="F17754" t="str">
            <v>M240804R1</v>
          </cell>
          <cell r="J17754">
            <v>45902</v>
          </cell>
          <cell r="K17754">
            <v>6.5</v>
          </cell>
        </row>
        <row r="17755">
          <cell r="C17755" t="str">
            <v>葉宏政</v>
          </cell>
          <cell r="F17755" t="str">
            <v>M230705P1</v>
          </cell>
          <cell r="J17755">
            <v>45902</v>
          </cell>
          <cell r="K17755">
            <v>1</v>
          </cell>
        </row>
        <row r="17756">
          <cell r="C17756" t="str">
            <v>葉宏政</v>
          </cell>
          <cell r="F17756" t="str">
            <v>M250301C1</v>
          </cell>
          <cell r="J17756">
            <v>45903</v>
          </cell>
          <cell r="K17756">
            <v>1.5</v>
          </cell>
        </row>
        <row r="17757">
          <cell r="C17757" t="str">
            <v>葉宏政</v>
          </cell>
          <cell r="F17757" t="str">
            <v>M240804R1</v>
          </cell>
          <cell r="J17757">
            <v>45903</v>
          </cell>
          <cell r="K17757">
            <v>6</v>
          </cell>
        </row>
        <row r="17758">
          <cell r="C17758" t="str">
            <v>葉宏政</v>
          </cell>
          <cell r="F17758" t="str">
            <v>M250301C1</v>
          </cell>
          <cell r="J17758">
            <v>45903</v>
          </cell>
          <cell r="K17758">
            <v>1</v>
          </cell>
        </row>
        <row r="17759">
          <cell r="C17759" t="str">
            <v>葉宏政</v>
          </cell>
          <cell r="F17759" t="str">
            <v>M250301C1</v>
          </cell>
          <cell r="J17759">
            <v>45904</v>
          </cell>
          <cell r="K17759">
            <v>6</v>
          </cell>
        </row>
        <row r="17760">
          <cell r="C17760" t="str">
            <v>葉宏政</v>
          </cell>
          <cell r="F17760" t="str">
            <v>M250301R1</v>
          </cell>
          <cell r="J17760">
            <v>45904</v>
          </cell>
          <cell r="K17760">
            <v>2</v>
          </cell>
        </row>
        <row r="17761">
          <cell r="C17761" t="str">
            <v>葉宏政</v>
          </cell>
          <cell r="F17761" t="str">
            <v>M240201R1</v>
          </cell>
          <cell r="J17761">
            <v>45904</v>
          </cell>
          <cell r="K17761">
            <v>1</v>
          </cell>
        </row>
        <row r="17762">
          <cell r="C17762" t="str">
            <v>葉宏政</v>
          </cell>
          <cell r="F17762" t="str">
            <v>M250901R1</v>
          </cell>
          <cell r="J17762">
            <v>45905</v>
          </cell>
          <cell r="K17762">
            <v>6</v>
          </cell>
        </row>
        <row r="17763">
          <cell r="C17763" t="str">
            <v>葉宏政</v>
          </cell>
          <cell r="F17763" t="str">
            <v>M240804R1</v>
          </cell>
          <cell r="J17763">
            <v>45905</v>
          </cell>
          <cell r="K17763">
            <v>1.5</v>
          </cell>
        </row>
        <row r="17764">
          <cell r="C17764" t="str">
            <v>葉宏政</v>
          </cell>
          <cell r="F17764" t="str">
            <v>M250301C1</v>
          </cell>
          <cell r="J17764">
            <v>45905</v>
          </cell>
          <cell r="K17764">
            <v>0.5</v>
          </cell>
        </row>
        <row r="17765">
          <cell r="C17765" t="str">
            <v>葉宏政</v>
          </cell>
          <cell r="J17765">
            <v>45908</v>
          </cell>
          <cell r="K17765">
            <v>1</v>
          </cell>
        </row>
        <row r="17766">
          <cell r="C17766" t="str">
            <v>葉宏政</v>
          </cell>
          <cell r="F17766" t="str">
            <v>M250301C1</v>
          </cell>
          <cell r="J17766">
            <v>45908</v>
          </cell>
          <cell r="K17766">
            <v>2</v>
          </cell>
        </row>
        <row r="17767">
          <cell r="C17767" t="str">
            <v>葉宏政</v>
          </cell>
          <cell r="F17767" t="str">
            <v>M240804R1</v>
          </cell>
          <cell r="J17767">
            <v>45908</v>
          </cell>
          <cell r="K17767">
            <v>6</v>
          </cell>
        </row>
        <row r="17768">
          <cell r="C17768" t="str">
            <v>葉宏政</v>
          </cell>
          <cell r="F17768" t="str">
            <v>M240804R1</v>
          </cell>
          <cell r="J17768">
            <v>45909</v>
          </cell>
          <cell r="K17768">
            <v>5.5</v>
          </cell>
        </row>
        <row r="17769">
          <cell r="C17769" t="str">
            <v>葉宏政</v>
          </cell>
          <cell r="F17769" t="str">
            <v>M250301C1</v>
          </cell>
          <cell r="J17769">
            <v>45909</v>
          </cell>
          <cell r="K17769">
            <v>1.5</v>
          </cell>
        </row>
        <row r="17770">
          <cell r="C17770" t="str">
            <v>葉宏政</v>
          </cell>
          <cell r="F17770" t="str">
            <v>M250301C1</v>
          </cell>
          <cell r="J17770">
            <v>45909</v>
          </cell>
          <cell r="K17770">
            <v>2</v>
          </cell>
        </row>
        <row r="17771">
          <cell r="C17771" t="str">
            <v>葉宏政</v>
          </cell>
          <cell r="J17771">
            <v>45910</v>
          </cell>
          <cell r="K17771">
            <v>1</v>
          </cell>
        </row>
        <row r="17772">
          <cell r="C17772" t="str">
            <v>葉宏政</v>
          </cell>
          <cell r="F17772" t="str">
            <v>M240804R1</v>
          </cell>
          <cell r="J17772">
            <v>45910</v>
          </cell>
          <cell r="K17772">
            <v>4</v>
          </cell>
        </row>
        <row r="17773">
          <cell r="C17773" t="str">
            <v>葉宏政</v>
          </cell>
          <cell r="F17773" t="str">
            <v>M250301C1</v>
          </cell>
          <cell r="J17773">
            <v>45910</v>
          </cell>
          <cell r="K17773">
            <v>4</v>
          </cell>
        </row>
        <row r="17774">
          <cell r="C17774" t="str">
            <v>葉宏政</v>
          </cell>
          <cell r="F17774" t="str">
            <v>M240804R1</v>
          </cell>
          <cell r="J17774">
            <v>45911</v>
          </cell>
          <cell r="K17774">
            <v>4</v>
          </cell>
        </row>
        <row r="17775">
          <cell r="C17775" t="str">
            <v>葉宏政</v>
          </cell>
          <cell r="F17775" t="str">
            <v>M250301C1</v>
          </cell>
          <cell r="J17775">
            <v>45911</v>
          </cell>
          <cell r="K17775">
            <v>4.5</v>
          </cell>
        </row>
        <row r="17776">
          <cell r="C17776" t="str">
            <v>葉宏政</v>
          </cell>
          <cell r="F17776" t="str">
            <v>M240804R1</v>
          </cell>
          <cell r="J17776">
            <v>45912</v>
          </cell>
          <cell r="K17776">
            <v>4</v>
          </cell>
        </row>
        <row r="17777">
          <cell r="C17777" t="str">
            <v>葉宏政</v>
          </cell>
          <cell r="F17777" t="str">
            <v>M250301C1</v>
          </cell>
          <cell r="J17777">
            <v>45912</v>
          </cell>
          <cell r="K17777">
            <v>4.5</v>
          </cell>
        </row>
        <row r="17778">
          <cell r="C17778" t="str">
            <v>葉宏政</v>
          </cell>
          <cell r="F17778" t="str">
            <v>M240804R1</v>
          </cell>
          <cell r="J17778">
            <v>45915</v>
          </cell>
          <cell r="K17778">
            <v>4</v>
          </cell>
        </row>
        <row r="17779">
          <cell r="C17779" t="str">
            <v>葉宏政</v>
          </cell>
          <cell r="F17779" t="str">
            <v>M250301C1</v>
          </cell>
          <cell r="J17779">
            <v>45915</v>
          </cell>
          <cell r="K17779">
            <v>1</v>
          </cell>
        </row>
        <row r="17780">
          <cell r="C17780" t="str">
            <v>葉宏政</v>
          </cell>
          <cell r="F17780" t="str">
            <v>M250301C1</v>
          </cell>
          <cell r="J17780">
            <v>45915</v>
          </cell>
          <cell r="K17780">
            <v>3.5</v>
          </cell>
        </row>
        <row r="17781">
          <cell r="C17781" t="str">
            <v>葉宏政</v>
          </cell>
          <cell r="F17781" t="str">
            <v>M250301C1</v>
          </cell>
          <cell r="J17781">
            <v>45916</v>
          </cell>
          <cell r="K17781">
            <v>9.5</v>
          </cell>
        </row>
        <row r="17782">
          <cell r="C17782" t="str">
            <v>葉宏政</v>
          </cell>
          <cell r="F17782" t="str">
            <v>M240804R1</v>
          </cell>
          <cell r="J17782">
            <v>45917</v>
          </cell>
          <cell r="K17782">
            <v>3</v>
          </cell>
        </row>
        <row r="17783">
          <cell r="C17783" t="str">
            <v>葉宏政</v>
          </cell>
          <cell r="F17783" t="str">
            <v>M250301C1</v>
          </cell>
          <cell r="J17783">
            <v>45917</v>
          </cell>
          <cell r="K17783">
            <v>5</v>
          </cell>
        </row>
        <row r="17784">
          <cell r="C17784" t="str">
            <v>葉宏政</v>
          </cell>
          <cell r="J17784">
            <v>45918</v>
          </cell>
          <cell r="K17784">
            <v>1</v>
          </cell>
        </row>
        <row r="17785">
          <cell r="C17785" t="str">
            <v>葉宏政</v>
          </cell>
          <cell r="F17785" t="str">
            <v>M230705P1</v>
          </cell>
          <cell r="J17785">
            <v>45918</v>
          </cell>
          <cell r="K17785">
            <v>3.5</v>
          </cell>
        </row>
        <row r="17786">
          <cell r="C17786" t="str">
            <v>葉宏政</v>
          </cell>
          <cell r="F17786" t="str">
            <v>M240804R1</v>
          </cell>
          <cell r="J17786">
            <v>45918</v>
          </cell>
          <cell r="K17786">
            <v>1</v>
          </cell>
        </row>
        <row r="17787">
          <cell r="C17787" t="str">
            <v>葉宏政</v>
          </cell>
          <cell r="F17787" t="str">
            <v>M250301C1</v>
          </cell>
          <cell r="J17787">
            <v>45918</v>
          </cell>
          <cell r="K17787">
            <v>3</v>
          </cell>
        </row>
        <row r="17788">
          <cell r="C17788" t="str">
            <v>葉宏政</v>
          </cell>
          <cell r="F17788" t="str">
            <v>M240201R1</v>
          </cell>
          <cell r="J17788">
            <v>45919</v>
          </cell>
          <cell r="K17788">
            <v>1</v>
          </cell>
        </row>
        <row r="17789">
          <cell r="C17789" t="str">
            <v>葉宏政</v>
          </cell>
          <cell r="F17789" t="str">
            <v>M230705P1</v>
          </cell>
          <cell r="J17789">
            <v>45919</v>
          </cell>
          <cell r="K17789">
            <v>4</v>
          </cell>
        </row>
        <row r="17790">
          <cell r="C17790" t="str">
            <v>葉宏政</v>
          </cell>
          <cell r="F17790" t="str">
            <v>M240804R1</v>
          </cell>
          <cell r="J17790">
            <v>45919</v>
          </cell>
          <cell r="K17790">
            <v>3.5</v>
          </cell>
        </row>
        <row r="17791">
          <cell r="C17791" t="str">
            <v>葉宏政</v>
          </cell>
          <cell r="J17791">
            <v>45922</v>
          </cell>
          <cell r="K17791">
            <v>1</v>
          </cell>
        </row>
        <row r="17792">
          <cell r="C17792" t="str">
            <v>葉宏政</v>
          </cell>
          <cell r="F17792" t="str">
            <v>M240804R1</v>
          </cell>
          <cell r="J17792">
            <v>45922</v>
          </cell>
          <cell r="K17792">
            <v>8</v>
          </cell>
        </row>
        <row r="17793">
          <cell r="C17793" t="str">
            <v>葉宏政</v>
          </cell>
          <cell r="F17793" t="str">
            <v>M230705P1</v>
          </cell>
          <cell r="J17793">
            <v>45923</v>
          </cell>
          <cell r="K17793">
            <v>6.5</v>
          </cell>
        </row>
        <row r="17794">
          <cell r="C17794" t="str">
            <v>葉宏政</v>
          </cell>
          <cell r="F17794" t="str">
            <v>M250301C1</v>
          </cell>
          <cell r="J17794">
            <v>45923</v>
          </cell>
          <cell r="K17794">
            <v>3</v>
          </cell>
        </row>
        <row r="17795">
          <cell r="C17795" t="str">
            <v>葉宏政</v>
          </cell>
          <cell r="F17795" t="str">
            <v>M230705P1</v>
          </cell>
          <cell r="J17795">
            <v>45924</v>
          </cell>
          <cell r="K17795">
            <v>8</v>
          </cell>
        </row>
        <row r="17796">
          <cell r="C17796" t="str">
            <v>葉宏政</v>
          </cell>
          <cell r="F17796" t="str">
            <v>M250301C1</v>
          </cell>
          <cell r="J17796">
            <v>45924</v>
          </cell>
          <cell r="K17796">
            <v>0.5</v>
          </cell>
        </row>
        <row r="17797">
          <cell r="C17797" t="str">
            <v>葉宏政</v>
          </cell>
          <cell r="J17797">
            <v>45925</v>
          </cell>
          <cell r="K17797">
            <v>8</v>
          </cell>
        </row>
        <row r="17798">
          <cell r="C17798" t="str">
            <v>葉宏政</v>
          </cell>
          <cell r="J17798">
            <v>45926</v>
          </cell>
          <cell r="K17798">
            <v>1.5</v>
          </cell>
        </row>
        <row r="17799">
          <cell r="C17799" t="str">
            <v>葉宏政</v>
          </cell>
          <cell r="F17799" t="str">
            <v>M230705P1</v>
          </cell>
          <cell r="J17799">
            <v>45926</v>
          </cell>
          <cell r="K17799">
            <v>7</v>
          </cell>
        </row>
        <row r="17800">
          <cell r="C17800" t="str">
            <v>葉宏政</v>
          </cell>
          <cell r="J17800">
            <v>45930</v>
          </cell>
          <cell r="K17800">
            <v>1</v>
          </cell>
        </row>
        <row r="17801">
          <cell r="C17801" t="str">
            <v>葉宏政</v>
          </cell>
          <cell r="F17801" t="str">
            <v>M240804R1</v>
          </cell>
          <cell r="J17801">
            <v>45930</v>
          </cell>
          <cell r="K17801">
            <v>1</v>
          </cell>
        </row>
        <row r="17802">
          <cell r="C17802" t="str">
            <v>葉宏政</v>
          </cell>
          <cell r="F17802" t="str">
            <v>M230705P1</v>
          </cell>
          <cell r="J17802">
            <v>45930</v>
          </cell>
          <cell r="K17802">
            <v>6.5</v>
          </cell>
        </row>
        <row r="17803">
          <cell r="C17803" t="str">
            <v>葉宏政</v>
          </cell>
          <cell r="J17803">
            <v>45931</v>
          </cell>
          <cell r="K17803">
            <v>5</v>
          </cell>
        </row>
        <row r="17804">
          <cell r="C17804" t="str">
            <v>葉宏政</v>
          </cell>
          <cell r="F17804" t="str">
            <v>M230705P1</v>
          </cell>
          <cell r="J17804">
            <v>45931</v>
          </cell>
          <cell r="K17804">
            <v>3</v>
          </cell>
        </row>
        <row r="17805">
          <cell r="C17805" t="str">
            <v>葉宏政</v>
          </cell>
          <cell r="F17805" t="str">
            <v>M230705P1</v>
          </cell>
          <cell r="J17805">
            <v>45932</v>
          </cell>
          <cell r="K17805">
            <v>5</v>
          </cell>
        </row>
        <row r="17806">
          <cell r="C17806" t="str">
            <v>葉宏政</v>
          </cell>
          <cell r="F17806" t="str">
            <v>M250301C1</v>
          </cell>
          <cell r="J17806">
            <v>45932</v>
          </cell>
          <cell r="K17806">
            <v>3</v>
          </cell>
        </row>
        <row r="17807">
          <cell r="C17807" t="str">
            <v>葉宏政</v>
          </cell>
          <cell r="F17807" t="str">
            <v>M240804R1</v>
          </cell>
          <cell r="J17807">
            <v>45932</v>
          </cell>
          <cell r="K17807">
            <v>0.5</v>
          </cell>
        </row>
        <row r="17808">
          <cell r="C17808" t="str">
            <v>葉宏政</v>
          </cell>
          <cell r="J17808">
            <v>45933</v>
          </cell>
          <cell r="K17808">
            <v>1</v>
          </cell>
        </row>
        <row r="17809">
          <cell r="C17809" t="str">
            <v>葉宏政</v>
          </cell>
          <cell r="F17809" t="str">
            <v>M230705P1</v>
          </cell>
          <cell r="J17809">
            <v>45933</v>
          </cell>
          <cell r="K17809">
            <v>1</v>
          </cell>
        </row>
        <row r="17810">
          <cell r="C17810" t="str">
            <v>葉宏政</v>
          </cell>
          <cell r="F17810" t="str">
            <v>M240804R1</v>
          </cell>
          <cell r="J17810">
            <v>45933</v>
          </cell>
          <cell r="K17810">
            <v>4</v>
          </cell>
        </row>
        <row r="17811">
          <cell r="C17811" t="str">
            <v>葉宏政</v>
          </cell>
          <cell r="F17811" t="str">
            <v>M250301C1</v>
          </cell>
          <cell r="J17811">
            <v>45933</v>
          </cell>
          <cell r="K17811">
            <v>2</v>
          </cell>
        </row>
        <row r="17812">
          <cell r="C17812" t="str">
            <v>葉宏政</v>
          </cell>
          <cell r="F17812" t="str">
            <v>M250301R1</v>
          </cell>
          <cell r="J17812">
            <v>45937</v>
          </cell>
          <cell r="K17812">
            <v>1</v>
          </cell>
        </row>
        <row r="17813">
          <cell r="C17813" t="str">
            <v>葉宏政</v>
          </cell>
          <cell r="F17813" t="str">
            <v>M240804R1</v>
          </cell>
          <cell r="J17813">
            <v>45937</v>
          </cell>
          <cell r="K17813">
            <v>4.5</v>
          </cell>
        </row>
        <row r="17814">
          <cell r="C17814" t="str">
            <v>葉宏政</v>
          </cell>
          <cell r="F17814" t="str">
            <v>M250301C1</v>
          </cell>
          <cell r="J17814">
            <v>45937</v>
          </cell>
          <cell r="K17814">
            <v>3.5</v>
          </cell>
        </row>
        <row r="17815">
          <cell r="C17815" t="str">
            <v>葉宏政</v>
          </cell>
          <cell r="J17815">
            <v>45938</v>
          </cell>
          <cell r="K17815">
            <v>1</v>
          </cell>
        </row>
        <row r="17816">
          <cell r="C17816" t="str">
            <v>葉宏政</v>
          </cell>
          <cell r="F17816" t="str">
            <v>M230705P1</v>
          </cell>
          <cell r="J17816">
            <v>45938</v>
          </cell>
          <cell r="K17816">
            <v>1.5</v>
          </cell>
        </row>
        <row r="17817">
          <cell r="C17817" t="str">
            <v>葉宏政</v>
          </cell>
          <cell r="F17817" t="str">
            <v>M240804R1</v>
          </cell>
          <cell r="J17817">
            <v>45938</v>
          </cell>
          <cell r="K17817">
            <v>2.5</v>
          </cell>
        </row>
        <row r="17818">
          <cell r="C17818" t="str">
            <v>葉宏政</v>
          </cell>
          <cell r="F17818" t="str">
            <v>M250301C1</v>
          </cell>
          <cell r="J17818">
            <v>45938</v>
          </cell>
          <cell r="K17818">
            <v>4</v>
          </cell>
        </row>
        <row r="17819">
          <cell r="C17819" t="str">
            <v>葉宏政</v>
          </cell>
          <cell r="F17819" t="str">
            <v>M250301C1</v>
          </cell>
          <cell r="J17819">
            <v>45939</v>
          </cell>
          <cell r="K17819">
            <v>1</v>
          </cell>
        </row>
        <row r="17820">
          <cell r="C17820" t="str">
            <v>葉宏政</v>
          </cell>
          <cell r="F17820" t="str">
            <v>M230705P1</v>
          </cell>
          <cell r="J17820">
            <v>45939</v>
          </cell>
          <cell r="K17820">
            <v>2</v>
          </cell>
        </row>
        <row r="17821">
          <cell r="C17821" t="str">
            <v>葉宏政</v>
          </cell>
          <cell r="F17821" t="str">
            <v>M250301C1</v>
          </cell>
          <cell r="J17821">
            <v>45939</v>
          </cell>
          <cell r="K17821">
            <v>5</v>
          </cell>
        </row>
        <row r="17822">
          <cell r="C17822" t="str">
            <v>葉宏政</v>
          </cell>
          <cell r="F17822" t="str">
            <v>M250301R1</v>
          </cell>
          <cell r="J17822">
            <v>45943</v>
          </cell>
          <cell r="K17822">
            <v>1</v>
          </cell>
        </row>
        <row r="17823">
          <cell r="C17823" t="str">
            <v>葉宏政</v>
          </cell>
          <cell r="F17823" t="str">
            <v>M240804R1</v>
          </cell>
          <cell r="J17823">
            <v>45943</v>
          </cell>
          <cell r="K17823">
            <v>4.5</v>
          </cell>
        </row>
        <row r="17824">
          <cell r="C17824" t="str">
            <v>葉宏政</v>
          </cell>
          <cell r="F17824" t="str">
            <v>M250301C1</v>
          </cell>
          <cell r="J17824">
            <v>45943</v>
          </cell>
          <cell r="K17824">
            <v>3</v>
          </cell>
        </row>
        <row r="17825">
          <cell r="C17825" t="str">
            <v>葉宏政</v>
          </cell>
          <cell r="J17825">
            <v>45944</v>
          </cell>
          <cell r="K17825">
            <v>8</v>
          </cell>
        </row>
        <row r="17826">
          <cell r="C17826" t="str">
            <v>葉宏政</v>
          </cell>
          <cell r="F17826" t="str">
            <v>M240201R1</v>
          </cell>
          <cell r="J17826">
            <v>45944</v>
          </cell>
          <cell r="K17826">
            <v>1</v>
          </cell>
        </row>
        <row r="17827">
          <cell r="C17827" t="str">
            <v>葉宏政</v>
          </cell>
          <cell r="F17827" t="str">
            <v>M240201R1</v>
          </cell>
          <cell r="J17827">
            <v>45945</v>
          </cell>
          <cell r="K17827">
            <v>1</v>
          </cell>
        </row>
        <row r="17828">
          <cell r="C17828" t="str">
            <v>葉宏政</v>
          </cell>
          <cell r="F17828" t="str">
            <v>M250301C1</v>
          </cell>
          <cell r="J17828">
            <v>45945</v>
          </cell>
          <cell r="K17828">
            <v>7.5</v>
          </cell>
        </row>
        <row r="17829">
          <cell r="C17829" t="str">
            <v>葉宏政</v>
          </cell>
          <cell r="J17829">
            <v>45946</v>
          </cell>
          <cell r="K17829">
            <v>1</v>
          </cell>
        </row>
        <row r="17830">
          <cell r="C17830" t="str">
            <v>葉宏政</v>
          </cell>
          <cell r="F17830" t="str">
            <v>M230705P1</v>
          </cell>
          <cell r="J17830">
            <v>45946</v>
          </cell>
          <cell r="K17830">
            <v>2.5</v>
          </cell>
        </row>
        <row r="17831">
          <cell r="C17831" t="str">
            <v>葉宏政</v>
          </cell>
          <cell r="F17831" t="str">
            <v>M250301C1</v>
          </cell>
          <cell r="J17831">
            <v>45946</v>
          </cell>
          <cell r="K17831">
            <v>5</v>
          </cell>
        </row>
        <row r="17832">
          <cell r="C17832" t="str">
            <v>葉宏政</v>
          </cell>
          <cell r="J17832">
            <v>45947</v>
          </cell>
          <cell r="K17832">
            <v>3.5</v>
          </cell>
        </row>
        <row r="17833">
          <cell r="C17833" t="str">
            <v>葉宏政</v>
          </cell>
          <cell r="F17833" t="str">
            <v>M250301C1</v>
          </cell>
          <cell r="J17833">
            <v>45947</v>
          </cell>
          <cell r="K17833">
            <v>4</v>
          </cell>
        </row>
        <row r="17834">
          <cell r="C17834" t="str">
            <v>葉宏政</v>
          </cell>
          <cell r="F17834" t="str">
            <v>M230705P1</v>
          </cell>
          <cell r="J17834">
            <v>45947</v>
          </cell>
          <cell r="K17834">
            <v>1</v>
          </cell>
        </row>
        <row r="17835">
          <cell r="C17835" t="str">
            <v>葉宏政</v>
          </cell>
          <cell r="F17835" t="str">
            <v>M250301C1</v>
          </cell>
          <cell r="J17835">
            <v>45950</v>
          </cell>
          <cell r="K17835">
            <v>1</v>
          </cell>
        </row>
        <row r="17836">
          <cell r="C17836" t="str">
            <v>葉宏政</v>
          </cell>
          <cell r="F17836" t="str">
            <v>M240804R1</v>
          </cell>
          <cell r="J17836">
            <v>45950</v>
          </cell>
          <cell r="K17836">
            <v>2</v>
          </cell>
        </row>
        <row r="17837">
          <cell r="C17837" t="str">
            <v>葉宏政</v>
          </cell>
          <cell r="F17837" t="str">
            <v>M240804R1</v>
          </cell>
          <cell r="J17837">
            <v>45950</v>
          </cell>
          <cell r="K17837">
            <v>1</v>
          </cell>
        </row>
        <row r="17838">
          <cell r="C17838" t="str">
            <v>葉宏政</v>
          </cell>
          <cell r="F17838" t="str">
            <v>M250301C1</v>
          </cell>
          <cell r="J17838">
            <v>45950</v>
          </cell>
          <cell r="K17838">
            <v>5</v>
          </cell>
        </row>
        <row r="17839">
          <cell r="C17839" t="str">
            <v>葉宏政</v>
          </cell>
          <cell r="F17839" t="str">
            <v>M230705P1</v>
          </cell>
          <cell r="J17839">
            <v>45951</v>
          </cell>
          <cell r="K17839">
            <v>1</v>
          </cell>
        </row>
        <row r="17840">
          <cell r="C17840" t="str">
            <v>葉宏政</v>
          </cell>
          <cell r="F17840" t="str">
            <v>M240804R1</v>
          </cell>
          <cell r="J17840">
            <v>45951</v>
          </cell>
          <cell r="K17840">
            <v>2</v>
          </cell>
        </row>
        <row r="17841">
          <cell r="C17841" t="str">
            <v>葉宏政</v>
          </cell>
          <cell r="F17841" t="str">
            <v>M250301C1</v>
          </cell>
          <cell r="J17841">
            <v>45951</v>
          </cell>
          <cell r="K17841">
            <v>6</v>
          </cell>
        </row>
        <row r="17842">
          <cell r="C17842" t="str">
            <v>葉宏政</v>
          </cell>
          <cell r="F17842" t="str">
            <v>M240804R1</v>
          </cell>
          <cell r="J17842">
            <v>45952</v>
          </cell>
          <cell r="K17842">
            <v>2</v>
          </cell>
        </row>
        <row r="17843">
          <cell r="C17843" t="str">
            <v>葉宏政</v>
          </cell>
          <cell r="F17843" t="str">
            <v>M250301C1</v>
          </cell>
          <cell r="J17843">
            <v>45952</v>
          </cell>
          <cell r="K17843">
            <v>7</v>
          </cell>
        </row>
        <row r="17844">
          <cell r="C17844" t="str">
            <v>葉宏政</v>
          </cell>
          <cell r="J17844">
            <v>45953</v>
          </cell>
          <cell r="K17844">
            <v>1</v>
          </cell>
        </row>
        <row r="17845">
          <cell r="C17845" t="str">
            <v>葉宏政</v>
          </cell>
          <cell r="F17845" t="str">
            <v>M240804R1</v>
          </cell>
          <cell r="J17845">
            <v>45953</v>
          </cell>
          <cell r="K17845">
            <v>5.5</v>
          </cell>
        </row>
        <row r="17846">
          <cell r="C17846" t="str">
            <v>葉宏政</v>
          </cell>
          <cell r="F17846" t="str">
            <v>M250301C1</v>
          </cell>
          <cell r="J17846">
            <v>45953</v>
          </cell>
          <cell r="K17846">
            <v>2</v>
          </cell>
        </row>
        <row r="17847">
          <cell r="C17847" t="str">
            <v>葉宏政</v>
          </cell>
          <cell r="F17847" t="str">
            <v>M240804R1</v>
          </cell>
          <cell r="J17847">
            <v>45957</v>
          </cell>
          <cell r="K17847">
            <v>0.5</v>
          </cell>
        </row>
        <row r="17848">
          <cell r="C17848" t="str">
            <v>葉宏政</v>
          </cell>
          <cell r="F17848" t="str">
            <v>M230705P1</v>
          </cell>
          <cell r="J17848">
            <v>45957</v>
          </cell>
          <cell r="K17848">
            <v>2</v>
          </cell>
        </row>
        <row r="17849">
          <cell r="C17849" t="str">
            <v>葉宏政</v>
          </cell>
          <cell r="F17849" t="str">
            <v>M240804R1</v>
          </cell>
          <cell r="J17849">
            <v>45957</v>
          </cell>
          <cell r="K17849">
            <v>6.5</v>
          </cell>
        </row>
        <row r="17850">
          <cell r="C17850" t="str">
            <v>葉宏政</v>
          </cell>
          <cell r="F17850" t="str">
            <v>M240804R1</v>
          </cell>
          <cell r="J17850">
            <v>45958</v>
          </cell>
          <cell r="K17850">
            <v>1.5</v>
          </cell>
        </row>
        <row r="17851">
          <cell r="C17851" t="str">
            <v>葉宏政</v>
          </cell>
          <cell r="F17851" t="str">
            <v>M240804R1</v>
          </cell>
          <cell r="J17851">
            <v>45958</v>
          </cell>
          <cell r="K17851">
            <v>7</v>
          </cell>
        </row>
        <row r="17852">
          <cell r="C17852" t="str">
            <v>葉宏政</v>
          </cell>
          <cell r="F17852" t="str">
            <v>M230705P1</v>
          </cell>
          <cell r="J17852">
            <v>45959</v>
          </cell>
          <cell r="K17852">
            <v>6</v>
          </cell>
        </row>
        <row r="17853">
          <cell r="C17853" t="str">
            <v>葉宏政</v>
          </cell>
          <cell r="F17853" t="str">
            <v>M250301C1</v>
          </cell>
          <cell r="J17853">
            <v>45959</v>
          </cell>
          <cell r="K17853">
            <v>2.5</v>
          </cell>
        </row>
        <row r="17854">
          <cell r="C17854" t="str">
            <v>葉宏政</v>
          </cell>
          <cell r="J17854">
            <v>45960</v>
          </cell>
          <cell r="K17854">
            <v>1</v>
          </cell>
        </row>
        <row r="17855">
          <cell r="C17855" t="str">
            <v>葉宏政</v>
          </cell>
          <cell r="J17855">
            <v>45960</v>
          </cell>
          <cell r="K17855">
            <v>5</v>
          </cell>
        </row>
        <row r="17856">
          <cell r="C17856" t="str">
            <v>葉宏政</v>
          </cell>
          <cell r="F17856" t="str">
            <v>M230705P1</v>
          </cell>
          <cell r="J17856">
            <v>45960</v>
          </cell>
          <cell r="K17856">
            <v>1</v>
          </cell>
        </row>
        <row r="17857">
          <cell r="C17857" t="str">
            <v>葉宏政</v>
          </cell>
          <cell r="F17857" t="str">
            <v>M240804R1</v>
          </cell>
          <cell r="J17857">
            <v>45960</v>
          </cell>
          <cell r="K17857">
            <v>0.5</v>
          </cell>
        </row>
        <row r="17858">
          <cell r="C17858" t="str">
            <v>葉宏政</v>
          </cell>
          <cell r="F17858" t="str">
            <v>M250301C1</v>
          </cell>
          <cell r="J17858">
            <v>45960</v>
          </cell>
          <cell r="K17858">
            <v>1</v>
          </cell>
        </row>
        <row r="17859">
          <cell r="C17859" t="str">
            <v>葉宏政</v>
          </cell>
          <cell r="F17859" t="str">
            <v>M240804R1</v>
          </cell>
          <cell r="J17859">
            <v>45961</v>
          </cell>
          <cell r="K17859">
            <v>1</v>
          </cell>
        </row>
        <row r="17860">
          <cell r="C17860" t="str">
            <v>葉宏政</v>
          </cell>
          <cell r="F17860" t="str">
            <v>M250301C1</v>
          </cell>
          <cell r="J17860">
            <v>45961</v>
          </cell>
          <cell r="K17860">
            <v>6</v>
          </cell>
        </row>
        <row r="17861">
          <cell r="C17861" t="str">
            <v>葉宏政</v>
          </cell>
          <cell r="F17861" t="str">
            <v>M250301R1</v>
          </cell>
          <cell r="J17861">
            <v>45961</v>
          </cell>
          <cell r="K17861">
            <v>1</v>
          </cell>
        </row>
        <row r="17862">
          <cell r="C17862" t="str">
            <v>葉宏政</v>
          </cell>
          <cell r="F17862" t="str">
            <v>M240804R1</v>
          </cell>
          <cell r="J17862">
            <v>45964</v>
          </cell>
          <cell r="K17862">
            <v>3</v>
          </cell>
        </row>
        <row r="17863">
          <cell r="C17863" t="str">
            <v>葉宏政</v>
          </cell>
          <cell r="F17863" t="str">
            <v>M250301C1</v>
          </cell>
          <cell r="J17863">
            <v>45964</v>
          </cell>
          <cell r="K17863">
            <v>1</v>
          </cell>
        </row>
        <row r="17864">
          <cell r="C17864" t="str">
            <v>葉宏政</v>
          </cell>
          <cell r="F17864" t="str">
            <v>M250301R1</v>
          </cell>
          <cell r="J17864">
            <v>45964</v>
          </cell>
          <cell r="K17864">
            <v>4.5</v>
          </cell>
        </row>
        <row r="17865">
          <cell r="C17865" t="str">
            <v>葉宏政</v>
          </cell>
          <cell r="F17865" t="str">
            <v>M240804R1</v>
          </cell>
          <cell r="J17865">
            <v>45965</v>
          </cell>
          <cell r="K17865">
            <v>5.5</v>
          </cell>
        </row>
        <row r="17866">
          <cell r="C17866" t="str">
            <v>葉宏政</v>
          </cell>
          <cell r="F17866" t="str">
            <v>M250301C1</v>
          </cell>
          <cell r="J17866">
            <v>45965</v>
          </cell>
          <cell r="K17866">
            <v>1</v>
          </cell>
        </row>
        <row r="17867">
          <cell r="C17867" t="str">
            <v>葉宏政</v>
          </cell>
          <cell r="F17867" t="str">
            <v>M250301R1</v>
          </cell>
          <cell r="J17867">
            <v>45965</v>
          </cell>
          <cell r="K17867">
            <v>2</v>
          </cell>
        </row>
        <row r="17868">
          <cell r="C17868" t="str">
            <v>葉宏政</v>
          </cell>
          <cell r="F17868" t="str">
            <v>M230705P1</v>
          </cell>
          <cell r="J17868">
            <v>45966</v>
          </cell>
          <cell r="K17868">
            <v>2</v>
          </cell>
        </row>
        <row r="17869">
          <cell r="C17869" t="str">
            <v>葉宏政</v>
          </cell>
          <cell r="F17869" t="str">
            <v>M240804R1</v>
          </cell>
          <cell r="J17869">
            <v>45966</v>
          </cell>
          <cell r="K17869">
            <v>1</v>
          </cell>
        </row>
        <row r="17870">
          <cell r="C17870" t="str">
            <v>葉宏政</v>
          </cell>
          <cell r="F17870" t="str">
            <v>K250501R1</v>
          </cell>
          <cell r="J17870">
            <v>45966</v>
          </cell>
          <cell r="K17870">
            <v>4.5</v>
          </cell>
        </row>
        <row r="17871">
          <cell r="C17871" t="str">
            <v>葉宏政</v>
          </cell>
          <cell r="F17871" t="str">
            <v>M250301C1</v>
          </cell>
          <cell r="J17871">
            <v>45966</v>
          </cell>
          <cell r="K17871">
            <v>2</v>
          </cell>
        </row>
        <row r="17872">
          <cell r="C17872" t="str">
            <v>葉宏政</v>
          </cell>
          <cell r="J17872">
            <v>45967</v>
          </cell>
          <cell r="K17872">
            <v>1</v>
          </cell>
        </row>
        <row r="17873">
          <cell r="C17873" t="str">
            <v>葉宏政</v>
          </cell>
          <cell r="F17873" t="str">
            <v>M240804R1</v>
          </cell>
          <cell r="J17873">
            <v>45967</v>
          </cell>
          <cell r="K17873">
            <v>1</v>
          </cell>
        </row>
        <row r="17874">
          <cell r="C17874" t="str">
            <v>葉宏政</v>
          </cell>
          <cell r="F17874" t="str">
            <v>K250501R1</v>
          </cell>
          <cell r="J17874">
            <v>45967</v>
          </cell>
          <cell r="K17874">
            <v>4.5</v>
          </cell>
        </row>
        <row r="17875">
          <cell r="C17875" t="str">
            <v>葉宏政</v>
          </cell>
          <cell r="F17875" t="str">
            <v>M250301C1</v>
          </cell>
          <cell r="J17875">
            <v>45967</v>
          </cell>
          <cell r="K17875">
            <v>2.5</v>
          </cell>
        </row>
        <row r="17876">
          <cell r="C17876" t="str">
            <v>葉宏政</v>
          </cell>
          <cell r="F17876" t="str">
            <v>M240804R1</v>
          </cell>
          <cell r="J17876">
            <v>45968</v>
          </cell>
          <cell r="K17876">
            <v>2.5</v>
          </cell>
        </row>
        <row r="17877">
          <cell r="C17877" t="str">
            <v>葉宏政</v>
          </cell>
          <cell r="F17877" t="str">
            <v>M250301C1</v>
          </cell>
          <cell r="J17877">
            <v>45968</v>
          </cell>
          <cell r="K17877">
            <v>2</v>
          </cell>
        </row>
        <row r="17878">
          <cell r="C17878" t="str">
            <v>葉宏政</v>
          </cell>
          <cell r="F17878" t="str">
            <v>K250501R1</v>
          </cell>
          <cell r="J17878">
            <v>45968</v>
          </cell>
          <cell r="K17878">
            <v>4</v>
          </cell>
        </row>
        <row r="17879">
          <cell r="C17879" t="str">
            <v>葉宏政</v>
          </cell>
          <cell r="F17879" t="str">
            <v>M240804R1</v>
          </cell>
          <cell r="J17879">
            <v>45971</v>
          </cell>
          <cell r="K17879">
            <v>5.5</v>
          </cell>
        </row>
        <row r="17880">
          <cell r="C17880" t="str">
            <v>葉宏政</v>
          </cell>
          <cell r="F17880" t="str">
            <v>M250301R1</v>
          </cell>
          <cell r="J17880">
            <v>45971</v>
          </cell>
          <cell r="K17880">
            <v>0.5</v>
          </cell>
        </row>
        <row r="17881">
          <cell r="C17881" t="str">
            <v>葉宏政</v>
          </cell>
          <cell r="F17881" t="str">
            <v>M250301C1</v>
          </cell>
          <cell r="J17881">
            <v>45971</v>
          </cell>
          <cell r="K17881">
            <v>3</v>
          </cell>
        </row>
        <row r="17882">
          <cell r="C17882" t="str">
            <v>葉宏政</v>
          </cell>
          <cell r="F17882" t="str">
            <v>M240804R1</v>
          </cell>
          <cell r="J17882">
            <v>45972</v>
          </cell>
          <cell r="K17882">
            <v>2</v>
          </cell>
        </row>
        <row r="17883">
          <cell r="C17883" t="str">
            <v>葉宏政</v>
          </cell>
          <cell r="F17883" t="str">
            <v>M250301C1</v>
          </cell>
          <cell r="J17883">
            <v>45972</v>
          </cell>
          <cell r="K17883">
            <v>6.5</v>
          </cell>
        </row>
        <row r="17884">
          <cell r="C17884" t="str">
            <v>葉宏政</v>
          </cell>
          <cell r="F17884" t="str">
            <v>M240804R1</v>
          </cell>
          <cell r="J17884">
            <v>45973</v>
          </cell>
          <cell r="K17884">
            <v>4</v>
          </cell>
        </row>
        <row r="17885">
          <cell r="C17885" t="str">
            <v>葉宏政</v>
          </cell>
          <cell r="F17885" t="str">
            <v>M250301C1</v>
          </cell>
          <cell r="J17885">
            <v>45973</v>
          </cell>
          <cell r="K17885">
            <v>4.5</v>
          </cell>
        </row>
        <row r="17886">
          <cell r="C17886" t="str">
            <v>葉宏政</v>
          </cell>
          <cell r="J17886">
            <v>45974</v>
          </cell>
          <cell r="K17886">
            <v>1</v>
          </cell>
        </row>
        <row r="17887">
          <cell r="C17887" t="str">
            <v>葉宏政</v>
          </cell>
          <cell r="F17887" t="str">
            <v>M250301C1</v>
          </cell>
          <cell r="J17887">
            <v>45974</v>
          </cell>
          <cell r="K17887">
            <v>7.5</v>
          </cell>
        </row>
        <row r="17888">
          <cell r="C17888" t="str">
            <v>葉宏政</v>
          </cell>
          <cell r="F17888" t="str">
            <v>M240804R1</v>
          </cell>
          <cell r="J17888">
            <v>45975</v>
          </cell>
          <cell r="K17888">
            <v>5</v>
          </cell>
        </row>
        <row r="17889">
          <cell r="C17889" t="str">
            <v>葉宏政</v>
          </cell>
          <cell r="F17889" t="str">
            <v>M250301C1</v>
          </cell>
          <cell r="J17889">
            <v>45975</v>
          </cell>
          <cell r="K17889">
            <v>3</v>
          </cell>
        </row>
        <row r="17890">
          <cell r="C17890" t="str">
            <v>葉宏政</v>
          </cell>
          <cell r="J17890">
            <v>45978</v>
          </cell>
          <cell r="K17890">
            <v>5</v>
          </cell>
        </row>
        <row r="17891">
          <cell r="C17891" t="str">
            <v>葉宏政</v>
          </cell>
          <cell r="F17891" t="str">
            <v>M240804R1</v>
          </cell>
          <cell r="J17891">
            <v>45978</v>
          </cell>
          <cell r="K17891">
            <v>3</v>
          </cell>
        </row>
        <row r="17892">
          <cell r="C17892" t="str">
            <v>葉宏政</v>
          </cell>
          <cell r="F17892" t="str">
            <v>M250301C1</v>
          </cell>
          <cell r="J17892">
            <v>45978</v>
          </cell>
          <cell r="K17892">
            <v>1</v>
          </cell>
        </row>
        <row r="17893">
          <cell r="C17893" t="str">
            <v>葉宏政</v>
          </cell>
          <cell r="F17893" t="str">
            <v>M250301R1</v>
          </cell>
          <cell r="J17893">
            <v>45979</v>
          </cell>
          <cell r="K17893">
            <v>3</v>
          </cell>
        </row>
        <row r="17894">
          <cell r="C17894" t="str">
            <v>葉宏政</v>
          </cell>
          <cell r="F17894" t="str">
            <v>M240804R1</v>
          </cell>
          <cell r="J17894">
            <v>45979</v>
          </cell>
          <cell r="K17894">
            <v>3</v>
          </cell>
        </row>
        <row r="17895">
          <cell r="C17895" t="str">
            <v>葉宏政</v>
          </cell>
          <cell r="F17895" t="str">
            <v>M250301C1</v>
          </cell>
          <cell r="J17895">
            <v>45979</v>
          </cell>
          <cell r="K17895">
            <v>2.5</v>
          </cell>
        </row>
        <row r="17896">
          <cell r="C17896" t="str">
            <v>葉宏政</v>
          </cell>
          <cell r="J17896">
            <v>45980</v>
          </cell>
          <cell r="K17896">
            <v>2</v>
          </cell>
        </row>
        <row r="17897">
          <cell r="C17897" t="str">
            <v>葉宏政</v>
          </cell>
          <cell r="F17897" t="str">
            <v>M240804R1</v>
          </cell>
          <cell r="J17897">
            <v>45980</v>
          </cell>
          <cell r="K17897">
            <v>2</v>
          </cell>
        </row>
        <row r="17898">
          <cell r="C17898" t="str">
            <v>葉宏政</v>
          </cell>
          <cell r="F17898" t="str">
            <v>M240804R1</v>
          </cell>
          <cell r="J17898">
            <v>45980</v>
          </cell>
          <cell r="K17898">
            <v>3</v>
          </cell>
        </row>
        <row r="17899">
          <cell r="C17899" t="str">
            <v>葉宏政</v>
          </cell>
          <cell r="F17899" t="str">
            <v>M250301C1</v>
          </cell>
          <cell r="J17899">
            <v>45980</v>
          </cell>
          <cell r="K17899">
            <v>1.5</v>
          </cell>
        </row>
        <row r="17900">
          <cell r="C17900" t="str">
            <v>葉宏政</v>
          </cell>
          <cell r="F17900" t="str">
            <v>M250301R1</v>
          </cell>
          <cell r="J17900">
            <v>45980</v>
          </cell>
          <cell r="K17900">
            <v>1</v>
          </cell>
        </row>
        <row r="17901">
          <cell r="C17901" t="str">
            <v>葉宏政</v>
          </cell>
          <cell r="J17901">
            <v>45981</v>
          </cell>
          <cell r="K17901">
            <v>4.5</v>
          </cell>
        </row>
        <row r="17902">
          <cell r="C17902" t="str">
            <v>葉宏政</v>
          </cell>
          <cell r="F17902" t="str">
            <v>M240804R1</v>
          </cell>
          <cell r="J17902">
            <v>45981</v>
          </cell>
          <cell r="K17902">
            <v>3</v>
          </cell>
        </row>
        <row r="17903">
          <cell r="C17903" t="str">
            <v>葉宏政</v>
          </cell>
          <cell r="F17903" t="str">
            <v>M240804R1</v>
          </cell>
          <cell r="J17903">
            <v>45981</v>
          </cell>
          <cell r="K17903">
            <v>2</v>
          </cell>
        </row>
        <row r="17904">
          <cell r="C17904" t="str">
            <v>葉宏政</v>
          </cell>
          <cell r="F17904" t="str">
            <v>M240804R1</v>
          </cell>
          <cell r="J17904">
            <v>45982</v>
          </cell>
          <cell r="K17904">
            <v>3.5</v>
          </cell>
        </row>
        <row r="17905">
          <cell r="C17905" t="str">
            <v>葉宏政</v>
          </cell>
          <cell r="F17905" t="str">
            <v>M250301C1</v>
          </cell>
          <cell r="J17905">
            <v>45982</v>
          </cell>
          <cell r="K17905">
            <v>5</v>
          </cell>
        </row>
        <row r="17906">
          <cell r="C17906" t="str">
            <v>葉宏政</v>
          </cell>
          <cell r="F17906" t="str">
            <v>M240804R1</v>
          </cell>
          <cell r="J17906">
            <v>45985</v>
          </cell>
          <cell r="K17906">
            <v>1</v>
          </cell>
        </row>
        <row r="17907">
          <cell r="C17907" t="str">
            <v>葉宏政</v>
          </cell>
          <cell r="F17907" t="str">
            <v>M230705P1</v>
          </cell>
          <cell r="J17907">
            <v>45985</v>
          </cell>
          <cell r="K17907">
            <v>2</v>
          </cell>
        </row>
        <row r="17908">
          <cell r="C17908" t="str">
            <v>葉宏政</v>
          </cell>
          <cell r="F17908" t="str">
            <v>M250301C1</v>
          </cell>
          <cell r="J17908">
            <v>45985</v>
          </cell>
          <cell r="K17908">
            <v>6</v>
          </cell>
        </row>
        <row r="17909">
          <cell r="C17909" t="str">
            <v>葉宏政</v>
          </cell>
          <cell r="F17909" t="str">
            <v>M250301C1</v>
          </cell>
          <cell r="J17909">
            <v>45986</v>
          </cell>
          <cell r="K17909">
            <v>1.5</v>
          </cell>
        </row>
        <row r="17910">
          <cell r="C17910" t="str">
            <v>葉宏政</v>
          </cell>
          <cell r="F17910" t="str">
            <v>M240804R1</v>
          </cell>
          <cell r="J17910">
            <v>45986</v>
          </cell>
          <cell r="K17910">
            <v>7</v>
          </cell>
        </row>
        <row r="17911">
          <cell r="C17911" t="str">
            <v>葉宏政</v>
          </cell>
          <cell r="J17911">
            <v>45987</v>
          </cell>
          <cell r="K17911">
            <v>3</v>
          </cell>
        </row>
        <row r="17912">
          <cell r="C17912" t="str">
            <v>葉宏政</v>
          </cell>
          <cell r="F17912" t="str">
            <v>M240804R1</v>
          </cell>
          <cell r="J17912">
            <v>45987</v>
          </cell>
          <cell r="K17912">
            <v>1</v>
          </cell>
        </row>
        <row r="17913">
          <cell r="C17913" t="str">
            <v>葉宏政</v>
          </cell>
          <cell r="F17913" t="str">
            <v>M250301R1</v>
          </cell>
          <cell r="J17913">
            <v>45987</v>
          </cell>
          <cell r="K17913">
            <v>5.5</v>
          </cell>
        </row>
        <row r="17914">
          <cell r="C17914" t="str">
            <v>葉宏政</v>
          </cell>
          <cell r="J17914">
            <v>45988</v>
          </cell>
          <cell r="K17914">
            <v>1</v>
          </cell>
        </row>
        <row r="17915">
          <cell r="C17915" t="str">
            <v>葉宏政</v>
          </cell>
          <cell r="F17915" t="str">
            <v>M240804R1</v>
          </cell>
          <cell r="J17915">
            <v>45988</v>
          </cell>
          <cell r="K17915">
            <v>3</v>
          </cell>
        </row>
        <row r="17916">
          <cell r="C17916" t="str">
            <v>葉宏政</v>
          </cell>
          <cell r="F17916" t="str">
            <v>M250301C1</v>
          </cell>
          <cell r="J17916">
            <v>45988</v>
          </cell>
          <cell r="K17916">
            <v>1.5</v>
          </cell>
        </row>
        <row r="17917">
          <cell r="C17917" t="str">
            <v>葉宏政</v>
          </cell>
          <cell r="F17917" t="str">
            <v>M250301R1</v>
          </cell>
          <cell r="J17917">
            <v>45988</v>
          </cell>
          <cell r="K17917">
            <v>4</v>
          </cell>
        </row>
        <row r="17918">
          <cell r="C17918" t="str">
            <v>葉宏政</v>
          </cell>
          <cell r="F17918" t="str">
            <v>M240804R1</v>
          </cell>
          <cell r="J17918">
            <v>45989</v>
          </cell>
          <cell r="K17918">
            <v>3</v>
          </cell>
        </row>
        <row r="17919">
          <cell r="C17919" t="str">
            <v>葉宏政</v>
          </cell>
          <cell r="F17919" t="str">
            <v>M250301C1</v>
          </cell>
          <cell r="J17919">
            <v>45989</v>
          </cell>
          <cell r="K17919">
            <v>3.5</v>
          </cell>
        </row>
        <row r="17920">
          <cell r="C17920" t="str">
            <v>葉宏政</v>
          </cell>
          <cell r="F17920" t="str">
            <v>M250301R1</v>
          </cell>
          <cell r="J17920">
            <v>45989</v>
          </cell>
          <cell r="K17920">
            <v>2</v>
          </cell>
        </row>
        <row r="17921">
          <cell r="C17921" t="str">
            <v>葉宏政</v>
          </cell>
          <cell r="J17921">
            <v>45992</v>
          </cell>
          <cell r="K17921">
            <v>2</v>
          </cell>
        </row>
        <row r="17922">
          <cell r="C17922" t="str">
            <v>葉宏政</v>
          </cell>
          <cell r="F17922" t="str">
            <v>M250301C1</v>
          </cell>
          <cell r="J17922">
            <v>45992</v>
          </cell>
          <cell r="K17922">
            <v>7</v>
          </cell>
        </row>
        <row r="17923">
          <cell r="C17923" t="str">
            <v>葉宏政</v>
          </cell>
          <cell r="F17923" t="str">
            <v>M250301C1</v>
          </cell>
          <cell r="J17923">
            <v>45993</v>
          </cell>
          <cell r="K17923">
            <v>2</v>
          </cell>
        </row>
        <row r="17924">
          <cell r="C17924" t="str">
            <v>葉宏政</v>
          </cell>
          <cell r="F17924" t="str">
            <v>M240804R1</v>
          </cell>
          <cell r="J17924">
            <v>45993</v>
          </cell>
          <cell r="K17924">
            <v>4</v>
          </cell>
        </row>
        <row r="17925">
          <cell r="C17925" t="str">
            <v>葉宏政</v>
          </cell>
          <cell r="F17925" t="str">
            <v>D240902R1</v>
          </cell>
          <cell r="J17925">
            <v>45993</v>
          </cell>
          <cell r="K17925">
            <v>3</v>
          </cell>
        </row>
        <row r="17926">
          <cell r="C17926" t="str">
            <v>葉宏政</v>
          </cell>
          <cell r="F17926" t="str">
            <v>M251001R1</v>
          </cell>
          <cell r="J17926">
            <v>45994</v>
          </cell>
          <cell r="K17926">
            <v>3.5</v>
          </cell>
        </row>
        <row r="17927">
          <cell r="C17927" t="str">
            <v>葉宏政</v>
          </cell>
          <cell r="F17927" t="str">
            <v>M240804R1</v>
          </cell>
          <cell r="J17927">
            <v>45994</v>
          </cell>
          <cell r="K17927">
            <v>4</v>
          </cell>
        </row>
        <row r="17928">
          <cell r="C17928" t="str">
            <v>葉宏政</v>
          </cell>
          <cell r="F17928" t="str">
            <v>D240902R1</v>
          </cell>
          <cell r="J17928">
            <v>45994</v>
          </cell>
          <cell r="K17928">
            <v>1</v>
          </cell>
        </row>
        <row r="17929">
          <cell r="C17929" t="str">
            <v>葉宏政</v>
          </cell>
          <cell r="J17929">
            <v>45995</v>
          </cell>
          <cell r="K17929">
            <v>1</v>
          </cell>
        </row>
        <row r="17930">
          <cell r="C17930" t="str">
            <v>葉宏政</v>
          </cell>
          <cell r="F17930" t="str">
            <v>M240804R1</v>
          </cell>
          <cell r="J17930">
            <v>45995</v>
          </cell>
          <cell r="K17930">
            <v>5</v>
          </cell>
        </row>
        <row r="17931">
          <cell r="C17931" t="str">
            <v>葉宏政</v>
          </cell>
          <cell r="F17931" t="str">
            <v>D240902R1</v>
          </cell>
          <cell r="J17931">
            <v>45995</v>
          </cell>
          <cell r="K17931">
            <v>3</v>
          </cell>
        </row>
        <row r="17932">
          <cell r="C17932" t="str">
            <v>葉宏政</v>
          </cell>
          <cell r="F17932" t="str">
            <v>D240902R1</v>
          </cell>
          <cell r="J17932">
            <v>45996</v>
          </cell>
          <cell r="K17932">
            <v>3</v>
          </cell>
        </row>
        <row r="17933">
          <cell r="C17933" t="str">
            <v>葉宏政</v>
          </cell>
          <cell r="F17933" t="str">
            <v>M240804R1</v>
          </cell>
          <cell r="J17933">
            <v>45996</v>
          </cell>
          <cell r="K17933">
            <v>2.5</v>
          </cell>
        </row>
        <row r="17934">
          <cell r="C17934" t="str">
            <v>葉宏政</v>
          </cell>
          <cell r="F17934" t="str">
            <v>M251001R1</v>
          </cell>
          <cell r="J17934">
            <v>45996</v>
          </cell>
          <cell r="K17934">
            <v>3</v>
          </cell>
        </row>
        <row r="17935">
          <cell r="C17935" t="str">
            <v>葉宏政</v>
          </cell>
          <cell r="J17935">
            <v>45999</v>
          </cell>
          <cell r="K17935">
            <v>4</v>
          </cell>
        </row>
        <row r="17936">
          <cell r="C17936" t="str">
            <v>葉宏政</v>
          </cell>
          <cell r="F17936" t="str">
            <v>M240804R1</v>
          </cell>
          <cell r="J17936">
            <v>45999</v>
          </cell>
          <cell r="K17936">
            <v>5</v>
          </cell>
        </row>
        <row r="17937">
          <cell r="C17937" t="str">
            <v>葉宏政</v>
          </cell>
          <cell r="F17937" t="str">
            <v>D240902R1</v>
          </cell>
          <cell r="J17937">
            <v>46000</v>
          </cell>
          <cell r="K17937">
            <v>1</v>
          </cell>
        </row>
        <row r="17938">
          <cell r="C17938" t="str">
            <v>葉宏政</v>
          </cell>
          <cell r="F17938" t="str">
            <v>M240804R1</v>
          </cell>
          <cell r="J17938">
            <v>46000</v>
          </cell>
          <cell r="K17938">
            <v>5</v>
          </cell>
        </row>
        <row r="17939">
          <cell r="C17939" t="str">
            <v>葉宏政</v>
          </cell>
          <cell r="F17939" t="str">
            <v>M240804R1</v>
          </cell>
          <cell r="J17939">
            <v>46000</v>
          </cell>
          <cell r="K17939">
            <v>2.5</v>
          </cell>
        </row>
        <row r="17940">
          <cell r="C17940" t="str">
            <v>葉宏政</v>
          </cell>
          <cell r="J17940">
            <v>46001</v>
          </cell>
          <cell r="K17940">
            <v>4</v>
          </cell>
        </row>
        <row r="17941">
          <cell r="C17941" t="str">
            <v>葉宏政</v>
          </cell>
          <cell r="J17941">
            <v>46001</v>
          </cell>
          <cell r="K17941">
            <v>1.5</v>
          </cell>
        </row>
        <row r="17942">
          <cell r="C17942" t="str">
            <v>葉宏政</v>
          </cell>
          <cell r="F17942" t="str">
            <v>M240804R1</v>
          </cell>
          <cell r="J17942">
            <v>46001</v>
          </cell>
          <cell r="K17942">
            <v>3.5</v>
          </cell>
        </row>
        <row r="17943">
          <cell r="C17943" t="str">
            <v>葉宏政</v>
          </cell>
          <cell r="J17943">
            <v>46002</v>
          </cell>
          <cell r="K17943">
            <v>1</v>
          </cell>
        </row>
        <row r="17944">
          <cell r="C17944" t="str">
            <v>葉宏政</v>
          </cell>
          <cell r="F17944" t="str">
            <v>M240804R1</v>
          </cell>
          <cell r="J17944">
            <v>46002</v>
          </cell>
          <cell r="K17944">
            <v>5</v>
          </cell>
        </row>
        <row r="17945">
          <cell r="C17945" t="str">
            <v>葉宏政</v>
          </cell>
          <cell r="F17945" t="str">
            <v>K250501R1</v>
          </cell>
          <cell r="J17945">
            <v>46002</v>
          </cell>
          <cell r="K17945">
            <v>3</v>
          </cell>
        </row>
        <row r="17946">
          <cell r="C17946" t="str">
            <v>葉宏政</v>
          </cell>
          <cell r="F17946" t="str">
            <v>M240804R1</v>
          </cell>
          <cell r="J17946">
            <v>46003</v>
          </cell>
          <cell r="K17946">
            <v>1</v>
          </cell>
        </row>
        <row r="17947">
          <cell r="C17947" t="str">
            <v>葉宏政</v>
          </cell>
          <cell r="F17947" t="str">
            <v>K250501R1</v>
          </cell>
          <cell r="J17947">
            <v>46003</v>
          </cell>
          <cell r="K17947">
            <v>7.5</v>
          </cell>
        </row>
        <row r="17948">
          <cell r="C17948" t="str">
            <v>葉宏政</v>
          </cell>
          <cell r="J17948">
            <v>46006</v>
          </cell>
          <cell r="K17948">
            <v>1</v>
          </cell>
        </row>
        <row r="17949">
          <cell r="C17949" t="str">
            <v>葉宏政</v>
          </cell>
          <cell r="F17949" t="str">
            <v>M240804R1</v>
          </cell>
          <cell r="J17949">
            <v>46006</v>
          </cell>
          <cell r="K17949">
            <v>1</v>
          </cell>
        </row>
        <row r="17950">
          <cell r="C17950" t="str">
            <v>葉宏政</v>
          </cell>
          <cell r="F17950" t="str">
            <v>K250501R1</v>
          </cell>
          <cell r="J17950">
            <v>46006</v>
          </cell>
          <cell r="K17950">
            <v>6.5</v>
          </cell>
        </row>
        <row r="17951">
          <cell r="C17951" t="str">
            <v>葉宏政</v>
          </cell>
          <cell r="F17951" t="str">
            <v>M240804R1</v>
          </cell>
          <cell r="J17951">
            <v>46007</v>
          </cell>
          <cell r="K17951">
            <v>2.5</v>
          </cell>
        </row>
        <row r="17952">
          <cell r="C17952" t="str">
            <v>葉宏政</v>
          </cell>
          <cell r="F17952" t="str">
            <v>K250501R1</v>
          </cell>
          <cell r="J17952">
            <v>46007</v>
          </cell>
          <cell r="K17952">
            <v>6</v>
          </cell>
        </row>
        <row r="17953">
          <cell r="C17953" t="str">
            <v>葉宏政</v>
          </cell>
          <cell r="J17953">
            <v>46008</v>
          </cell>
          <cell r="K17953">
            <v>2</v>
          </cell>
        </row>
        <row r="17954">
          <cell r="C17954" t="str">
            <v>葉宏政</v>
          </cell>
          <cell r="F17954" t="str">
            <v>M240804R1</v>
          </cell>
          <cell r="J17954">
            <v>46008</v>
          </cell>
          <cell r="K17954">
            <v>6.5</v>
          </cell>
        </row>
        <row r="17955">
          <cell r="C17955" t="str">
            <v>葉宏政</v>
          </cell>
          <cell r="J17955">
            <v>46009</v>
          </cell>
          <cell r="K17955">
            <v>1</v>
          </cell>
        </row>
        <row r="17956">
          <cell r="C17956" t="str">
            <v>葉宏政</v>
          </cell>
          <cell r="J17956">
            <v>46009</v>
          </cell>
          <cell r="K17956">
            <v>4</v>
          </cell>
        </row>
        <row r="17957">
          <cell r="C17957" t="str">
            <v>葉宏政</v>
          </cell>
          <cell r="F17957" t="str">
            <v>M240804R1</v>
          </cell>
          <cell r="J17957">
            <v>46009</v>
          </cell>
          <cell r="K17957">
            <v>4</v>
          </cell>
        </row>
        <row r="17958">
          <cell r="C17958" t="str">
            <v>葉宏政</v>
          </cell>
          <cell r="J17958">
            <v>46010</v>
          </cell>
          <cell r="K17958">
            <v>1</v>
          </cell>
        </row>
        <row r="17959">
          <cell r="C17959" t="str">
            <v>葉宏政</v>
          </cell>
          <cell r="F17959" t="str">
            <v>M240804R1</v>
          </cell>
          <cell r="J17959">
            <v>46010</v>
          </cell>
          <cell r="K17959">
            <v>5.5</v>
          </cell>
        </row>
        <row r="17960">
          <cell r="C17960" t="str">
            <v>葉宏政</v>
          </cell>
          <cell r="F17960" t="str">
            <v>M250301C1</v>
          </cell>
          <cell r="J17960">
            <v>46010</v>
          </cell>
          <cell r="K17960">
            <v>2</v>
          </cell>
        </row>
        <row r="17961">
          <cell r="C17961" t="str">
            <v>葉宏政</v>
          </cell>
          <cell r="F17961" t="str">
            <v>M240702R1</v>
          </cell>
          <cell r="J17961">
            <v>46013</v>
          </cell>
          <cell r="K17961">
            <v>2</v>
          </cell>
        </row>
        <row r="17962">
          <cell r="C17962" t="str">
            <v>葉宏政</v>
          </cell>
          <cell r="F17962" t="str">
            <v>M240804R1</v>
          </cell>
          <cell r="J17962">
            <v>46013</v>
          </cell>
          <cell r="K17962">
            <v>5</v>
          </cell>
        </row>
        <row r="17963">
          <cell r="C17963" t="str">
            <v>葉宏政</v>
          </cell>
          <cell r="F17963" t="str">
            <v>M250301C1</v>
          </cell>
          <cell r="J17963">
            <v>46013</v>
          </cell>
          <cell r="K17963">
            <v>2.5</v>
          </cell>
        </row>
        <row r="17964">
          <cell r="C17964" t="str">
            <v>葉宏政</v>
          </cell>
          <cell r="J17964">
            <v>46014</v>
          </cell>
          <cell r="K17964">
            <v>3.5</v>
          </cell>
        </row>
        <row r="17965">
          <cell r="C17965" t="str">
            <v>葉宏政</v>
          </cell>
          <cell r="F17965" t="str">
            <v>M240702R1</v>
          </cell>
          <cell r="J17965">
            <v>46014</v>
          </cell>
          <cell r="K17965">
            <v>4.5</v>
          </cell>
        </row>
        <row r="17966">
          <cell r="C17966" t="str">
            <v>葉宏政</v>
          </cell>
          <cell r="F17966" t="str">
            <v>K240801R2</v>
          </cell>
          <cell r="J17966">
            <v>46014</v>
          </cell>
          <cell r="K17966">
            <v>0.5</v>
          </cell>
        </row>
        <row r="17967">
          <cell r="C17967" t="str">
            <v>葉宏政</v>
          </cell>
          <cell r="J17967">
            <v>46015</v>
          </cell>
          <cell r="K17967">
            <v>8</v>
          </cell>
        </row>
        <row r="17968">
          <cell r="C17968" t="str">
            <v>葉宏政</v>
          </cell>
          <cell r="J17968">
            <v>46017</v>
          </cell>
          <cell r="K17968">
            <v>8</v>
          </cell>
        </row>
        <row r="17969">
          <cell r="C17969" t="str">
            <v>葉宏政</v>
          </cell>
          <cell r="F17969" t="str">
            <v>M240804R1</v>
          </cell>
          <cell r="J17969">
            <v>46020</v>
          </cell>
          <cell r="K17969">
            <v>0.5</v>
          </cell>
        </row>
        <row r="17970">
          <cell r="C17970" t="str">
            <v>葉宏政</v>
          </cell>
          <cell r="F17970" t="str">
            <v>M240804R1</v>
          </cell>
          <cell r="J17970">
            <v>46020</v>
          </cell>
          <cell r="K17970">
            <v>0.5</v>
          </cell>
        </row>
        <row r="17971">
          <cell r="C17971" t="str">
            <v>葉宏政</v>
          </cell>
          <cell r="F17971" t="str">
            <v>M240702R1</v>
          </cell>
          <cell r="J17971">
            <v>46020</v>
          </cell>
          <cell r="K17971">
            <v>1.5</v>
          </cell>
        </row>
        <row r="17972">
          <cell r="C17972" t="str">
            <v>葉宏政</v>
          </cell>
          <cell r="F17972" t="str">
            <v>M240702R1</v>
          </cell>
          <cell r="J17972">
            <v>46020</v>
          </cell>
          <cell r="K17972">
            <v>1.5</v>
          </cell>
        </row>
        <row r="17973">
          <cell r="C17973" t="str">
            <v>葉宏政</v>
          </cell>
          <cell r="F17973" t="str">
            <v>M250301C1</v>
          </cell>
          <cell r="J17973">
            <v>46020</v>
          </cell>
          <cell r="K17973">
            <v>3</v>
          </cell>
        </row>
        <row r="17974">
          <cell r="C17974" t="str">
            <v>葉宏政</v>
          </cell>
          <cell r="F17974" t="str">
            <v>M250301C1</v>
          </cell>
          <cell r="J17974">
            <v>46020</v>
          </cell>
          <cell r="K17974">
            <v>3</v>
          </cell>
        </row>
        <row r="17975">
          <cell r="C17975" t="str">
            <v>葉宏政</v>
          </cell>
          <cell r="F17975" t="str">
            <v>K240801R2</v>
          </cell>
          <cell r="J17975">
            <v>46020</v>
          </cell>
          <cell r="K17975">
            <v>4</v>
          </cell>
        </row>
        <row r="17976">
          <cell r="C17976" t="str">
            <v>葉宏政</v>
          </cell>
          <cell r="F17976" t="str">
            <v>K240801R2</v>
          </cell>
          <cell r="J17976">
            <v>46020</v>
          </cell>
          <cell r="K17976">
            <v>4</v>
          </cell>
        </row>
        <row r="17977">
          <cell r="C17977" t="str">
            <v>葉宏政</v>
          </cell>
          <cell r="J17977">
            <v>46021</v>
          </cell>
          <cell r="K17977">
            <v>1</v>
          </cell>
        </row>
        <row r="17978">
          <cell r="C17978" t="str">
            <v>葉宏政</v>
          </cell>
          <cell r="F17978" t="str">
            <v>M240804R1</v>
          </cell>
          <cell r="J17978">
            <v>46021</v>
          </cell>
          <cell r="K17978">
            <v>3.5</v>
          </cell>
        </row>
        <row r="17979">
          <cell r="C17979" t="str">
            <v>葉宏政</v>
          </cell>
          <cell r="F17979" t="str">
            <v>K240801R2</v>
          </cell>
          <cell r="J17979">
            <v>46021</v>
          </cell>
          <cell r="K17979">
            <v>4</v>
          </cell>
        </row>
        <row r="17980">
          <cell r="C17980" t="str">
            <v>葉宏政</v>
          </cell>
          <cell r="J17980">
            <v>46022</v>
          </cell>
          <cell r="K17980">
            <v>2</v>
          </cell>
        </row>
        <row r="17981">
          <cell r="C17981" t="str">
            <v>葉宏政</v>
          </cell>
          <cell r="J17981">
            <v>46022</v>
          </cell>
          <cell r="K17981">
            <v>5</v>
          </cell>
        </row>
        <row r="17982">
          <cell r="C17982" t="str">
            <v>葉宏政</v>
          </cell>
          <cell r="F17982" t="str">
            <v>M250301C1</v>
          </cell>
          <cell r="J17982">
            <v>46022</v>
          </cell>
          <cell r="K17982">
            <v>1</v>
          </cell>
        </row>
        <row r="17983">
          <cell r="C17983" t="str">
            <v>葉宏政</v>
          </cell>
          <cell r="J17983">
            <v>46024</v>
          </cell>
          <cell r="K17983">
            <v>0.5</v>
          </cell>
        </row>
        <row r="17984">
          <cell r="C17984" t="str">
            <v>葉宏政</v>
          </cell>
          <cell r="F17984" t="str">
            <v>M240804R1</v>
          </cell>
          <cell r="J17984">
            <v>46024</v>
          </cell>
          <cell r="K17984">
            <v>1</v>
          </cell>
        </row>
        <row r="17985">
          <cell r="C17985" t="str">
            <v>葉宏政</v>
          </cell>
          <cell r="F17985" t="str">
            <v>M250301C1</v>
          </cell>
          <cell r="J17985">
            <v>46024</v>
          </cell>
          <cell r="K17985">
            <v>5.5</v>
          </cell>
        </row>
        <row r="17986">
          <cell r="C17986" t="str">
            <v>葉宏政</v>
          </cell>
          <cell r="F17986" t="str">
            <v>K240801R2</v>
          </cell>
          <cell r="J17986">
            <v>46024</v>
          </cell>
          <cell r="K17986">
            <v>1</v>
          </cell>
        </row>
        <row r="17987">
          <cell r="C17987" t="str">
            <v>葉宏政</v>
          </cell>
          <cell r="F17987" t="str">
            <v>M240804R1</v>
          </cell>
          <cell r="J17987">
            <v>46027</v>
          </cell>
          <cell r="K17987">
            <v>5.5</v>
          </cell>
        </row>
        <row r="17988">
          <cell r="C17988" t="str">
            <v>葉宏政</v>
          </cell>
          <cell r="F17988" t="str">
            <v>M240804R1</v>
          </cell>
          <cell r="J17988">
            <v>46027</v>
          </cell>
          <cell r="K17988">
            <v>3</v>
          </cell>
        </row>
        <row r="17989">
          <cell r="C17989" t="str">
            <v>葉宏政</v>
          </cell>
          <cell r="J17989">
            <v>46028</v>
          </cell>
          <cell r="K17989">
            <v>1.5</v>
          </cell>
        </row>
        <row r="17990">
          <cell r="C17990" t="str">
            <v>葉宏政</v>
          </cell>
          <cell r="F17990" t="str">
            <v>M240804R1</v>
          </cell>
          <cell r="J17990">
            <v>46028</v>
          </cell>
          <cell r="K17990">
            <v>7</v>
          </cell>
        </row>
        <row r="17991">
          <cell r="C17991" t="str">
            <v>葉宏政</v>
          </cell>
          <cell r="J17991">
            <v>46029</v>
          </cell>
          <cell r="K17991">
            <v>2</v>
          </cell>
        </row>
        <row r="17992">
          <cell r="C17992" t="str">
            <v>葉宏政</v>
          </cell>
          <cell r="F17992" t="str">
            <v>M250301C1</v>
          </cell>
          <cell r="J17992">
            <v>46029</v>
          </cell>
          <cell r="K17992">
            <v>7.5</v>
          </cell>
        </row>
        <row r="17993">
          <cell r="C17993" t="str">
            <v>葉宏政</v>
          </cell>
          <cell r="J17993">
            <v>46030</v>
          </cell>
          <cell r="K17993">
            <v>1</v>
          </cell>
        </row>
        <row r="17994">
          <cell r="C17994" t="str">
            <v>葉宏政</v>
          </cell>
          <cell r="F17994" t="str">
            <v>M250301C1</v>
          </cell>
          <cell r="J17994">
            <v>46030</v>
          </cell>
          <cell r="K17994">
            <v>6</v>
          </cell>
        </row>
        <row r="17995">
          <cell r="C17995" t="str">
            <v>葉宏政</v>
          </cell>
          <cell r="F17995" t="str">
            <v>M250301C1</v>
          </cell>
          <cell r="J17995">
            <v>46030</v>
          </cell>
          <cell r="K17995">
            <v>2</v>
          </cell>
        </row>
        <row r="17996">
          <cell r="C17996" t="str">
            <v>葉宏政</v>
          </cell>
          <cell r="F17996" t="str">
            <v>M240804R1</v>
          </cell>
          <cell r="J17996">
            <v>46031</v>
          </cell>
          <cell r="K17996">
            <v>7</v>
          </cell>
        </row>
        <row r="17997">
          <cell r="C17997" t="str">
            <v>葉宏政</v>
          </cell>
          <cell r="F17997" t="str">
            <v>K250501R1</v>
          </cell>
          <cell r="J17997">
            <v>46031</v>
          </cell>
          <cell r="K17997">
            <v>1</v>
          </cell>
        </row>
        <row r="17998">
          <cell r="C17998" t="str">
            <v>葉宏政</v>
          </cell>
          <cell r="F17998" t="str">
            <v>M240804R1</v>
          </cell>
          <cell r="J17998">
            <v>46034</v>
          </cell>
          <cell r="K17998">
            <v>5.5</v>
          </cell>
        </row>
        <row r="17999">
          <cell r="C17999" t="str">
            <v>葉宏政</v>
          </cell>
          <cell r="F17999" t="str">
            <v>M250301C1</v>
          </cell>
          <cell r="J17999">
            <v>46034</v>
          </cell>
          <cell r="K17999">
            <v>4</v>
          </cell>
        </row>
        <row r="18000">
          <cell r="C18000" t="str">
            <v>葉宏政</v>
          </cell>
          <cell r="J18000">
            <v>46035</v>
          </cell>
          <cell r="K18000">
            <v>1.5</v>
          </cell>
        </row>
        <row r="18001">
          <cell r="C18001" t="str">
            <v>葉宏政</v>
          </cell>
          <cell r="F18001" t="str">
            <v>M240804R1</v>
          </cell>
          <cell r="J18001">
            <v>46035</v>
          </cell>
          <cell r="K18001">
            <v>4.5</v>
          </cell>
        </row>
        <row r="18002">
          <cell r="C18002" t="str">
            <v>葉宏政</v>
          </cell>
          <cell r="F18002" t="str">
            <v>M250301C1</v>
          </cell>
          <cell r="J18002">
            <v>46035</v>
          </cell>
          <cell r="K18002">
            <v>3</v>
          </cell>
        </row>
        <row r="18003">
          <cell r="C18003" t="str">
            <v>葉宏政</v>
          </cell>
          <cell r="F18003" t="str">
            <v>K251101R1</v>
          </cell>
          <cell r="J18003">
            <v>46036</v>
          </cell>
          <cell r="K18003">
            <v>3.5</v>
          </cell>
        </row>
        <row r="18004">
          <cell r="C18004" t="str">
            <v>葉宏政</v>
          </cell>
          <cell r="F18004" t="str">
            <v>M250301C1</v>
          </cell>
          <cell r="J18004">
            <v>46036</v>
          </cell>
          <cell r="K18004">
            <v>3</v>
          </cell>
        </row>
        <row r="18005">
          <cell r="C18005" t="str">
            <v>葉宏政</v>
          </cell>
          <cell r="F18005" t="str">
            <v>M240804R1</v>
          </cell>
          <cell r="J18005">
            <v>46036</v>
          </cell>
          <cell r="K18005">
            <v>2</v>
          </cell>
        </row>
        <row r="18006">
          <cell r="C18006" t="str">
            <v>葉宏政</v>
          </cell>
          <cell r="J18006">
            <v>46037</v>
          </cell>
          <cell r="K18006">
            <v>1</v>
          </cell>
        </row>
        <row r="18007">
          <cell r="C18007" t="str">
            <v>葉宏政</v>
          </cell>
          <cell r="F18007" t="str">
            <v>K251101R1</v>
          </cell>
          <cell r="J18007">
            <v>46037</v>
          </cell>
          <cell r="K18007">
            <v>7.5</v>
          </cell>
        </row>
        <row r="18008">
          <cell r="C18008" t="str">
            <v>葉宏政</v>
          </cell>
          <cell r="F18008" t="str">
            <v>M250301C1</v>
          </cell>
          <cell r="J18008">
            <v>46038</v>
          </cell>
          <cell r="K18008">
            <v>1.5</v>
          </cell>
        </row>
        <row r="18009">
          <cell r="C18009" t="str">
            <v>葉宏政</v>
          </cell>
          <cell r="F18009" t="str">
            <v>K251101R1</v>
          </cell>
          <cell r="J18009">
            <v>46038</v>
          </cell>
          <cell r="K18009">
            <v>6.5</v>
          </cell>
        </row>
        <row r="18010">
          <cell r="C18010" t="str">
            <v>葉宏政</v>
          </cell>
          <cell r="F18010" t="str">
            <v>K251101R1</v>
          </cell>
          <cell r="J18010">
            <v>46041</v>
          </cell>
          <cell r="K18010">
            <v>8.5</v>
          </cell>
        </row>
        <row r="18011">
          <cell r="C18011" t="str">
            <v>葉宏政</v>
          </cell>
          <cell r="F18011" t="str">
            <v>M250301C1</v>
          </cell>
          <cell r="J18011">
            <v>46042</v>
          </cell>
          <cell r="K18011">
            <v>1</v>
          </cell>
        </row>
        <row r="18012">
          <cell r="C18012" t="str">
            <v>葉宏政</v>
          </cell>
          <cell r="F18012" t="str">
            <v>K251101R1</v>
          </cell>
          <cell r="J18012">
            <v>46042</v>
          </cell>
          <cell r="K18012">
            <v>7</v>
          </cell>
        </row>
        <row r="18013">
          <cell r="C18013" t="str">
            <v>葉宏政</v>
          </cell>
          <cell r="F18013" t="str">
            <v>M240804R1</v>
          </cell>
          <cell r="J18013">
            <v>46042</v>
          </cell>
          <cell r="K18013">
            <v>1</v>
          </cell>
        </row>
        <row r="18014">
          <cell r="C18014" t="str">
            <v>葉宏政</v>
          </cell>
          <cell r="F18014" t="str">
            <v>K251101R1</v>
          </cell>
          <cell r="J18014">
            <v>46043</v>
          </cell>
          <cell r="K18014">
            <v>8.5</v>
          </cell>
        </row>
        <row r="18015">
          <cell r="C18015" t="str">
            <v>葉宏政</v>
          </cell>
          <cell r="F18015" t="str">
            <v>M250301C1</v>
          </cell>
          <cell r="J18015">
            <v>46043</v>
          </cell>
          <cell r="K18015">
            <v>0.5</v>
          </cell>
        </row>
        <row r="18016">
          <cell r="C18016" t="str">
            <v>葉宏政</v>
          </cell>
          <cell r="F18016" t="str">
            <v>K251101R1</v>
          </cell>
          <cell r="J18016">
            <v>46044</v>
          </cell>
          <cell r="K18016">
            <v>7.5</v>
          </cell>
        </row>
        <row r="18017">
          <cell r="C18017" t="str">
            <v>葉宏政</v>
          </cell>
          <cell r="F18017" t="str">
            <v>M250301C1</v>
          </cell>
          <cell r="J18017">
            <v>46044</v>
          </cell>
          <cell r="K18017">
            <v>1</v>
          </cell>
        </row>
        <row r="18018">
          <cell r="C18018" t="str">
            <v>葉宏政</v>
          </cell>
          <cell r="F18018" t="str">
            <v>K251101R1</v>
          </cell>
          <cell r="J18018">
            <v>46045</v>
          </cell>
          <cell r="K18018">
            <v>1</v>
          </cell>
        </row>
        <row r="18019">
          <cell r="C18019" t="str">
            <v>葉宏政</v>
          </cell>
          <cell r="F18019" t="str">
            <v>M240804R1</v>
          </cell>
          <cell r="J18019">
            <v>46045</v>
          </cell>
          <cell r="K18019">
            <v>1</v>
          </cell>
        </row>
        <row r="18020">
          <cell r="C18020" t="str">
            <v>葉宏政</v>
          </cell>
          <cell r="F18020" t="str">
            <v>M250301C1</v>
          </cell>
          <cell r="J18020">
            <v>46045</v>
          </cell>
          <cell r="K18020">
            <v>5.5</v>
          </cell>
        </row>
        <row r="18021">
          <cell r="C18021" t="str">
            <v>葉宏政</v>
          </cell>
          <cell r="F18021" t="str">
            <v>K251101R1</v>
          </cell>
          <cell r="J18021">
            <v>46045</v>
          </cell>
          <cell r="K18021">
            <v>1</v>
          </cell>
        </row>
        <row r="18022">
          <cell r="C18022" t="str">
            <v>葉宏政</v>
          </cell>
          <cell r="F18022" t="str">
            <v>K251101R1</v>
          </cell>
          <cell r="J18022">
            <v>46048</v>
          </cell>
          <cell r="K18022">
            <v>1</v>
          </cell>
        </row>
        <row r="18023">
          <cell r="C18023" t="str">
            <v>葉宏政</v>
          </cell>
          <cell r="F18023" t="str">
            <v>K251101R1</v>
          </cell>
          <cell r="J18023">
            <v>46048</v>
          </cell>
          <cell r="K18023">
            <v>8</v>
          </cell>
        </row>
        <row r="18024">
          <cell r="C18024" t="str">
            <v>葉宏政</v>
          </cell>
          <cell r="F18024" t="str">
            <v>K251101R1</v>
          </cell>
          <cell r="J18024">
            <v>46049</v>
          </cell>
          <cell r="K18024">
            <v>5</v>
          </cell>
        </row>
        <row r="18025">
          <cell r="C18025" t="str">
            <v>葉宏政</v>
          </cell>
          <cell r="F18025" t="str">
            <v>M251001R1</v>
          </cell>
          <cell r="J18025">
            <v>46049</v>
          </cell>
          <cell r="K18025">
            <v>2</v>
          </cell>
        </row>
        <row r="18026">
          <cell r="C18026" t="str">
            <v>葉宏政</v>
          </cell>
          <cell r="F18026" t="str">
            <v>M250301C1</v>
          </cell>
          <cell r="J18026">
            <v>46049</v>
          </cell>
          <cell r="K18026">
            <v>2</v>
          </cell>
        </row>
        <row r="18027">
          <cell r="C18027" t="str">
            <v>葉宏政</v>
          </cell>
          <cell r="J18027">
            <v>46050</v>
          </cell>
          <cell r="K18027">
            <v>2</v>
          </cell>
        </row>
        <row r="18028">
          <cell r="C18028" t="str">
            <v>葉宏政</v>
          </cell>
          <cell r="F18028" t="str">
            <v>M240804R1</v>
          </cell>
          <cell r="J18028">
            <v>46050</v>
          </cell>
          <cell r="K18028">
            <v>1.5</v>
          </cell>
        </row>
        <row r="18029">
          <cell r="C18029" t="str">
            <v>葉宏政</v>
          </cell>
          <cell r="F18029" t="str">
            <v>K251101R1</v>
          </cell>
          <cell r="J18029">
            <v>46050</v>
          </cell>
          <cell r="K18029">
            <v>3</v>
          </cell>
        </row>
        <row r="18030">
          <cell r="C18030" t="str">
            <v>葉宏政</v>
          </cell>
          <cell r="F18030" t="str">
            <v>M250301C1</v>
          </cell>
          <cell r="J18030">
            <v>46050</v>
          </cell>
          <cell r="K18030">
            <v>2.5</v>
          </cell>
        </row>
        <row r="18031">
          <cell r="C18031" t="str">
            <v>葉宏政</v>
          </cell>
          <cell r="J18031">
            <v>46051</v>
          </cell>
          <cell r="K18031">
            <v>5</v>
          </cell>
        </row>
        <row r="18032">
          <cell r="C18032" t="str">
            <v>葉宏政</v>
          </cell>
          <cell r="F18032" t="str">
            <v>M250301C1</v>
          </cell>
          <cell r="J18032">
            <v>46051</v>
          </cell>
          <cell r="K18032">
            <v>3</v>
          </cell>
        </row>
        <row r="18033">
          <cell r="C18033" t="str">
            <v>葉宏政</v>
          </cell>
          <cell r="J18033">
            <v>46052</v>
          </cell>
          <cell r="K18033">
            <v>5</v>
          </cell>
        </row>
        <row r="18034">
          <cell r="C18034" t="str">
            <v>葉宏政</v>
          </cell>
          <cell r="F18034" t="str">
            <v>M250301C1</v>
          </cell>
          <cell r="J18034">
            <v>46052</v>
          </cell>
          <cell r="K18034">
            <v>1</v>
          </cell>
        </row>
        <row r="18035">
          <cell r="C18035" t="str">
            <v>葉宏政</v>
          </cell>
          <cell r="F18035" t="str">
            <v>K251101R1</v>
          </cell>
          <cell r="J18035">
            <v>46052</v>
          </cell>
          <cell r="K18035">
            <v>2.5</v>
          </cell>
        </row>
        <row r="18036">
          <cell r="C18036" t="str">
            <v>葉宏政</v>
          </cell>
          <cell r="F18036" t="str">
            <v>K240801R2</v>
          </cell>
          <cell r="J18036">
            <v>46052</v>
          </cell>
          <cell r="K18036">
            <v>1</v>
          </cell>
        </row>
        <row r="18037">
          <cell r="C18037" t="str">
            <v>葉宏政</v>
          </cell>
          <cell r="J18037">
            <v>46055</v>
          </cell>
          <cell r="K18037">
            <v>9</v>
          </cell>
        </row>
        <row r="18038">
          <cell r="C18038" t="str">
            <v>葉宏政</v>
          </cell>
          <cell r="J18038">
            <v>46056</v>
          </cell>
          <cell r="K18038">
            <v>7.5</v>
          </cell>
        </row>
        <row r="18039">
          <cell r="C18039" t="str">
            <v>葉宏政</v>
          </cell>
          <cell r="F18039" t="str">
            <v>K240801R2</v>
          </cell>
          <cell r="J18039">
            <v>46056</v>
          </cell>
          <cell r="K18039">
            <v>2</v>
          </cell>
        </row>
        <row r="18040">
          <cell r="C18040" t="str">
            <v>葉宏政</v>
          </cell>
          <cell r="J18040">
            <v>46057</v>
          </cell>
          <cell r="K18040">
            <v>7.5</v>
          </cell>
        </row>
        <row r="18041">
          <cell r="C18041" t="str">
            <v>葉宏政</v>
          </cell>
          <cell r="F18041" t="str">
            <v>K240801R2</v>
          </cell>
          <cell r="J18041">
            <v>46057</v>
          </cell>
          <cell r="K18041">
            <v>1.5</v>
          </cell>
        </row>
        <row r="18042">
          <cell r="C18042" t="str">
            <v>葉宏政</v>
          </cell>
          <cell r="J18042">
            <v>46058</v>
          </cell>
          <cell r="K18042">
            <v>1</v>
          </cell>
        </row>
        <row r="18043">
          <cell r="C18043" t="str">
            <v>葉宏政</v>
          </cell>
          <cell r="J18043">
            <v>46058</v>
          </cell>
          <cell r="K18043">
            <v>7.5</v>
          </cell>
        </row>
        <row r="18044">
          <cell r="C18044" t="str">
            <v>葉宏政</v>
          </cell>
          <cell r="J18044">
            <v>46059</v>
          </cell>
          <cell r="K18044">
            <v>1</v>
          </cell>
        </row>
        <row r="18045">
          <cell r="C18045" t="str">
            <v>葉宏政</v>
          </cell>
          <cell r="F18045" t="str">
            <v>K251101R1</v>
          </cell>
          <cell r="J18045">
            <v>46059</v>
          </cell>
          <cell r="K18045">
            <v>5</v>
          </cell>
        </row>
        <row r="18046">
          <cell r="C18046" t="str">
            <v>葉宏政</v>
          </cell>
          <cell r="F18046" t="str">
            <v>M260201R1</v>
          </cell>
          <cell r="J18046">
            <v>46062</v>
          </cell>
          <cell r="K18046">
            <v>1</v>
          </cell>
        </row>
        <row r="18047">
          <cell r="C18047" t="str">
            <v>葉宏政</v>
          </cell>
          <cell r="F18047" t="str">
            <v>K251101R1</v>
          </cell>
          <cell r="J18047">
            <v>46062</v>
          </cell>
          <cell r="K18047">
            <v>4.5</v>
          </cell>
        </row>
        <row r="18048">
          <cell r="C18048" t="str">
            <v>葉宏政</v>
          </cell>
          <cell r="F18048" t="str">
            <v>M240804R1</v>
          </cell>
          <cell r="J18048">
            <v>46062</v>
          </cell>
          <cell r="K18048">
            <v>2</v>
          </cell>
        </row>
        <row r="18049">
          <cell r="C18049" t="str">
            <v>葉宏政</v>
          </cell>
          <cell r="F18049" t="str">
            <v>M250301C1</v>
          </cell>
          <cell r="J18049">
            <v>46062</v>
          </cell>
          <cell r="K18049">
            <v>2</v>
          </cell>
        </row>
        <row r="18050">
          <cell r="C18050" t="str">
            <v>葉宏政</v>
          </cell>
          <cell r="F18050" t="str">
            <v>M260201R1</v>
          </cell>
          <cell r="J18050">
            <v>46063</v>
          </cell>
          <cell r="K18050">
            <v>3</v>
          </cell>
        </row>
        <row r="18051">
          <cell r="C18051" t="str">
            <v>葉宏政</v>
          </cell>
          <cell r="F18051" t="str">
            <v>K251101R1</v>
          </cell>
          <cell r="J18051">
            <v>46063</v>
          </cell>
          <cell r="K18051">
            <v>2.5</v>
          </cell>
        </row>
        <row r="18052">
          <cell r="C18052" t="str">
            <v>葉宏政</v>
          </cell>
          <cell r="F18052" t="str">
            <v>M250301C1</v>
          </cell>
          <cell r="J18052">
            <v>46063</v>
          </cell>
          <cell r="K18052">
            <v>2</v>
          </cell>
        </row>
        <row r="18053">
          <cell r="C18053" t="str">
            <v>葉宏政</v>
          </cell>
          <cell r="F18053" t="str">
            <v>K251101R1</v>
          </cell>
          <cell r="J18053">
            <v>46063</v>
          </cell>
          <cell r="K18053">
            <v>1.5</v>
          </cell>
        </row>
        <row r="18054">
          <cell r="C18054" t="str">
            <v>葉宏政</v>
          </cell>
          <cell r="J18054">
            <v>46064</v>
          </cell>
          <cell r="K18054">
            <v>8</v>
          </cell>
        </row>
        <row r="18055">
          <cell r="C18055" t="str">
            <v>葉宏政</v>
          </cell>
          <cell r="F18055" t="str">
            <v>K251101R1</v>
          </cell>
          <cell r="J18055">
            <v>46065</v>
          </cell>
          <cell r="K18055">
            <v>2</v>
          </cell>
        </row>
        <row r="18056">
          <cell r="C18056" t="str">
            <v>葉宏政</v>
          </cell>
          <cell r="F18056" t="str">
            <v>M260201R1</v>
          </cell>
          <cell r="J18056">
            <v>46065</v>
          </cell>
          <cell r="K18056">
            <v>6</v>
          </cell>
        </row>
        <row r="18057">
          <cell r="C18057" t="str">
            <v>葉宏政</v>
          </cell>
          <cell r="F18057" t="str">
            <v>K240801R2</v>
          </cell>
          <cell r="J18057">
            <v>46065</v>
          </cell>
          <cell r="K18057">
            <v>0.5</v>
          </cell>
        </row>
        <row r="18058">
          <cell r="C18058" t="str">
            <v>葉宏政</v>
          </cell>
          <cell r="J18058">
            <v>46066</v>
          </cell>
          <cell r="K18058">
            <v>3</v>
          </cell>
        </row>
        <row r="18059">
          <cell r="C18059" t="str">
            <v>葉宏政</v>
          </cell>
          <cell r="F18059" t="str">
            <v>K251101R1</v>
          </cell>
          <cell r="J18059">
            <v>46066</v>
          </cell>
          <cell r="K18059">
            <v>3</v>
          </cell>
        </row>
        <row r="18060">
          <cell r="C18060" t="str">
            <v>葉宏政</v>
          </cell>
          <cell r="F18060" t="str">
            <v>K251101R1</v>
          </cell>
          <cell r="J18060">
            <v>46076</v>
          </cell>
          <cell r="K18060">
            <v>9</v>
          </cell>
        </row>
        <row r="18061">
          <cell r="C18061" t="str">
            <v>葉宏政</v>
          </cell>
          <cell r="F18061" t="str">
            <v>M240804R1</v>
          </cell>
          <cell r="J18061">
            <v>46077</v>
          </cell>
          <cell r="K18061">
            <v>0.5</v>
          </cell>
        </row>
        <row r="18062">
          <cell r="C18062" t="str">
            <v>葉宏政</v>
          </cell>
          <cell r="F18062" t="str">
            <v>K251101R1</v>
          </cell>
          <cell r="J18062">
            <v>46077</v>
          </cell>
          <cell r="K18062">
            <v>8</v>
          </cell>
        </row>
        <row r="18063">
          <cell r="C18063" t="str">
            <v>葉宏政</v>
          </cell>
          <cell r="F18063" t="str">
            <v>K240801R2</v>
          </cell>
          <cell r="J18063">
            <v>46077</v>
          </cell>
          <cell r="K18063">
            <v>0.5</v>
          </cell>
        </row>
        <row r="18064">
          <cell r="C18064" t="str">
            <v>葉宏政</v>
          </cell>
          <cell r="J18064">
            <v>46078</v>
          </cell>
          <cell r="K18064">
            <v>1</v>
          </cell>
        </row>
        <row r="18065">
          <cell r="C18065" t="str">
            <v>葉宏政</v>
          </cell>
          <cell r="F18065" t="str">
            <v>M260201R1</v>
          </cell>
          <cell r="J18065">
            <v>46078</v>
          </cell>
          <cell r="K18065">
            <v>8.5</v>
          </cell>
        </row>
        <row r="18066">
          <cell r="C18066" t="str">
            <v>葉宏政</v>
          </cell>
          <cell r="F18066" t="str">
            <v>K251101R1</v>
          </cell>
          <cell r="J18066">
            <v>46079</v>
          </cell>
          <cell r="K18066">
            <v>7</v>
          </cell>
        </row>
        <row r="18067">
          <cell r="C18067" t="str">
            <v>葉宏政</v>
          </cell>
          <cell r="F18067" t="str">
            <v>M260201R1</v>
          </cell>
          <cell r="J18067">
            <v>46079</v>
          </cell>
          <cell r="K18067">
            <v>0.5</v>
          </cell>
        </row>
        <row r="18068">
          <cell r="C18068" t="str">
            <v>葉宏政</v>
          </cell>
          <cell r="F18068" t="str">
            <v>M250301C1</v>
          </cell>
          <cell r="J18068">
            <v>46079</v>
          </cell>
          <cell r="K18068">
            <v>1</v>
          </cell>
        </row>
        <row r="18069">
          <cell r="C18069" t="str">
            <v>葉宏政</v>
          </cell>
          <cell r="F18069" t="str">
            <v>K251101R1</v>
          </cell>
          <cell r="J18069">
            <v>46083</v>
          </cell>
          <cell r="K18069">
            <v>1.5</v>
          </cell>
        </row>
        <row r="18070">
          <cell r="C18070" t="str">
            <v>葉宏政</v>
          </cell>
          <cell r="F18070" t="str">
            <v>M260201R1</v>
          </cell>
          <cell r="J18070">
            <v>46083</v>
          </cell>
          <cell r="K18070">
            <v>4</v>
          </cell>
        </row>
        <row r="18071">
          <cell r="C18071" t="str">
            <v>葉宏政</v>
          </cell>
          <cell r="F18071" t="str">
            <v>K251101R1</v>
          </cell>
          <cell r="J18071">
            <v>46083</v>
          </cell>
          <cell r="K18071">
            <v>4</v>
          </cell>
        </row>
        <row r="18072">
          <cell r="C18072" t="str">
            <v>葉宏政</v>
          </cell>
          <cell r="J18072">
            <v>46084</v>
          </cell>
          <cell r="K18072">
            <v>8</v>
          </cell>
        </row>
        <row r="18073">
          <cell r="C18073" t="str">
            <v>葉宏政</v>
          </cell>
          <cell r="F18073" t="str">
            <v>K251101R1</v>
          </cell>
          <cell r="J18073">
            <v>46085</v>
          </cell>
          <cell r="K18073">
            <v>8</v>
          </cell>
        </row>
        <row r="18074">
          <cell r="C18074" t="str">
            <v>葉宏政</v>
          </cell>
          <cell r="F18074" t="str">
            <v>M250301C1</v>
          </cell>
          <cell r="J18074">
            <v>46085</v>
          </cell>
          <cell r="K18074">
            <v>1</v>
          </cell>
        </row>
        <row r="18075">
          <cell r="C18075" t="str">
            <v>葉宏政</v>
          </cell>
          <cell r="J18075">
            <v>46086</v>
          </cell>
          <cell r="K18075">
            <v>1</v>
          </cell>
        </row>
        <row r="18076">
          <cell r="C18076" t="str">
            <v>葉宏政</v>
          </cell>
          <cell r="F18076" t="str">
            <v>K251101R1</v>
          </cell>
          <cell r="J18076">
            <v>46086</v>
          </cell>
          <cell r="K18076">
            <v>2.5</v>
          </cell>
        </row>
        <row r="18077">
          <cell r="C18077" t="str">
            <v>葉宏政</v>
          </cell>
          <cell r="F18077" t="str">
            <v>M250301C1</v>
          </cell>
          <cell r="J18077">
            <v>46086</v>
          </cell>
          <cell r="K18077">
            <v>5.5</v>
          </cell>
        </row>
        <row r="18078">
          <cell r="C18078" t="str">
            <v>葉宏政</v>
          </cell>
          <cell r="F18078" t="str">
            <v>M260201R1</v>
          </cell>
          <cell r="J18078">
            <v>46087</v>
          </cell>
          <cell r="K18078">
            <v>1</v>
          </cell>
        </row>
        <row r="18079">
          <cell r="C18079" t="str">
            <v>葉宏政</v>
          </cell>
          <cell r="F18079" t="str">
            <v>K251101R1</v>
          </cell>
          <cell r="J18079">
            <v>46087</v>
          </cell>
          <cell r="K18079">
            <v>4.5</v>
          </cell>
        </row>
        <row r="18080">
          <cell r="C18080" t="str">
            <v>葉宏政</v>
          </cell>
          <cell r="F18080" t="str">
            <v>M250301C1</v>
          </cell>
          <cell r="J18080">
            <v>46087</v>
          </cell>
          <cell r="K18080">
            <v>3</v>
          </cell>
        </row>
        <row r="18081">
          <cell r="C18081" t="str">
            <v>葉宏政</v>
          </cell>
          <cell r="F18081" t="str">
            <v>M260201R1</v>
          </cell>
          <cell r="J18081">
            <v>46090</v>
          </cell>
          <cell r="K18081">
            <v>6</v>
          </cell>
        </row>
        <row r="18082">
          <cell r="C18082" t="str">
            <v>葉宏政</v>
          </cell>
          <cell r="F18082" t="str">
            <v>K251101R1</v>
          </cell>
          <cell r="J18082">
            <v>46090</v>
          </cell>
          <cell r="K18082">
            <v>2</v>
          </cell>
        </row>
        <row r="18083">
          <cell r="C18083" t="str">
            <v>葉宏政</v>
          </cell>
          <cell r="F18083" t="str">
            <v>K240801R2</v>
          </cell>
          <cell r="J18083">
            <v>46090</v>
          </cell>
          <cell r="K18083">
            <v>1</v>
          </cell>
        </row>
        <row r="18084">
          <cell r="C18084" t="str">
            <v>葉宏政</v>
          </cell>
          <cell r="F18084" t="str">
            <v>M240804R1</v>
          </cell>
          <cell r="J18084">
            <v>46091</v>
          </cell>
          <cell r="K18084">
            <v>4</v>
          </cell>
        </row>
        <row r="18085">
          <cell r="C18085" t="str">
            <v>葉宏政</v>
          </cell>
          <cell r="F18085" t="str">
            <v>M250301C1</v>
          </cell>
          <cell r="J18085">
            <v>46091</v>
          </cell>
          <cell r="K18085">
            <v>3</v>
          </cell>
        </row>
        <row r="18086">
          <cell r="C18086" t="str">
            <v>葉宏政</v>
          </cell>
          <cell r="F18086" t="str">
            <v>K240801R2</v>
          </cell>
          <cell r="J18086">
            <v>46091</v>
          </cell>
          <cell r="K18086">
            <v>2</v>
          </cell>
        </row>
        <row r="18087">
          <cell r="C18087" t="str">
            <v>葉宏政</v>
          </cell>
          <cell r="F18087" t="str">
            <v>K251101R1</v>
          </cell>
          <cell r="J18087">
            <v>46092</v>
          </cell>
          <cell r="K18087">
            <v>3.5</v>
          </cell>
        </row>
        <row r="18088">
          <cell r="C18088" t="str">
            <v>葉宏政</v>
          </cell>
          <cell r="F18088" t="str">
            <v>M250301C1</v>
          </cell>
          <cell r="J18088">
            <v>46092</v>
          </cell>
          <cell r="K18088">
            <v>5.5</v>
          </cell>
        </row>
        <row r="18089">
          <cell r="C18089" t="str">
            <v>葉宏政</v>
          </cell>
          <cell r="F18089" t="str">
            <v>K251101R1</v>
          </cell>
          <cell r="J18089">
            <v>46093</v>
          </cell>
          <cell r="K18089">
            <v>3</v>
          </cell>
        </row>
        <row r="18090">
          <cell r="C18090" t="str">
            <v>葉宏政</v>
          </cell>
          <cell r="F18090" t="str">
            <v>M250301C1</v>
          </cell>
          <cell r="J18090">
            <v>46093</v>
          </cell>
          <cell r="K18090">
            <v>5</v>
          </cell>
        </row>
        <row r="18091">
          <cell r="C18091" t="str">
            <v>葉宏政</v>
          </cell>
          <cell r="J18091">
            <v>46094</v>
          </cell>
          <cell r="K18091">
            <v>1.5</v>
          </cell>
        </row>
        <row r="18092">
          <cell r="C18092" t="str">
            <v>葉宏政</v>
          </cell>
          <cell r="F18092" t="str">
            <v>K251101R1</v>
          </cell>
          <cell r="J18092">
            <v>46094</v>
          </cell>
          <cell r="K18092">
            <v>3</v>
          </cell>
        </row>
        <row r="18093">
          <cell r="C18093" t="str">
            <v>葉宏政</v>
          </cell>
          <cell r="F18093" t="str">
            <v>M250301C1</v>
          </cell>
          <cell r="J18093">
            <v>46094</v>
          </cell>
          <cell r="K18093">
            <v>4</v>
          </cell>
        </row>
        <row r="18094">
          <cell r="C18094" t="str">
            <v>葉宏政</v>
          </cell>
          <cell r="F18094" t="str">
            <v>M250301C1</v>
          </cell>
          <cell r="J18094">
            <v>46097</v>
          </cell>
          <cell r="K18094">
            <v>2</v>
          </cell>
        </row>
        <row r="18095">
          <cell r="C18095" t="str">
            <v>葉宏政</v>
          </cell>
          <cell r="F18095" t="str">
            <v>K231101R1</v>
          </cell>
          <cell r="J18095">
            <v>46097</v>
          </cell>
          <cell r="K18095">
            <v>1</v>
          </cell>
        </row>
        <row r="18096">
          <cell r="C18096" t="str">
            <v>葉宏政</v>
          </cell>
          <cell r="F18096" t="str">
            <v>M260201R1</v>
          </cell>
          <cell r="J18096">
            <v>46097</v>
          </cell>
          <cell r="K18096">
            <v>6</v>
          </cell>
        </row>
        <row r="18097">
          <cell r="C18097" t="str">
            <v>葉宏政</v>
          </cell>
          <cell r="F18097" t="str">
            <v>M260201R1</v>
          </cell>
          <cell r="J18097">
            <v>46098</v>
          </cell>
          <cell r="K18097">
            <v>5</v>
          </cell>
        </row>
        <row r="18098">
          <cell r="C18098" t="str">
            <v>葉宏政</v>
          </cell>
          <cell r="F18098" t="str">
            <v>K251101R1</v>
          </cell>
          <cell r="J18098">
            <v>46098</v>
          </cell>
          <cell r="K18098">
            <v>4</v>
          </cell>
        </row>
        <row r="18099">
          <cell r="C18099" t="str">
            <v>葉宏政</v>
          </cell>
          <cell r="F18099" t="str">
            <v>M260201R1</v>
          </cell>
          <cell r="J18099">
            <v>46099</v>
          </cell>
          <cell r="K18099">
            <v>5.5</v>
          </cell>
        </row>
        <row r="18100">
          <cell r="C18100" t="str">
            <v>葉宏政</v>
          </cell>
          <cell r="J18100">
            <v>46099</v>
          </cell>
          <cell r="K18100">
            <v>1</v>
          </cell>
        </row>
        <row r="18101">
          <cell r="C18101" t="str">
            <v>葉宏政</v>
          </cell>
          <cell r="F18101" t="str">
            <v>K251101R1</v>
          </cell>
          <cell r="J18101">
            <v>46099</v>
          </cell>
          <cell r="K18101">
            <v>2</v>
          </cell>
        </row>
        <row r="18102">
          <cell r="C18102" t="str">
            <v>葉宏政</v>
          </cell>
          <cell r="F18102" t="str">
            <v>M260201R1</v>
          </cell>
          <cell r="J18102">
            <v>46100</v>
          </cell>
          <cell r="K18102">
            <v>8.5</v>
          </cell>
        </row>
        <row r="18103">
          <cell r="C18103" t="str">
            <v>葉宏政</v>
          </cell>
          <cell r="F18103" t="str">
            <v>M260201R1</v>
          </cell>
          <cell r="J18103">
            <v>46101</v>
          </cell>
          <cell r="K18103">
            <v>7.5</v>
          </cell>
        </row>
        <row r="18104">
          <cell r="C18104" t="str">
            <v>葉宏政</v>
          </cell>
          <cell r="F18104" t="str">
            <v>K251101R1</v>
          </cell>
          <cell r="J18104">
            <v>46101</v>
          </cell>
          <cell r="K18104">
            <v>1</v>
          </cell>
        </row>
        <row r="18105">
          <cell r="C18105" t="str">
            <v>葉宏政</v>
          </cell>
          <cell r="F18105" t="str">
            <v>M260201R1</v>
          </cell>
          <cell r="J18105">
            <v>46104</v>
          </cell>
          <cell r="K18105">
            <v>0.5</v>
          </cell>
        </row>
        <row r="18106">
          <cell r="C18106" t="str">
            <v>葉宏政</v>
          </cell>
          <cell r="F18106" t="str">
            <v>M250301C1</v>
          </cell>
          <cell r="J18106">
            <v>46104</v>
          </cell>
          <cell r="K18106">
            <v>7.5</v>
          </cell>
        </row>
        <row r="18107">
          <cell r="C18107" t="str">
            <v>葉宏政</v>
          </cell>
          <cell r="F18107" t="str">
            <v>K251101R1</v>
          </cell>
          <cell r="J18107">
            <v>46104</v>
          </cell>
          <cell r="K18107">
            <v>1</v>
          </cell>
        </row>
        <row r="18108">
          <cell r="C18108" t="str">
            <v>葉宏政</v>
          </cell>
          <cell r="F18108" t="str">
            <v>M250301C1</v>
          </cell>
          <cell r="J18108">
            <v>46105</v>
          </cell>
          <cell r="K18108">
            <v>1</v>
          </cell>
        </row>
        <row r="18109">
          <cell r="C18109" t="str">
            <v>葉宏政</v>
          </cell>
          <cell r="F18109" t="str">
            <v>K251101R1</v>
          </cell>
          <cell r="J18109">
            <v>46105</v>
          </cell>
          <cell r="K18109">
            <v>8</v>
          </cell>
        </row>
        <row r="18110">
          <cell r="C18110" t="str">
            <v>葉宏政</v>
          </cell>
          <cell r="F18110" t="str">
            <v>M250301C1</v>
          </cell>
          <cell r="J18110">
            <v>46106</v>
          </cell>
          <cell r="K18110">
            <v>1.5</v>
          </cell>
        </row>
        <row r="18111">
          <cell r="C18111" t="str">
            <v>葉宏政</v>
          </cell>
          <cell r="F18111" t="str">
            <v>K251101R1</v>
          </cell>
          <cell r="J18111">
            <v>46106</v>
          </cell>
          <cell r="K18111">
            <v>7</v>
          </cell>
        </row>
        <row r="18112">
          <cell r="C18112" t="str">
            <v>葉宏政</v>
          </cell>
          <cell r="F18112" t="str">
            <v>M260201R1</v>
          </cell>
          <cell r="J18112">
            <v>46107</v>
          </cell>
          <cell r="K18112">
            <v>4</v>
          </cell>
        </row>
        <row r="18113">
          <cell r="C18113" t="str">
            <v>葉宏政</v>
          </cell>
          <cell r="F18113" t="str">
            <v>M250301C1</v>
          </cell>
          <cell r="J18113">
            <v>46107</v>
          </cell>
          <cell r="K18113">
            <v>3</v>
          </cell>
        </row>
        <row r="18114">
          <cell r="C18114" t="str">
            <v>葉宏政</v>
          </cell>
          <cell r="F18114" t="str">
            <v>K251101R1</v>
          </cell>
          <cell r="J18114">
            <v>46107</v>
          </cell>
          <cell r="K18114">
            <v>2</v>
          </cell>
        </row>
        <row r="18115">
          <cell r="C18115" t="str">
            <v>葉宏政</v>
          </cell>
          <cell r="F18115" t="str">
            <v>M250301C1</v>
          </cell>
          <cell r="J18115">
            <v>46108</v>
          </cell>
          <cell r="K18115">
            <v>2</v>
          </cell>
        </row>
        <row r="18116">
          <cell r="C18116" t="str">
            <v>葉宏政</v>
          </cell>
          <cell r="F18116" t="str">
            <v>K251101R1</v>
          </cell>
          <cell r="J18116">
            <v>46108</v>
          </cell>
          <cell r="K18116">
            <v>6.5</v>
          </cell>
        </row>
        <row r="18117">
          <cell r="C18117" t="str">
            <v>葉宏政</v>
          </cell>
          <cell r="F18117" t="str">
            <v>M250301C1</v>
          </cell>
          <cell r="J18117">
            <v>46111</v>
          </cell>
          <cell r="K18117">
            <v>0.5</v>
          </cell>
        </row>
        <row r="18118">
          <cell r="C18118" t="str">
            <v>葉宏政</v>
          </cell>
          <cell r="F18118" t="str">
            <v>D240902R1</v>
          </cell>
          <cell r="J18118">
            <v>46111</v>
          </cell>
          <cell r="K18118">
            <v>3</v>
          </cell>
        </row>
        <row r="18119">
          <cell r="C18119" t="str">
            <v>葉宏政</v>
          </cell>
          <cell r="F18119" t="str">
            <v>K251101R1</v>
          </cell>
          <cell r="J18119">
            <v>46111</v>
          </cell>
          <cell r="K18119">
            <v>6</v>
          </cell>
        </row>
        <row r="18120">
          <cell r="C18120" t="str">
            <v>葉宏政</v>
          </cell>
          <cell r="F18120" t="str">
            <v>M240804R1</v>
          </cell>
          <cell r="J18120">
            <v>46112</v>
          </cell>
          <cell r="K18120">
            <v>3</v>
          </cell>
        </row>
        <row r="18121">
          <cell r="C18121" t="str">
            <v>葉宏政</v>
          </cell>
          <cell r="F18121" t="str">
            <v>K251101R1</v>
          </cell>
          <cell r="J18121">
            <v>46112</v>
          </cell>
          <cell r="K18121">
            <v>5.5</v>
          </cell>
        </row>
        <row r="18122">
          <cell r="C18122" t="str">
            <v>葉宏政</v>
          </cell>
          <cell r="F18122" t="str">
            <v>M260201R1</v>
          </cell>
          <cell r="J18122">
            <v>46113</v>
          </cell>
          <cell r="K18122">
            <v>2</v>
          </cell>
        </row>
        <row r="18123">
          <cell r="C18123" t="str">
            <v>葉宏政</v>
          </cell>
          <cell r="F18123" t="str">
            <v>D240902R1</v>
          </cell>
          <cell r="J18123">
            <v>46113</v>
          </cell>
          <cell r="K18123">
            <v>1</v>
          </cell>
        </row>
        <row r="18124">
          <cell r="C18124" t="str">
            <v>葉宏政</v>
          </cell>
          <cell r="F18124" t="str">
            <v>K240801R2</v>
          </cell>
          <cell r="J18124">
            <v>46113</v>
          </cell>
          <cell r="K18124">
            <v>1</v>
          </cell>
        </row>
        <row r="18125">
          <cell r="C18125" t="str">
            <v>葉宏政</v>
          </cell>
          <cell r="F18125" t="str">
            <v>K251101R1</v>
          </cell>
          <cell r="J18125">
            <v>46113</v>
          </cell>
          <cell r="K18125">
            <v>4.5</v>
          </cell>
        </row>
        <row r="18126">
          <cell r="C18126" t="str">
            <v>葉宏政</v>
          </cell>
          <cell r="F18126" t="str">
            <v>M250301C1</v>
          </cell>
          <cell r="J18126">
            <v>46114</v>
          </cell>
          <cell r="K18126">
            <v>3</v>
          </cell>
        </row>
        <row r="18127">
          <cell r="C18127" t="str">
            <v>葉宏政</v>
          </cell>
          <cell r="F18127" t="str">
            <v>K240801R2</v>
          </cell>
          <cell r="J18127">
            <v>46114</v>
          </cell>
          <cell r="K18127">
            <v>1.5</v>
          </cell>
        </row>
        <row r="18128">
          <cell r="C18128" t="str">
            <v>葉宏政</v>
          </cell>
          <cell r="F18128" t="str">
            <v>K251101R1</v>
          </cell>
          <cell r="J18128">
            <v>46114</v>
          </cell>
          <cell r="K18128">
            <v>4</v>
          </cell>
        </row>
        <row r="18129">
          <cell r="C18129" t="str">
            <v>葉宏政</v>
          </cell>
          <cell r="J18129">
            <v>46119</v>
          </cell>
          <cell r="K18129">
            <v>6</v>
          </cell>
        </row>
        <row r="18130">
          <cell r="C18130" t="str">
            <v>葉宏政</v>
          </cell>
          <cell r="F18130" t="str">
            <v>K251101R1</v>
          </cell>
          <cell r="J18130">
            <v>46119</v>
          </cell>
          <cell r="K18130">
            <v>3</v>
          </cell>
        </row>
        <row r="18131">
          <cell r="C18131" t="str">
            <v>葉宏政</v>
          </cell>
          <cell r="J18131">
            <v>46120</v>
          </cell>
          <cell r="K18131">
            <v>1</v>
          </cell>
        </row>
        <row r="18132">
          <cell r="C18132" t="str">
            <v>葉宏政</v>
          </cell>
          <cell r="F18132" t="str">
            <v>K251101R1</v>
          </cell>
          <cell r="J18132">
            <v>46120</v>
          </cell>
          <cell r="K18132">
            <v>7.5</v>
          </cell>
        </row>
        <row r="18133">
          <cell r="C18133" t="str">
            <v>葉宏政</v>
          </cell>
          <cell r="J18133">
            <v>46121</v>
          </cell>
          <cell r="K18133">
            <v>6</v>
          </cell>
        </row>
        <row r="18134">
          <cell r="C18134" t="str">
            <v>葉宏政</v>
          </cell>
          <cell r="F18134" t="str">
            <v>M260201R1</v>
          </cell>
          <cell r="J18134">
            <v>46121</v>
          </cell>
          <cell r="K18134">
            <v>1</v>
          </cell>
        </row>
        <row r="18135">
          <cell r="C18135" t="str">
            <v>葉宏政</v>
          </cell>
          <cell r="F18135" t="str">
            <v>M250301C1</v>
          </cell>
          <cell r="J18135">
            <v>46121</v>
          </cell>
          <cell r="K18135">
            <v>1</v>
          </cell>
        </row>
        <row r="18136">
          <cell r="C18136" t="str">
            <v>葉宏政</v>
          </cell>
          <cell r="F18136" t="str">
            <v>K251101R1</v>
          </cell>
          <cell r="J18136">
            <v>46121</v>
          </cell>
          <cell r="K18136">
            <v>1.5</v>
          </cell>
        </row>
        <row r="18137">
          <cell r="C18137" t="str">
            <v>葉宏政</v>
          </cell>
          <cell r="F18137" t="str">
            <v>K251101R1</v>
          </cell>
          <cell r="J18137">
            <v>46122</v>
          </cell>
          <cell r="K18137">
            <v>8.5</v>
          </cell>
        </row>
        <row r="18138">
          <cell r="C18138" t="str">
            <v>葉宏政</v>
          </cell>
          <cell r="F18138" t="str">
            <v>M240804R1</v>
          </cell>
          <cell r="J18138">
            <v>46125</v>
          </cell>
          <cell r="K18138">
            <v>0.5</v>
          </cell>
        </row>
        <row r="18139">
          <cell r="C18139" t="str">
            <v>葉宏政</v>
          </cell>
          <cell r="F18139" t="str">
            <v>K251101R1</v>
          </cell>
          <cell r="J18139">
            <v>46125</v>
          </cell>
          <cell r="K18139">
            <v>7.5</v>
          </cell>
        </row>
        <row r="18140">
          <cell r="C18140" t="str">
            <v>葉宏政</v>
          </cell>
          <cell r="J18140">
            <v>46126</v>
          </cell>
          <cell r="K18140">
            <v>8</v>
          </cell>
        </row>
        <row r="18141">
          <cell r="C18141" t="str">
            <v>葉宏政</v>
          </cell>
          <cell r="F18141" t="str">
            <v>K251101R1</v>
          </cell>
          <cell r="J18141">
            <v>46127</v>
          </cell>
          <cell r="K18141">
            <v>7</v>
          </cell>
        </row>
        <row r="18142">
          <cell r="C18142" t="str">
            <v>葉宏政</v>
          </cell>
          <cell r="F18142" t="str">
            <v>M240804R1</v>
          </cell>
          <cell r="J18142">
            <v>46127</v>
          </cell>
          <cell r="K18142">
            <v>2</v>
          </cell>
        </row>
        <row r="18143">
          <cell r="C18143" t="str">
            <v>葉宏政</v>
          </cell>
          <cell r="F18143" t="str">
            <v>M240704R1</v>
          </cell>
          <cell r="J18143">
            <v>46128</v>
          </cell>
          <cell r="K18143">
            <v>1</v>
          </cell>
        </row>
        <row r="18144">
          <cell r="C18144" t="str">
            <v>葉宏政</v>
          </cell>
          <cell r="F18144" t="str">
            <v>M260301R1</v>
          </cell>
          <cell r="J18144">
            <v>46128</v>
          </cell>
          <cell r="K18144">
            <v>7</v>
          </cell>
        </row>
        <row r="18145">
          <cell r="C18145" t="str">
            <v>葉宏政</v>
          </cell>
          <cell r="F18145" t="str">
            <v>M240804R1</v>
          </cell>
          <cell r="J18145">
            <v>46128</v>
          </cell>
          <cell r="K18145">
            <v>1</v>
          </cell>
        </row>
        <row r="18146">
          <cell r="C18146" t="str">
            <v>葉宏政</v>
          </cell>
          <cell r="F18146" t="str">
            <v>M240704R1</v>
          </cell>
          <cell r="J18146">
            <v>46129</v>
          </cell>
          <cell r="K18146">
            <v>3</v>
          </cell>
        </row>
        <row r="18147">
          <cell r="C18147" t="str">
            <v>葉宏政</v>
          </cell>
          <cell r="F18147" t="str">
            <v>K251101R1</v>
          </cell>
          <cell r="J18147">
            <v>46129</v>
          </cell>
          <cell r="K18147">
            <v>2.5</v>
          </cell>
        </row>
        <row r="18148">
          <cell r="C18148" t="str">
            <v>葉宏政</v>
          </cell>
          <cell r="F18148" t="str">
            <v>D240902R1</v>
          </cell>
          <cell r="J18148">
            <v>46129</v>
          </cell>
          <cell r="K18148">
            <v>3</v>
          </cell>
        </row>
        <row r="18149">
          <cell r="C18149" t="str">
            <v>葉宏政</v>
          </cell>
          <cell r="F18149" t="str">
            <v>M260201R1</v>
          </cell>
          <cell r="J18149">
            <v>46132</v>
          </cell>
          <cell r="K18149">
            <v>1</v>
          </cell>
        </row>
        <row r="18150">
          <cell r="C18150" t="str">
            <v>葉宏政</v>
          </cell>
          <cell r="F18150" t="str">
            <v>K251101R1</v>
          </cell>
          <cell r="J18150">
            <v>46132</v>
          </cell>
          <cell r="K18150">
            <v>8.5</v>
          </cell>
        </row>
        <row r="18151">
          <cell r="C18151" t="str">
            <v>葉宏政</v>
          </cell>
          <cell r="J18151">
            <v>46133</v>
          </cell>
          <cell r="K18151">
            <v>1</v>
          </cell>
        </row>
        <row r="18152">
          <cell r="C18152" t="str">
            <v>葉宏政</v>
          </cell>
          <cell r="F18152" t="str">
            <v>M260201R1</v>
          </cell>
          <cell r="J18152">
            <v>46133</v>
          </cell>
          <cell r="K18152">
            <v>1.5</v>
          </cell>
        </row>
        <row r="18153">
          <cell r="C18153" t="str">
            <v>葉宏政</v>
          </cell>
          <cell r="F18153" t="str">
            <v>K251101R1</v>
          </cell>
          <cell r="J18153">
            <v>46133</v>
          </cell>
          <cell r="K18153">
            <v>6.5</v>
          </cell>
        </row>
        <row r="18154">
          <cell r="C18154" t="str">
            <v>葉宏政</v>
          </cell>
          <cell r="J18154">
            <v>46134</v>
          </cell>
          <cell r="K18154">
            <v>1</v>
          </cell>
        </row>
        <row r="18155">
          <cell r="C18155" t="str">
            <v>葉宏政</v>
          </cell>
          <cell r="F18155" t="str">
            <v>K251101R1</v>
          </cell>
          <cell r="J18155">
            <v>46134</v>
          </cell>
          <cell r="K18155">
            <v>3.5</v>
          </cell>
        </row>
        <row r="18156">
          <cell r="C18156" t="str">
            <v>葉宏政</v>
          </cell>
          <cell r="F18156" t="str">
            <v>M250301C1</v>
          </cell>
          <cell r="J18156">
            <v>46134</v>
          </cell>
          <cell r="K18156">
            <v>4</v>
          </cell>
        </row>
        <row r="18157">
          <cell r="C18157" t="str">
            <v>葉宏政</v>
          </cell>
          <cell r="F18157" t="str">
            <v>M250301C1</v>
          </cell>
          <cell r="J18157">
            <v>46135</v>
          </cell>
          <cell r="K18157">
            <v>3</v>
          </cell>
        </row>
        <row r="18158">
          <cell r="C18158" t="str">
            <v>葉宏政</v>
          </cell>
          <cell r="F18158" t="str">
            <v>K240801R2</v>
          </cell>
          <cell r="J18158">
            <v>46135</v>
          </cell>
          <cell r="K18158">
            <v>1</v>
          </cell>
        </row>
        <row r="18159">
          <cell r="C18159" t="str">
            <v>葉宏政</v>
          </cell>
          <cell r="F18159" t="str">
            <v>K251101R1</v>
          </cell>
          <cell r="J18159">
            <v>46135</v>
          </cell>
          <cell r="K18159">
            <v>5</v>
          </cell>
        </row>
        <row r="18160">
          <cell r="C18160" t="str">
            <v>葉宏政</v>
          </cell>
          <cell r="F18160" t="str">
            <v>M250301C1</v>
          </cell>
          <cell r="J18160">
            <v>46136</v>
          </cell>
          <cell r="K18160">
            <v>1</v>
          </cell>
        </row>
        <row r="18161">
          <cell r="C18161" t="str">
            <v>葉宏政</v>
          </cell>
          <cell r="F18161" t="str">
            <v>K251101R1</v>
          </cell>
          <cell r="J18161">
            <v>46136</v>
          </cell>
          <cell r="K18161">
            <v>5.5</v>
          </cell>
        </row>
        <row r="18162">
          <cell r="C18162" t="str">
            <v>葉宏政</v>
          </cell>
          <cell r="F18162" t="str">
            <v>M240704R1</v>
          </cell>
          <cell r="J18162">
            <v>46136</v>
          </cell>
          <cell r="K18162">
            <v>2</v>
          </cell>
        </row>
        <row r="18163">
          <cell r="C18163" t="str">
            <v>葉宏政</v>
          </cell>
          <cell r="J18163">
            <v>46139</v>
          </cell>
          <cell r="K18163">
            <v>8</v>
          </cell>
        </row>
        <row r="18164">
          <cell r="C18164" t="str">
            <v>葉宏政</v>
          </cell>
          <cell r="J18164">
            <v>46140</v>
          </cell>
          <cell r="K18164">
            <v>8</v>
          </cell>
        </row>
        <row r="18165">
          <cell r="C18165" t="str">
            <v>葉宏政</v>
          </cell>
          <cell r="J18165">
            <v>46141</v>
          </cell>
          <cell r="K18165">
            <v>2</v>
          </cell>
        </row>
        <row r="18166">
          <cell r="C18166" t="str">
            <v>葉宏政</v>
          </cell>
          <cell r="F18166" t="str">
            <v>M250301C1</v>
          </cell>
          <cell r="J18166">
            <v>46141</v>
          </cell>
          <cell r="K18166">
            <v>4</v>
          </cell>
        </row>
        <row r="18167">
          <cell r="C18167" t="str">
            <v>葉宏政</v>
          </cell>
          <cell r="F18167" t="str">
            <v>M260401C1</v>
          </cell>
          <cell r="J18167">
            <v>46141</v>
          </cell>
          <cell r="K18167">
            <v>3</v>
          </cell>
        </row>
        <row r="18168">
          <cell r="C18168" t="str">
            <v>葉宏政</v>
          </cell>
          <cell r="F18168" t="str">
            <v>M250301C1</v>
          </cell>
          <cell r="J18168">
            <v>46142</v>
          </cell>
          <cell r="K18168">
            <v>5.5</v>
          </cell>
        </row>
        <row r="18169">
          <cell r="C18169" t="str">
            <v>葉宏政</v>
          </cell>
          <cell r="F18169" t="str">
            <v>M260401C1</v>
          </cell>
          <cell r="J18169">
            <v>46142</v>
          </cell>
          <cell r="K18169">
            <v>3</v>
          </cell>
        </row>
        <row r="18170">
          <cell r="C18170" t="str">
            <v>葉宏政</v>
          </cell>
          <cell r="F18170" t="str">
            <v>D260406R1</v>
          </cell>
          <cell r="J18170">
            <v>46146</v>
          </cell>
          <cell r="K18170">
            <v>2.5</v>
          </cell>
        </row>
        <row r="18171">
          <cell r="C18171" t="str">
            <v>葉宏政</v>
          </cell>
          <cell r="F18171" t="str">
            <v>M250301C1</v>
          </cell>
          <cell r="J18171">
            <v>46146</v>
          </cell>
          <cell r="K18171">
            <v>7</v>
          </cell>
        </row>
        <row r="18172">
          <cell r="C18172" t="str">
            <v>葉宏政</v>
          </cell>
          <cell r="F18172" t="str">
            <v>M240804R1</v>
          </cell>
          <cell r="J18172">
            <v>46147</v>
          </cell>
          <cell r="K18172">
            <v>3</v>
          </cell>
        </row>
        <row r="18173">
          <cell r="C18173" t="str">
            <v>葉宏政</v>
          </cell>
          <cell r="F18173" t="str">
            <v>M250301C1</v>
          </cell>
          <cell r="J18173">
            <v>46147</v>
          </cell>
          <cell r="K18173">
            <v>5.5</v>
          </cell>
        </row>
        <row r="18174">
          <cell r="C18174" t="str">
            <v>葉宏政</v>
          </cell>
          <cell r="F18174" t="str">
            <v>M240804R1</v>
          </cell>
          <cell r="J18174">
            <v>46148</v>
          </cell>
          <cell r="K18174">
            <v>5</v>
          </cell>
        </row>
        <row r="18175">
          <cell r="C18175" t="str">
            <v>葉宏政</v>
          </cell>
          <cell r="F18175" t="str">
            <v>K251101R1</v>
          </cell>
          <cell r="J18175">
            <v>46148</v>
          </cell>
          <cell r="K18175">
            <v>4</v>
          </cell>
        </row>
        <row r="18176">
          <cell r="C18176" t="str">
            <v>葉宏政</v>
          </cell>
          <cell r="F18176" t="str">
            <v>D260406R1</v>
          </cell>
          <cell r="J18176">
            <v>46149</v>
          </cell>
          <cell r="K18176">
            <v>4</v>
          </cell>
        </row>
        <row r="18177">
          <cell r="C18177" t="str">
            <v>葉宏政</v>
          </cell>
          <cell r="F18177" t="str">
            <v>K240801R2</v>
          </cell>
          <cell r="J18177">
            <v>46149</v>
          </cell>
          <cell r="K18177">
            <v>5</v>
          </cell>
        </row>
        <row r="18178">
          <cell r="C18178" t="str">
            <v>葉宏政</v>
          </cell>
          <cell r="F18178" t="str">
            <v>M240704R1</v>
          </cell>
          <cell r="J18178">
            <v>46150</v>
          </cell>
          <cell r="K18178">
            <v>1.5</v>
          </cell>
        </row>
        <row r="18179">
          <cell r="C18179" t="str">
            <v>葉宏政</v>
          </cell>
          <cell r="F18179" t="str">
            <v>M240804R1</v>
          </cell>
          <cell r="J18179">
            <v>46150</v>
          </cell>
          <cell r="K18179">
            <v>4</v>
          </cell>
        </row>
        <row r="18180">
          <cell r="C18180" t="str">
            <v>葉宏政</v>
          </cell>
          <cell r="F18180" t="str">
            <v>K251101R1</v>
          </cell>
          <cell r="J18180">
            <v>46150</v>
          </cell>
          <cell r="K18180">
            <v>3</v>
          </cell>
        </row>
        <row r="18181">
          <cell r="C18181" t="str">
            <v>葉宏政</v>
          </cell>
          <cell r="F18181" t="str">
            <v>K231101R1</v>
          </cell>
          <cell r="J18181">
            <v>46153</v>
          </cell>
          <cell r="K18181">
            <v>2</v>
          </cell>
        </row>
        <row r="18182">
          <cell r="C18182" t="str">
            <v>葉宏政</v>
          </cell>
          <cell r="F18182" t="str">
            <v>D260406R1</v>
          </cell>
          <cell r="J18182">
            <v>46153</v>
          </cell>
          <cell r="K18182">
            <v>6.5</v>
          </cell>
        </row>
        <row r="18183">
          <cell r="C18183" t="str">
            <v>葉宏政</v>
          </cell>
          <cell r="F18183" t="str">
            <v>M250301C1</v>
          </cell>
          <cell r="J18183">
            <v>46153</v>
          </cell>
          <cell r="K18183">
            <v>1</v>
          </cell>
        </row>
        <row r="18184">
          <cell r="C18184" t="str">
            <v>葉宏政</v>
          </cell>
          <cell r="J18184">
            <v>46154</v>
          </cell>
          <cell r="K18184">
            <v>5</v>
          </cell>
        </row>
        <row r="18185">
          <cell r="C18185" t="str">
            <v>葉宏政</v>
          </cell>
          <cell r="F18185" t="str">
            <v>D260406R1</v>
          </cell>
          <cell r="J18185">
            <v>46154</v>
          </cell>
          <cell r="K18185">
            <v>2</v>
          </cell>
        </row>
        <row r="18186">
          <cell r="C18186" t="str">
            <v>葉宏政</v>
          </cell>
          <cell r="F18186" t="str">
            <v>M250301C1</v>
          </cell>
          <cell r="J18186">
            <v>46154</v>
          </cell>
          <cell r="K18186">
            <v>2</v>
          </cell>
        </row>
        <row r="18187">
          <cell r="C18187" t="str">
            <v>葉宏政</v>
          </cell>
          <cell r="F18187" t="str">
            <v>D260406R1</v>
          </cell>
          <cell r="J18187">
            <v>46155</v>
          </cell>
          <cell r="K18187">
            <v>6.5</v>
          </cell>
        </row>
        <row r="18188">
          <cell r="C18188" t="str">
            <v>葉宏政</v>
          </cell>
          <cell r="F18188" t="str">
            <v>M250301C1</v>
          </cell>
          <cell r="J18188">
            <v>46155</v>
          </cell>
          <cell r="K18188">
            <v>2</v>
          </cell>
        </row>
        <row r="18189">
          <cell r="C18189" t="str">
            <v>葉宏政</v>
          </cell>
          <cell r="F18189" t="str">
            <v>D260406R1</v>
          </cell>
          <cell r="J18189">
            <v>46156</v>
          </cell>
          <cell r="K18189">
            <v>6</v>
          </cell>
        </row>
        <row r="18190">
          <cell r="C18190" t="str">
            <v>葉宏政</v>
          </cell>
          <cell r="J18190">
            <v>46156</v>
          </cell>
          <cell r="K18190">
            <v>1.5</v>
          </cell>
        </row>
        <row r="18191">
          <cell r="C18191" t="str">
            <v>葉宏政</v>
          </cell>
          <cell r="F18191" t="str">
            <v>M250301C1</v>
          </cell>
          <cell r="J18191">
            <v>46156</v>
          </cell>
          <cell r="K18191">
            <v>1</v>
          </cell>
        </row>
        <row r="18192">
          <cell r="C18192" t="str">
            <v>葉宏政</v>
          </cell>
          <cell r="F18192" t="str">
            <v>D260406R1</v>
          </cell>
          <cell r="J18192">
            <v>46157</v>
          </cell>
          <cell r="K18192">
            <v>6.5</v>
          </cell>
        </row>
        <row r="18193">
          <cell r="C18193" t="str">
            <v>葉宏政</v>
          </cell>
          <cell r="F18193" t="str">
            <v>M240804R1</v>
          </cell>
          <cell r="J18193">
            <v>46157</v>
          </cell>
          <cell r="K18193">
            <v>2</v>
          </cell>
        </row>
        <row r="18194">
          <cell r="C18194" t="str">
            <v>葉宏政</v>
          </cell>
          <cell r="F18194" t="str">
            <v>D260406R1</v>
          </cell>
          <cell r="J18194">
            <v>46160</v>
          </cell>
          <cell r="K18194">
            <v>3</v>
          </cell>
        </row>
        <row r="18195">
          <cell r="C18195" t="str">
            <v>葉宏政</v>
          </cell>
          <cell r="F18195" t="str">
            <v>K251101R1</v>
          </cell>
          <cell r="J18195">
            <v>46160</v>
          </cell>
          <cell r="K18195">
            <v>6</v>
          </cell>
        </row>
        <row r="18196">
          <cell r="C18196" t="str">
            <v>葉宏政</v>
          </cell>
          <cell r="F18196" t="str">
            <v>D260406R1</v>
          </cell>
          <cell r="J18196">
            <v>46161</v>
          </cell>
          <cell r="K18196">
            <v>5.5</v>
          </cell>
        </row>
        <row r="18197">
          <cell r="C18197" t="str">
            <v>葉宏政</v>
          </cell>
          <cell r="F18197" t="str">
            <v>M240804R1</v>
          </cell>
          <cell r="J18197">
            <v>46161</v>
          </cell>
          <cell r="K18197">
            <v>3</v>
          </cell>
        </row>
        <row r="18198">
          <cell r="C18198" t="str">
            <v>葉宏政</v>
          </cell>
          <cell r="J18198">
            <v>46162</v>
          </cell>
          <cell r="K18198">
            <v>1</v>
          </cell>
        </row>
        <row r="18199">
          <cell r="C18199" t="str">
            <v>葉宏政</v>
          </cell>
          <cell r="F18199" t="str">
            <v>D260406R1</v>
          </cell>
          <cell r="J18199">
            <v>46162</v>
          </cell>
          <cell r="K18199">
            <v>7.5</v>
          </cell>
        </row>
        <row r="18200">
          <cell r="C18200" t="str">
            <v>洪子芸</v>
          </cell>
          <cell r="J18200">
            <v>45474</v>
          </cell>
          <cell r="K18200">
            <v>2</v>
          </cell>
        </row>
        <row r="18201">
          <cell r="C18201" t="str">
            <v>洪子芸</v>
          </cell>
          <cell r="F18201" t="str">
            <v>M240201R1</v>
          </cell>
          <cell r="J18201">
            <v>45474</v>
          </cell>
          <cell r="K18201">
            <v>4.5</v>
          </cell>
        </row>
        <row r="18202">
          <cell r="C18202" t="str">
            <v>洪子芸</v>
          </cell>
          <cell r="F18202" t="str">
            <v>K240101R1</v>
          </cell>
          <cell r="J18202">
            <v>45474</v>
          </cell>
          <cell r="K18202">
            <v>1.5</v>
          </cell>
        </row>
        <row r="18203">
          <cell r="C18203" t="str">
            <v>洪子芸</v>
          </cell>
          <cell r="J18203">
            <v>45475</v>
          </cell>
          <cell r="K18203">
            <v>2</v>
          </cell>
        </row>
        <row r="18204">
          <cell r="C18204" t="str">
            <v>洪子芸</v>
          </cell>
          <cell r="F18204" t="str">
            <v>M240201R1</v>
          </cell>
          <cell r="J18204">
            <v>45475</v>
          </cell>
          <cell r="K18204">
            <v>4.5</v>
          </cell>
        </row>
        <row r="18205">
          <cell r="C18205" t="str">
            <v>洪子芸</v>
          </cell>
          <cell r="F18205" t="str">
            <v>K240101R1</v>
          </cell>
          <cell r="J18205">
            <v>45475</v>
          </cell>
          <cell r="K18205">
            <v>1.5</v>
          </cell>
        </row>
        <row r="18206">
          <cell r="C18206" t="str">
            <v>洪子芸</v>
          </cell>
          <cell r="J18206">
            <v>45476</v>
          </cell>
          <cell r="K18206">
            <v>2</v>
          </cell>
        </row>
        <row r="18207">
          <cell r="C18207" t="str">
            <v>洪子芸</v>
          </cell>
          <cell r="J18207">
            <v>45476</v>
          </cell>
          <cell r="K18207">
            <v>2</v>
          </cell>
        </row>
        <row r="18208">
          <cell r="C18208" t="str">
            <v>洪子芸</v>
          </cell>
          <cell r="J18208">
            <v>45476</v>
          </cell>
          <cell r="K18208">
            <v>2</v>
          </cell>
        </row>
        <row r="18209">
          <cell r="C18209" t="str">
            <v>洪子芸</v>
          </cell>
          <cell r="J18209">
            <v>45476</v>
          </cell>
          <cell r="K18209">
            <v>2</v>
          </cell>
        </row>
        <row r="18210">
          <cell r="C18210" t="str">
            <v>洪子芸</v>
          </cell>
          <cell r="J18210">
            <v>45477</v>
          </cell>
          <cell r="K18210">
            <v>8</v>
          </cell>
        </row>
        <row r="18211">
          <cell r="C18211" t="str">
            <v>洪子芸</v>
          </cell>
          <cell r="J18211">
            <v>45478</v>
          </cell>
          <cell r="K18211">
            <v>3.5</v>
          </cell>
        </row>
        <row r="18212">
          <cell r="C18212" t="str">
            <v>洪子芸</v>
          </cell>
          <cell r="F18212" t="str">
            <v>M240201R1</v>
          </cell>
          <cell r="J18212">
            <v>45478</v>
          </cell>
          <cell r="K18212">
            <v>4.5</v>
          </cell>
        </row>
        <row r="18213">
          <cell r="C18213" t="str">
            <v>洪子芸</v>
          </cell>
          <cell r="F18213" t="str">
            <v>K240101R1</v>
          </cell>
          <cell r="J18213">
            <v>45481</v>
          </cell>
          <cell r="K18213">
            <v>8</v>
          </cell>
        </row>
        <row r="18214">
          <cell r="C18214" t="str">
            <v>洪子芸</v>
          </cell>
          <cell r="J18214">
            <v>45482</v>
          </cell>
          <cell r="K18214">
            <v>2</v>
          </cell>
        </row>
        <row r="18215">
          <cell r="C18215" t="str">
            <v>洪子芸</v>
          </cell>
          <cell r="F18215" t="str">
            <v>K240101R1</v>
          </cell>
          <cell r="J18215">
            <v>45482</v>
          </cell>
          <cell r="K18215">
            <v>6</v>
          </cell>
        </row>
        <row r="18216">
          <cell r="C18216" t="str">
            <v>洪子芸</v>
          </cell>
          <cell r="F18216" t="str">
            <v>K240101R1</v>
          </cell>
          <cell r="J18216">
            <v>45483</v>
          </cell>
          <cell r="K18216">
            <v>4</v>
          </cell>
        </row>
        <row r="18217">
          <cell r="C18217" t="str">
            <v>洪子芸</v>
          </cell>
          <cell r="J18217">
            <v>45483</v>
          </cell>
          <cell r="K18217">
            <v>2</v>
          </cell>
        </row>
        <row r="18218">
          <cell r="C18218" t="str">
            <v>洪子芸</v>
          </cell>
          <cell r="F18218" t="str">
            <v>M240201R1</v>
          </cell>
          <cell r="J18218">
            <v>45483</v>
          </cell>
          <cell r="K18218">
            <v>2</v>
          </cell>
        </row>
        <row r="18219">
          <cell r="C18219" t="str">
            <v>洪子芸</v>
          </cell>
          <cell r="F18219" t="str">
            <v>M230601R1</v>
          </cell>
          <cell r="J18219">
            <v>45484</v>
          </cell>
          <cell r="K18219">
            <v>3</v>
          </cell>
        </row>
        <row r="18220">
          <cell r="C18220" t="str">
            <v>洪子芸</v>
          </cell>
          <cell r="J18220">
            <v>45484</v>
          </cell>
          <cell r="K18220">
            <v>1</v>
          </cell>
        </row>
        <row r="18221">
          <cell r="C18221" t="str">
            <v>洪子芸</v>
          </cell>
          <cell r="F18221" t="str">
            <v>M240201R1</v>
          </cell>
          <cell r="J18221">
            <v>45484</v>
          </cell>
          <cell r="K18221">
            <v>4</v>
          </cell>
        </row>
        <row r="18222">
          <cell r="C18222" t="str">
            <v>洪子芸</v>
          </cell>
          <cell r="J18222">
            <v>45485</v>
          </cell>
          <cell r="K18222">
            <v>5</v>
          </cell>
        </row>
        <row r="18223">
          <cell r="C18223" t="str">
            <v>洪子芸</v>
          </cell>
          <cell r="F18223" t="str">
            <v>M230601R1</v>
          </cell>
          <cell r="J18223">
            <v>45485</v>
          </cell>
          <cell r="K18223">
            <v>3</v>
          </cell>
        </row>
        <row r="18224">
          <cell r="C18224" t="str">
            <v>洪子芸</v>
          </cell>
          <cell r="J18224">
            <v>45488</v>
          </cell>
          <cell r="K18224">
            <v>8</v>
          </cell>
        </row>
        <row r="18225">
          <cell r="C18225" t="str">
            <v>洪子芸</v>
          </cell>
          <cell r="J18225">
            <v>45489</v>
          </cell>
          <cell r="K18225">
            <v>1</v>
          </cell>
        </row>
        <row r="18226">
          <cell r="C18226" t="str">
            <v>洪子芸</v>
          </cell>
          <cell r="F18226" t="str">
            <v>K240101R1</v>
          </cell>
          <cell r="J18226">
            <v>45489</v>
          </cell>
          <cell r="K18226">
            <v>3.5</v>
          </cell>
        </row>
        <row r="18227">
          <cell r="C18227" t="str">
            <v>洪子芸</v>
          </cell>
          <cell r="F18227" t="str">
            <v>K240101R1</v>
          </cell>
          <cell r="J18227">
            <v>45489</v>
          </cell>
          <cell r="K18227">
            <v>3.5</v>
          </cell>
        </row>
        <row r="18228">
          <cell r="C18228" t="str">
            <v>洪子芸</v>
          </cell>
          <cell r="J18228">
            <v>45490</v>
          </cell>
          <cell r="K18228">
            <v>2</v>
          </cell>
        </row>
        <row r="18229">
          <cell r="C18229" t="str">
            <v>洪子芸</v>
          </cell>
          <cell r="F18229" t="str">
            <v>K240101R1</v>
          </cell>
          <cell r="J18229">
            <v>45490</v>
          </cell>
          <cell r="K18229">
            <v>6</v>
          </cell>
        </row>
        <row r="18230">
          <cell r="C18230" t="str">
            <v>洪子芸</v>
          </cell>
          <cell r="J18230">
            <v>45491</v>
          </cell>
          <cell r="K18230">
            <v>1</v>
          </cell>
        </row>
        <row r="18231">
          <cell r="C18231" t="str">
            <v>洪子芸</v>
          </cell>
          <cell r="F18231" t="str">
            <v>K240101R1</v>
          </cell>
          <cell r="J18231">
            <v>45491</v>
          </cell>
          <cell r="K18231">
            <v>6</v>
          </cell>
        </row>
        <row r="18232">
          <cell r="C18232" t="str">
            <v>洪子芸</v>
          </cell>
          <cell r="F18232" t="str">
            <v>M230103R1</v>
          </cell>
          <cell r="J18232">
            <v>45491</v>
          </cell>
          <cell r="K18232">
            <v>1</v>
          </cell>
        </row>
        <row r="18233">
          <cell r="C18233" t="str">
            <v>洪子芸</v>
          </cell>
          <cell r="J18233">
            <v>45492</v>
          </cell>
          <cell r="K18233">
            <v>1</v>
          </cell>
        </row>
        <row r="18234">
          <cell r="C18234" t="str">
            <v>洪子芸</v>
          </cell>
          <cell r="F18234" t="str">
            <v>M230103R1</v>
          </cell>
          <cell r="J18234">
            <v>45492</v>
          </cell>
          <cell r="K18234">
            <v>1.5</v>
          </cell>
        </row>
        <row r="18235">
          <cell r="C18235" t="str">
            <v>洪子芸</v>
          </cell>
          <cell r="F18235" t="str">
            <v>K240101R1</v>
          </cell>
          <cell r="J18235">
            <v>45492</v>
          </cell>
          <cell r="K18235">
            <v>4.5</v>
          </cell>
        </row>
        <row r="18236">
          <cell r="C18236" t="str">
            <v>洪子芸</v>
          </cell>
          <cell r="F18236" t="str">
            <v>M230103R1</v>
          </cell>
          <cell r="J18236">
            <v>45495</v>
          </cell>
          <cell r="K18236">
            <v>0.5</v>
          </cell>
        </row>
        <row r="18237">
          <cell r="C18237" t="str">
            <v>洪子芸</v>
          </cell>
          <cell r="F18237" t="str">
            <v>M240201R1</v>
          </cell>
          <cell r="J18237">
            <v>45495</v>
          </cell>
          <cell r="K18237">
            <v>7.5</v>
          </cell>
        </row>
        <row r="18238">
          <cell r="C18238" t="str">
            <v>洪子芸</v>
          </cell>
          <cell r="J18238">
            <v>45496</v>
          </cell>
          <cell r="K18238">
            <v>0.5</v>
          </cell>
        </row>
        <row r="18239">
          <cell r="C18239" t="str">
            <v>洪子芸</v>
          </cell>
          <cell r="F18239" t="str">
            <v>M230103R1</v>
          </cell>
          <cell r="J18239">
            <v>45496</v>
          </cell>
          <cell r="K18239">
            <v>1.5</v>
          </cell>
        </row>
        <row r="18240">
          <cell r="C18240" t="str">
            <v>洪子芸</v>
          </cell>
          <cell r="F18240" t="str">
            <v>M230705R1</v>
          </cell>
          <cell r="J18240">
            <v>45496</v>
          </cell>
          <cell r="K18240">
            <v>6</v>
          </cell>
        </row>
        <row r="18241">
          <cell r="C18241" t="str">
            <v>洪子芸</v>
          </cell>
          <cell r="J18241">
            <v>45497</v>
          </cell>
          <cell r="K18241">
            <v>8</v>
          </cell>
        </row>
        <row r="18242">
          <cell r="C18242" t="str">
            <v>洪子芸</v>
          </cell>
          <cell r="J18242">
            <v>45498</v>
          </cell>
          <cell r="K18242">
            <v>8</v>
          </cell>
        </row>
        <row r="18243">
          <cell r="C18243" t="str">
            <v>洪子芸</v>
          </cell>
          <cell r="F18243" t="str">
            <v>M230705R1</v>
          </cell>
          <cell r="J18243">
            <v>45499</v>
          </cell>
          <cell r="K18243">
            <v>4</v>
          </cell>
        </row>
        <row r="18244">
          <cell r="C18244" t="str">
            <v>洪子芸</v>
          </cell>
          <cell r="F18244" t="str">
            <v>M240804R1</v>
          </cell>
          <cell r="J18244">
            <v>45499</v>
          </cell>
          <cell r="K18244">
            <v>4</v>
          </cell>
        </row>
        <row r="18245">
          <cell r="C18245" t="str">
            <v>洪子芸</v>
          </cell>
          <cell r="F18245" t="str">
            <v>M230705R1</v>
          </cell>
          <cell r="J18245">
            <v>45502</v>
          </cell>
          <cell r="K18245">
            <v>3.5</v>
          </cell>
        </row>
        <row r="18246">
          <cell r="C18246" t="str">
            <v>洪子芸</v>
          </cell>
          <cell r="F18246" t="str">
            <v>M240804R1</v>
          </cell>
          <cell r="J18246">
            <v>45502</v>
          </cell>
          <cell r="K18246">
            <v>4.5</v>
          </cell>
        </row>
        <row r="18247">
          <cell r="C18247" t="str">
            <v>洪子芸</v>
          </cell>
          <cell r="F18247" t="str">
            <v>M240804R1</v>
          </cell>
          <cell r="J18247">
            <v>45503</v>
          </cell>
          <cell r="K18247">
            <v>8</v>
          </cell>
        </row>
        <row r="18248">
          <cell r="C18248" t="str">
            <v>洪子芸</v>
          </cell>
          <cell r="J18248">
            <v>45504</v>
          </cell>
          <cell r="K18248">
            <v>4.5</v>
          </cell>
        </row>
        <row r="18249">
          <cell r="C18249" t="str">
            <v>洪子芸</v>
          </cell>
          <cell r="F18249" t="str">
            <v>M240804R1</v>
          </cell>
          <cell r="J18249">
            <v>45504</v>
          </cell>
          <cell r="K18249">
            <v>3.5</v>
          </cell>
        </row>
        <row r="18250">
          <cell r="C18250" t="str">
            <v>洪子芸</v>
          </cell>
          <cell r="J18250">
            <v>45505</v>
          </cell>
          <cell r="K18250">
            <v>2</v>
          </cell>
        </row>
        <row r="18251">
          <cell r="C18251" t="str">
            <v>洪子芸</v>
          </cell>
          <cell r="F18251" t="str">
            <v>M240804R1</v>
          </cell>
          <cell r="J18251">
            <v>45505</v>
          </cell>
          <cell r="K18251">
            <v>6</v>
          </cell>
        </row>
        <row r="18252">
          <cell r="C18252" t="str">
            <v>洪子芸</v>
          </cell>
          <cell r="F18252" t="str">
            <v>M240804R1</v>
          </cell>
          <cell r="J18252">
            <v>45506</v>
          </cell>
          <cell r="K18252">
            <v>8</v>
          </cell>
        </row>
        <row r="18253">
          <cell r="C18253" t="str">
            <v>洪子芸</v>
          </cell>
          <cell r="F18253" t="str">
            <v>M230705R1</v>
          </cell>
          <cell r="J18253">
            <v>45509</v>
          </cell>
          <cell r="K18253">
            <v>2</v>
          </cell>
        </row>
        <row r="18254">
          <cell r="C18254" t="str">
            <v>洪子芸</v>
          </cell>
          <cell r="F18254" t="str">
            <v>M240804R1</v>
          </cell>
          <cell r="J18254">
            <v>45509</v>
          </cell>
          <cell r="K18254">
            <v>6</v>
          </cell>
        </row>
        <row r="18255">
          <cell r="C18255" t="str">
            <v>洪子芸</v>
          </cell>
          <cell r="F18255" t="str">
            <v>M240804R1</v>
          </cell>
          <cell r="J18255">
            <v>45510</v>
          </cell>
          <cell r="K18255">
            <v>4</v>
          </cell>
        </row>
        <row r="18256">
          <cell r="C18256" t="str">
            <v>洪子芸</v>
          </cell>
          <cell r="F18256" t="str">
            <v>M230705R1</v>
          </cell>
          <cell r="J18256">
            <v>45510</v>
          </cell>
          <cell r="K18256">
            <v>4</v>
          </cell>
        </row>
        <row r="18257">
          <cell r="C18257" t="str">
            <v>洪子芸</v>
          </cell>
          <cell r="J18257">
            <v>45511</v>
          </cell>
          <cell r="K18257">
            <v>8</v>
          </cell>
        </row>
        <row r="18258">
          <cell r="C18258" t="str">
            <v>洪子芸</v>
          </cell>
          <cell r="F18258" t="str">
            <v>M240804R1</v>
          </cell>
          <cell r="J18258">
            <v>45512</v>
          </cell>
          <cell r="K18258">
            <v>4</v>
          </cell>
        </row>
        <row r="18259">
          <cell r="C18259" t="str">
            <v>洪子芸</v>
          </cell>
          <cell r="F18259" t="str">
            <v>M240801R1</v>
          </cell>
          <cell r="J18259">
            <v>45512</v>
          </cell>
          <cell r="K18259">
            <v>4</v>
          </cell>
        </row>
        <row r="18260">
          <cell r="C18260" t="str">
            <v>洪子芸</v>
          </cell>
          <cell r="F18260" t="str">
            <v>M240804R1</v>
          </cell>
          <cell r="J18260">
            <v>45513</v>
          </cell>
          <cell r="K18260">
            <v>4</v>
          </cell>
        </row>
        <row r="18261">
          <cell r="C18261" t="str">
            <v>洪子芸</v>
          </cell>
          <cell r="F18261" t="str">
            <v>M240801R1</v>
          </cell>
          <cell r="J18261">
            <v>45513</v>
          </cell>
          <cell r="K18261">
            <v>4</v>
          </cell>
        </row>
        <row r="18262">
          <cell r="C18262" t="str">
            <v>洪子芸</v>
          </cell>
          <cell r="J18262">
            <v>45516</v>
          </cell>
          <cell r="K18262">
            <v>8</v>
          </cell>
        </row>
        <row r="18263">
          <cell r="C18263" t="str">
            <v>洪子芸</v>
          </cell>
          <cell r="F18263" t="str">
            <v>M230705R1</v>
          </cell>
          <cell r="J18263">
            <v>45517</v>
          </cell>
          <cell r="K18263">
            <v>8</v>
          </cell>
        </row>
        <row r="18264">
          <cell r="C18264" t="str">
            <v>洪子芸</v>
          </cell>
          <cell r="F18264" t="str">
            <v>M240804R1</v>
          </cell>
          <cell r="J18264">
            <v>45518</v>
          </cell>
          <cell r="K18264">
            <v>3.5</v>
          </cell>
        </row>
        <row r="18265">
          <cell r="C18265" t="str">
            <v>洪子芸</v>
          </cell>
          <cell r="F18265" t="str">
            <v>M230705R1</v>
          </cell>
          <cell r="J18265">
            <v>45518</v>
          </cell>
          <cell r="K18265">
            <v>4.5</v>
          </cell>
        </row>
        <row r="18266">
          <cell r="C18266" t="str">
            <v>洪子芸</v>
          </cell>
          <cell r="J18266">
            <v>45519</v>
          </cell>
          <cell r="K18266">
            <v>2.5</v>
          </cell>
        </row>
        <row r="18267">
          <cell r="C18267" t="str">
            <v>洪子芸</v>
          </cell>
          <cell r="F18267" t="str">
            <v>M240201R1</v>
          </cell>
          <cell r="J18267">
            <v>45519</v>
          </cell>
          <cell r="K18267">
            <v>5.5</v>
          </cell>
        </row>
        <row r="18268">
          <cell r="C18268" t="str">
            <v>洪子芸</v>
          </cell>
          <cell r="J18268">
            <v>45520</v>
          </cell>
          <cell r="K18268">
            <v>1.5</v>
          </cell>
        </row>
        <row r="18269">
          <cell r="C18269" t="str">
            <v>洪子芸</v>
          </cell>
          <cell r="F18269" t="str">
            <v>M230602R1</v>
          </cell>
          <cell r="J18269">
            <v>45520</v>
          </cell>
          <cell r="K18269">
            <v>1</v>
          </cell>
        </row>
        <row r="18270">
          <cell r="C18270" t="str">
            <v>洪子芸</v>
          </cell>
          <cell r="J18270">
            <v>45520</v>
          </cell>
          <cell r="K18270">
            <v>2</v>
          </cell>
        </row>
        <row r="18271">
          <cell r="C18271" t="str">
            <v>洪子芸</v>
          </cell>
          <cell r="F18271" t="str">
            <v>M230705R1</v>
          </cell>
          <cell r="J18271">
            <v>45520</v>
          </cell>
          <cell r="K18271">
            <v>1.5</v>
          </cell>
        </row>
        <row r="18272">
          <cell r="C18272" t="str">
            <v>洪子芸</v>
          </cell>
          <cell r="F18272" t="str">
            <v>M240201R1</v>
          </cell>
          <cell r="J18272">
            <v>45520</v>
          </cell>
          <cell r="K18272">
            <v>2</v>
          </cell>
        </row>
        <row r="18273">
          <cell r="C18273" t="str">
            <v>洪子芸</v>
          </cell>
          <cell r="J18273">
            <v>45523</v>
          </cell>
          <cell r="K18273">
            <v>2</v>
          </cell>
        </row>
        <row r="18274">
          <cell r="C18274" t="str">
            <v>洪子芸</v>
          </cell>
          <cell r="F18274" t="str">
            <v>M240804R1</v>
          </cell>
          <cell r="J18274">
            <v>45523</v>
          </cell>
          <cell r="K18274">
            <v>6</v>
          </cell>
        </row>
        <row r="18275">
          <cell r="C18275" t="str">
            <v>洪子芸</v>
          </cell>
          <cell r="F18275" t="str">
            <v>K240801R1</v>
          </cell>
          <cell r="J18275">
            <v>45524</v>
          </cell>
          <cell r="K18275">
            <v>8</v>
          </cell>
        </row>
        <row r="18276">
          <cell r="C18276" t="str">
            <v>洪子芸</v>
          </cell>
          <cell r="J18276">
            <v>45525</v>
          </cell>
          <cell r="K18276">
            <v>1</v>
          </cell>
        </row>
        <row r="18277">
          <cell r="C18277" t="str">
            <v>洪子芸</v>
          </cell>
          <cell r="J18277">
            <v>45525</v>
          </cell>
          <cell r="K18277">
            <v>1</v>
          </cell>
        </row>
        <row r="18278">
          <cell r="C18278" t="str">
            <v>洪子芸</v>
          </cell>
          <cell r="F18278" t="str">
            <v>K240801R1</v>
          </cell>
          <cell r="J18278">
            <v>45525</v>
          </cell>
          <cell r="K18278">
            <v>6</v>
          </cell>
        </row>
        <row r="18279">
          <cell r="C18279" t="str">
            <v>洪子芸</v>
          </cell>
          <cell r="J18279">
            <v>45526</v>
          </cell>
          <cell r="K18279">
            <v>1</v>
          </cell>
        </row>
        <row r="18280">
          <cell r="C18280" t="str">
            <v>洪子芸</v>
          </cell>
          <cell r="J18280">
            <v>45526</v>
          </cell>
          <cell r="K18280">
            <v>0.5</v>
          </cell>
        </row>
        <row r="18281">
          <cell r="C18281" t="str">
            <v>洪子芸</v>
          </cell>
          <cell r="F18281" t="str">
            <v>K240801R1</v>
          </cell>
          <cell r="J18281">
            <v>45526</v>
          </cell>
          <cell r="K18281">
            <v>6.5</v>
          </cell>
        </row>
        <row r="18282">
          <cell r="C18282" t="str">
            <v>洪子芸</v>
          </cell>
          <cell r="J18282">
            <v>45527</v>
          </cell>
          <cell r="K18282">
            <v>1</v>
          </cell>
        </row>
        <row r="18283">
          <cell r="C18283" t="str">
            <v>洪子芸</v>
          </cell>
          <cell r="F18283" t="str">
            <v>K240801R1</v>
          </cell>
          <cell r="J18283">
            <v>45527</v>
          </cell>
          <cell r="K18283">
            <v>6.5</v>
          </cell>
        </row>
        <row r="18284">
          <cell r="C18284" t="str">
            <v>洪子芸</v>
          </cell>
          <cell r="F18284" t="str">
            <v>M230602R1</v>
          </cell>
          <cell r="J18284">
            <v>45527</v>
          </cell>
          <cell r="K18284">
            <v>0.5</v>
          </cell>
        </row>
        <row r="18285">
          <cell r="C18285" t="str">
            <v>洪子芸</v>
          </cell>
          <cell r="F18285" t="str">
            <v>M240804R1</v>
          </cell>
          <cell r="J18285">
            <v>45530</v>
          </cell>
          <cell r="K18285">
            <v>4.5</v>
          </cell>
        </row>
        <row r="18286">
          <cell r="C18286" t="str">
            <v>洪子芸</v>
          </cell>
          <cell r="F18286" t="str">
            <v>K240801R1</v>
          </cell>
          <cell r="J18286">
            <v>45530</v>
          </cell>
          <cell r="K18286">
            <v>3.5</v>
          </cell>
        </row>
        <row r="18287">
          <cell r="C18287" t="str">
            <v>洪子芸</v>
          </cell>
          <cell r="F18287" t="str">
            <v>K240801R1</v>
          </cell>
          <cell r="J18287">
            <v>45531</v>
          </cell>
          <cell r="K18287">
            <v>8</v>
          </cell>
        </row>
        <row r="18288">
          <cell r="C18288" t="str">
            <v>洪子芸</v>
          </cell>
          <cell r="F18288" t="str">
            <v>K240801R1</v>
          </cell>
          <cell r="J18288">
            <v>45532</v>
          </cell>
          <cell r="K18288">
            <v>8</v>
          </cell>
        </row>
        <row r="18289">
          <cell r="C18289" t="str">
            <v>洪子芸</v>
          </cell>
          <cell r="J18289">
            <v>45533</v>
          </cell>
          <cell r="K18289">
            <v>1</v>
          </cell>
        </row>
        <row r="18290">
          <cell r="C18290" t="str">
            <v>洪子芸</v>
          </cell>
          <cell r="F18290" t="str">
            <v>K240801R1</v>
          </cell>
          <cell r="J18290">
            <v>45533</v>
          </cell>
          <cell r="K18290">
            <v>7</v>
          </cell>
        </row>
        <row r="18291">
          <cell r="C18291" t="str">
            <v>洪子芸</v>
          </cell>
          <cell r="F18291" t="str">
            <v>K240801R1</v>
          </cell>
          <cell r="J18291">
            <v>45534</v>
          </cell>
          <cell r="K18291">
            <v>8</v>
          </cell>
        </row>
        <row r="18292">
          <cell r="C18292" t="str">
            <v>洪子芸</v>
          </cell>
          <cell r="J18292">
            <v>45537</v>
          </cell>
          <cell r="K18292">
            <v>8</v>
          </cell>
        </row>
        <row r="18293">
          <cell r="C18293" t="str">
            <v>洪子芸</v>
          </cell>
          <cell r="F18293" t="str">
            <v>M240804R1</v>
          </cell>
          <cell r="J18293">
            <v>45538</v>
          </cell>
          <cell r="K18293">
            <v>8</v>
          </cell>
        </row>
        <row r="18294">
          <cell r="C18294" t="str">
            <v>洪子芸</v>
          </cell>
          <cell r="J18294">
            <v>45539</v>
          </cell>
          <cell r="K18294">
            <v>4.5</v>
          </cell>
        </row>
        <row r="18295">
          <cell r="C18295" t="str">
            <v>洪子芸</v>
          </cell>
          <cell r="F18295" t="str">
            <v>K240801R1</v>
          </cell>
          <cell r="J18295">
            <v>45539</v>
          </cell>
          <cell r="K18295">
            <v>3.5</v>
          </cell>
        </row>
        <row r="18296">
          <cell r="C18296" t="str">
            <v>洪子芸</v>
          </cell>
          <cell r="F18296" t="str">
            <v>K240801R1</v>
          </cell>
          <cell r="J18296">
            <v>45540</v>
          </cell>
          <cell r="K18296">
            <v>8</v>
          </cell>
        </row>
        <row r="18297">
          <cell r="C18297" t="str">
            <v>洪子芸</v>
          </cell>
          <cell r="F18297" t="str">
            <v>M240804R1</v>
          </cell>
          <cell r="J18297">
            <v>45541</v>
          </cell>
          <cell r="K18297">
            <v>3.5</v>
          </cell>
        </row>
        <row r="18298">
          <cell r="C18298" t="str">
            <v>洪子芸</v>
          </cell>
          <cell r="F18298" t="str">
            <v>K240801R1</v>
          </cell>
          <cell r="J18298">
            <v>45541</v>
          </cell>
          <cell r="K18298">
            <v>1.5</v>
          </cell>
        </row>
        <row r="18299">
          <cell r="C18299" t="str">
            <v>洪子芸</v>
          </cell>
          <cell r="F18299" t="str">
            <v>K240101R1</v>
          </cell>
          <cell r="J18299">
            <v>45541</v>
          </cell>
          <cell r="K18299">
            <v>3</v>
          </cell>
        </row>
        <row r="18300">
          <cell r="C18300" t="str">
            <v>洪子芸</v>
          </cell>
          <cell r="J18300">
            <v>45544</v>
          </cell>
          <cell r="K18300">
            <v>8</v>
          </cell>
        </row>
        <row r="18301">
          <cell r="C18301" t="str">
            <v>洪子芸</v>
          </cell>
          <cell r="F18301" t="str">
            <v>K240801R1</v>
          </cell>
          <cell r="J18301">
            <v>45545</v>
          </cell>
          <cell r="K18301">
            <v>8</v>
          </cell>
        </row>
        <row r="18302">
          <cell r="C18302" t="str">
            <v>洪子芸</v>
          </cell>
          <cell r="J18302">
            <v>45546</v>
          </cell>
          <cell r="K18302">
            <v>0.5</v>
          </cell>
        </row>
        <row r="18303">
          <cell r="C18303" t="str">
            <v>洪子芸</v>
          </cell>
          <cell r="F18303" t="str">
            <v>K240801R1</v>
          </cell>
          <cell r="J18303">
            <v>45546</v>
          </cell>
          <cell r="K18303">
            <v>7.5</v>
          </cell>
        </row>
        <row r="18304">
          <cell r="C18304" t="str">
            <v>洪子芸</v>
          </cell>
          <cell r="J18304">
            <v>45547</v>
          </cell>
          <cell r="K18304">
            <v>2</v>
          </cell>
        </row>
        <row r="18305">
          <cell r="C18305" t="str">
            <v>洪子芸</v>
          </cell>
          <cell r="F18305" t="str">
            <v>K240801R1</v>
          </cell>
          <cell r="J18305">
            <v>45547</v>
          </cell>
          <cell r="K18305">
            <v>6</v>
          </cell>
        </row>
        <row r="18306">
          <cell r="C18306" t="str">
            <v>洪子芸</v>
          </cell>
          <cell r="F18306" t="str">
            <v>M240804R1</v>
          </cell>
          <cell r="J18306">
            <v>45548</v>
          </cell>
          <cell r="K18306">
            <v>3</v>
          </cell>
        </row>
        <row r="18307">
          <cell r="C18307" t="str">
            <v>洪子芸</v>
          </cell>
          <cell r="F18307" t="str">
            <v>K240801R1</v>
          </cell>
          <cell r="J18307">
            <v>45548</v>
          </cell>
          <cell r="K18307">
            <v>5</v>
          </cell>
        </row>
        <row r="18308">
          <cell r="C18308" t="str">
            <v>洪子芸</v>
          </cell>
          <cell r="J18308">
            <v>45551</v>
          </cell>
          <cell r="K18308">
            <v>8</v>
          </cell>
        </row>
        <row r="18309">
          <cell r="C18309" t="str">
            <v>洪子芸</v>
          </cell>
          <cell r="J18309">
            <v>45552</v>
          </cell>
          <cell r="K18309">
            <v>8</v>
          </cell>
        </row>
        <row r="18310">
          <cell r="C18310" t="str">
            <v>洪子芸</v>
          </cell>
          <cell r="F18310" t="str">
            <v>K240801R1</v>
          </cell>
          <cell r="J18310">
            <v>45553</v>
          </cell>
          <cell r="K18310">
            <v>8</v>
          </cell>
        </row>
        <row r="18311">
          <cell r="C18311" t="str">
            <v>洪子芸</v>
          </cell>
          <cell r="J18311">
            <v>45554</v>
          </cell>
          <cell r="K18311">
            <v>0.5</v>
          </cell>
        </row>
        <row r="18312">
          <cell r="C18312" t="str">
            <v>洪子芸</v>
          </cell>
          <cell r="F18312" t="str">
            <v>K240801R1</v>
          </cell>
          <cell r="J18312">
            <v>45554</v>
          </cell>
          <cell r="K18312">
            <v>7.5</v>
          </cell>
        </row>
        <row r="18313">
          <cell r="C18313" t="str">
            <v>洪子芸</v>
          </cell>
          <cell r="J18313">
            <v>45555</v>
          </cell>
          <cell r="K18313">
            <v>2</v>
          </cell>
        </row>
        <row r="18314">
          <cell r="C18314" t="str">
            <v>洪子芸</v>
          </cell>
          <cell r="J18314">
            <v>45555</v>
          </cell>
          <cell r="K18314">
            <v>1.5</v>
          </cell>
        </row>
        <row r="18315">
          <cell r="C18315" t="str">
            <v>洪子芸</v>
          </cell>
          <cell r="F18315" t="str">
            <v>K240801R1</v>
          </cell>
          <cell r="J18315">
            <v>45555</v>
          </cell>
          <cell r="K18315">
            <v>4</v>
          </cell>
        </row>
        <row r="18316">
          <cell r="C18316" t="str">
            <v>洪子芸</v>
          </cell>
          <cell r="J18316">
            <v>45558</v>
          </cell>
          <cell r="K18316">
            <v>2</v>
          </cell>
        </row>
        <row r="18317">
          <cell r="C18317" t="str">
            <v>洪子芸</v>
          </cell>
          <cell r="F18317" t="str">
            <v>K240801R1</v>
          </cell>
          <cell r="J18317">
            <v>45558</v>
          </cell>
          <cell r="K18317">
            <v>1.5</v>
          </cell>
        </row>
        <row r="18318">
          <cell r="C18318" t="str">
            <v>洪子芸</v>
          </cell>
          <cell r="F18318" t="str">
            <v>K240101R1</v>
          </cell>
          <cell r="J18318">
            <v>45558</v>
          </cell>
          <cell r="K18318">
            <v>4.5</v>
          </cell>
        </row>
        <row r="18319">
          <cell r="C18319" t="str">
            <v>洪子芸</v>
          </cell>
          <cell r="F18319" t="str">
            <v>M230901R1</v>
          </cell>
          <cell r="J18319">
            <v>45559</v>
          </cell>
          <cell r="K18319">
            <v>8</v>
          </cell>
        </row>
        <row r="18320">
          <cell r="C18320" t="str">
            <v>洪子芸</v>
          </cell>
          <cell r="J18320">
            <v>45560</v>
          </cell>
          <cell r="K18320">
            <v>1</v>
          </cell>
        </row>
        <row r="18321">
          <cell r="C18321" t="str">
            <v>洪子芸</v>
          </cell>
          <cell r="F18321" t="str">
            <v>M230901R1</v>
          </cell>
          <cell r="J18321">
            <v>45560</v>
          </cell>
          <cell r="K18321">
            <v>7</v>
          </cell>
        </row>
        <row r="18322">
          <cell r="C18322" t="str">
            <v>洪子芸</v>
          </cell>
          <cell r="J18322">
            <v>45561</v>
          </cell>
          <cell r="K18322">
            <v>2</v>
          </cell>
        </row>
        <row r="18323">
          <cell r="C18323" t="str">
            <v>洪子芸</v>
          </cell>
          <cell r="F18323" t="str">
            <v>K240801R1</v>
          </cell>
          <cell r="J18323">
            <v>45561</v>
          </cell>
          <cell r="K18323">
            <v>6</v>
          </cell>
        </row>
        <row r="18324">
          <cell r="C18324" t="str">
            <v>洪子芸</v>
          </cell>
          <cell r="J18324">
            <v>45562</v>
          </cell>
          <cell r="K18324">
            <v>1</v>
          </cell>
        </row>
        <row r="18325">
          <cell r="C18325" t="str">
            <v>洪子芸</v>
          </cell>
          <cell r="F18325" t="str">
            <v>M230901R1</v>
          </cell>
          <cell r="J18325">
            <v>45562</v>
          </cell>
          <cell r="K18325">
            <v>7</v>
          </cell>
        </row>
        <row r="18326">
          <cell r="C18326" t="str">
            <v>洪子芸</v>
          </cell>
          <cell r="J18326">
            <v>45565</v>
          </cell>
          <cell r="K18326">
            <v>8</v>
          </cell>
        </row>
        <row r="18327">
          <cell r="C18327" t="str">
            <v>洪子芸</v>
          </cell>
          <cell r="J18327">
            <v>45566</v>
          </cell>
          <cell r="K18327">
            <v>1.5</v>
          </cell>
        </row>
        <row r="18328">
          <cell r="C18328" t="str">
            <v>洪子芸</v>
          </cell>
          <cell r="F18328" t="str">
            <v>M240804R1</v>
          </cell>
          <cell r="J18328">
            <v>45566</v>
          </cell>
          <cell r="K18328">
            <v>1.5</v>
          </cell>
        </row>
        <row r="18329">
          <cell r="C18329" t="str">
            <v>洪子芸</v>
          </cell>
          <cell r="F18329" t="str">
            <v>K240801R1</v>
          </cell>
          <cell r="J18329">
            <v>45566</v>
          </cell>
          <cell r="K18329">
            <v>5</v>
          </cell>
        </row>
        <row r="18330">
          <cell r="C18330" t="str">
            <v>洪子芸</v>
          </cell>
          <cell r="J18330">
            <v>45567</v>
          </cell>
          <cell r="K18330">
            <v>8</v>
          </cell>
        </row>
        <row r="18331">
          <cell r="C18331" t="str">
            <v>洪子芸</v>
          </cell>
          <cell r="J18331">
            <v>45568</v>
          </cell>
          <cell r="K18331">
            <v>8</v>
          </cell>
        </row>
        <row r="18332">
          <cell r="C18332" t="str">
            <v>洪子芸</v>
          </cell>
          <cell r="J18332">
            <v>45569</v>
          </cell>
          <cell r="K18332">
            <v>3.5</v>
          </cell>
        </row>
        <row r="18333">
          <cell r="C18333" t="str">
            <v>洪子芸</v>
          </cell>
          <cell r="F18333" t="str">
            <v>M240804R1</v>
          </cell>
          <cell r="J18333">
            <v>45569</v>
          </cell>
          <cell r="K18333">
            <v>4.5</v>
          </cell>
        </row>
        <row r="18334">
          <cell r="C18334" t="str">
            <v>洪子芸</v>
          </cell>
          <cell r="J18334">
            <v>45572</v>
          </cell>
          <cell r="K18334">
            <v>2</v>
          </cell>
        </row>
        <row r="18335">
          <cell r="C18335" t="str">
            <v>洪子芸</v>
          </cell>
          <cell r="F18335" t="str">
            <v>M240804R1</v>
          </cell>
          <cell r="J18335">
            <v>45572</v>
          </cell>
          <cell r="K18335">
            <v>1.5</v>
          </cell>
        </row>
        <row r="18336">
          <cell r="C18336" t="str">
            <v>洪子芸</v>
          </cell>
          <cell r="F18336" t="str">
            <v>K240801R1</v>
          </cell>
          <cell r="J18336">
            <v>45572</v>
          </cell>
          <cell r="K18336">
            <v>4.5</v>
          </cell>
        </row>
        <row r="18337">
          <cell r="C18337" t="str">
            <v>洪子芸</v>
          </cell>
          <cell r="J18337">
            <v>45573</v>
          </cell>
          <cell r="K18337">
            <v>0.5</v>
          </cell>
        </row>
        <row r="18338">
          <cell r="C18338" t="str">
            <v>洪子芸</v>
          </cell>
          <cell r="F18338" t="str">
            <v>M240804R1</v>
          </cell>
          <cell r="J18338">
            <v>45573</v>
          </cell>
          <cell r="K18338">
            <v>3.5</v>
          </cell>
        </row>
        <row r="18339">
          <cell r="C18339" t="str">
            <v>洪子芸</v>
          </cell>
          <cell r="F18339" t="str">
            <v>M230901R1</v>
          </cell>
          <cell r="J18339">
            <v>45573</v>
          </cell>
          <cell r="K18339">
            <v>4</v>
          </cell>
        </row>
        <row r="18340">
          <cell r="C18340" t="str">
            <v>洪子芸</v>
          </cell>
          <cell r="J18340">
            <v>45574</v>
          </cell>
          <cell r="K18340">
            <v>2</v>
          </cell>
        </row>
        <row r="18341">
          <cell r="C18341" t="str">
            <v>洪子芸</v>
          </cell>
          <cell r="F18341" t="str">
            <v>M240804R1</v>
          </cell>
          <cell r="J18341">
            <v>45574</v>
          </cell>
          <cell r="K18341">
            <v>2.5</v>
          </cell>
        </row>
        <row r="18342">
          <cell r="C18342" t="str">
            <v>洪子芸</v>
          </cell>
          <cell r="F18342" t="str">
            <v>M230901R1</v>
          </cell>
          <cell r="J18342">
            <v>45574</v>
          </cell>
          <cell r="K18342">
            <v>3.5</v>
          </cell>
        </row>
        <row r="18343">
          <cell r="C18343" t="str">
            <v>洪子芸</v>
          </cell>
          <cell r="J18343">
            <v>45576</v>
          </cell>
          <cell r="K18343">
            <v>2</v>
          </cell>
        </row>
        <row r="18344">
          <cell r="C18344" t="str">
            <v>洪子芸</v>
          </cell>
          <cell r="F18344" t="str">
            <v>K240801R1</v>
          </cell>
          <cell r="J18344">
            <v>45576</v>
          </cell>
          <cell r="K18344">
            <v>6</v>
          </cell>
        </row>
        <row r="18345">
          <cell r="C18345" t="str">
            <v>洪子芸</v>
          </cell>
          <cell r="J18345">
            <v>45579</v>
          </cell>
          <cell r="K18345">
            <v>1</v>
          </cell>
        </row>
        <row r="18346">
          <cell r="C18346" t="str">
            <v>洪子芸</v>
          </cell>
          <cell r="F18346" t="str">
            <v>M230901R1</v>
          </cell>
          <cell r="J18346">
            <v>45579</v>
          </cell>
          <cell r="K18346">
            <v>2</v>
          </cell>
        </row>
        <row r="18347">
          <cell r="C18347" t="str">
            <v>洪子芸</v>
          </cell>
          <cell r="F18347" t="str">
            <v>M240201R1</v>
          </cell>
          <cell r="J18347">
            <v>45579</v>
          </cell>
          <cell r="K18347">
            <v>2</v>
          </cell>
        </row>
        <row r="18348">
          <cell r="C18348" t="str">
            <v>洪子芸</v>
          </cell>
          <cell r="F18348" t="str">
            <v>K240801R1</v>
          </cell>
          <cell r="J18348">
            <v>45579</v>
          </cell>
          <cell r="K18348">
            <v>3</v>
          </cell>
        </row>
        <row r="18349">
          <cell r="C18349" t="str">
            <v>洪子芸</v>
          </cell>
          <cell r="F18349" t="str">
            <v>M230901R1</v>
          </cell>
          <cell r="J18349">
            <v>45580</v>
          </cell>
          <cell r="K18349">
            <v>1</v>
          </cell>
        </row>
        <row r="18350">
          <cell r="C18350" t="str">
            <v>洪子芸</v>
          </cell>
          <cell r="F18350" t="str">
            <v>M240201R1</v>
          </cell>
          <cell r="J18350">
            <v>45580</v>
          </cell>
          <cell r="K18350">
            <v>1</v>
          </cell>
        </row>
        <row r="18351">
          <cell r="C18351" t="str">
            <v>洪子芸</v>
          </cell>
          <cell r="F18351" t="str">
            <v>K240801R1</v>
          </cell>
          <cell r="J18351">
            <v>45580</v>
          </cell>
          <cell r="K18351">
            <v>6</v>
          </cell>
        </row>
        <row r="18352">
          <cell r="C18352" t="str">
            <v>洪子芸</v>
          </cell>
          <cell r="J18352">
            <v>45581</v>
          </cell>
          <cell r="K18352">
            <v>0.5</v>
          </cell>
        </row>
        <row r="18353">
          <cell r="C18353" t="str">
            <v>洪子芸</v>
          </cell>
          <cell r="F18353" t="str">
            <v>K240801R1</v>
          </cell>
          <cell r="J18353">
            <v>45581</v>
          </cell>
          <cell r="K18353">
            <v>7.5</v>
          </cell>
        </row>
        <row r="18354">
          <cell r="C18354" t="str">
            <v>洪子芸</v>
          </cell>
          <cell r="J18354">
            <v>45582</v>
          </cell>
          <cell r="K18354">
            <v>0.5</v>
          </cell>
        </row>
        <row r="18355">
          <cell r="C18355" t="str">
            <v>洪子芸</v>
          </cell>
          <cell r="F18355" t="str">
            <v>K240801R1</v>
          </cell>
          <cell r="J18355">
            <v>45582</v>
          </cell>
          <cell r="K18355">
            <v>7.5</v>
          </cell>
        </row>
        <row r="18356">
          <cell r="C18356" t="str">
            <v>洪子芸</v>
          </cell>
          <cell r="F18356" t="str">
            <v>M240702R1</v>
          </cell>
          <cell r="J18356">
            <v>45583</v>
          </cell>
          <cell r="K18356">
            <v>8</v>
          </cell>
        </row>
        <row r="18357">
          <cell r="C18357" t="str">
            <v>洪子芸</v>
          </cell>
          <cell r="J18357">
            <v>45586</v>
          </cell>
          <cell r="K18357">
            <v>4.5</v>
          </cell>
        </row>
        <row r="18358">
          <cell r="C18358" t="str">
            <v>洪子芸</v>
          </cell>
          <cell r="J18358">
            <v>45586</v>
          </cell>
          <cell r="K18358">
            <v>1.5</v>
          </cell>
        </row>
        <row r="18359">
          <cell r="C18359" t="str">
            <v>洪子芸</v>
          </cell>
          <cell r="F18359" t="str">
            <v>M240702R1</v>
          </cell>
          <cell r="J18359">
            <v>45586</v>
          </cell>
          <cell r="K18359">
            <v>2</v>
          </cell>
        </row>
        <row r="18360">
          <cell r="C18360" t="str">
            <v>洪子芸</v>
          </cell>
          <cell r="F18360" t="str">
            <v>M230901R1</v>
          </cell>
          <cell r="J18360">
            <v>45587</v>
          </cell>
          <cell r="K18360">
            <v>4.5</v>
          </cell>
        </row>
        <row r="18361">
          <cell r="C18361" t="str">
            <v>洪子芸</v>
          </cell>
          <cell r="F18361" t="str">
            <v>M240702R1</v>
          </cell>
          <cell r="J18361">
            <v>45587</v>
          </cell>
          <cell r="K18361">
            <v>3.5</v>
          </cell>
        </row>
        <row r="18362">
          <cell r="C18362" t="str">
            <v>洪子芸</v>
          </cell>
          <cell r="J18362">
            <v>45588</v>
          </cell>
          <cell r="K18362">
            <v>1</v>
          </cell>
        </row>
        <row r="18363">
          <cell r="C18363" t="str">
            <v>洪子芸</v>
          </cell>
          <cell r="F18363" t="str">
            <v>M230901R1</v>
          </cell>
          <cell r="J18363">
            <v>45588</v>
          </cell>
          <cell r="K18363">
            <v>7</v>
          </cell>
        </row>
        <row r="18364">
          <cell r="C18364" t="str">
            <v>洪子芸</v>
          </cell>
          <cell r="J18364">
            <v>45589</v>
          </cell>
          <cell r="K18364">
            <v>1</v>
          </cell>
        </row>
        <row r="18365">
          <cell r="C18365" t="str">
            <v>洪子芸</v>
          </cell>
          <cell r="J18365">
            <v>45589</v>
          </cell>
          <cell r="K18365">
            <v>1</v>
          </cell>
        </row>
        <row r="18366">
          <cell r="C18366" t="str">
            <v>洪子芸</v>
          </cell>
          <cell r="F18366" t="str">
            <v>M240705R1</v>
          </cell>
          <cell r="J18366">
            <v>45589</v>
          </cell>
          <cell r="K18366">
            <v>4</v>
          </cell>
        </row>
        <row r="18367">
          <cell r="C18367" t="str">
            <v>洪子芸</v>
          </cell>
          <cell r="F18367" t="str">
            <v>M230901R1</v>
          </cell>
          <cell r="J18367">
            <v>45589</v>
          </cell>
          <cell r="K18367">
            <v>2</v>
          </cell>
        </row>
        <row r="18368">
          <cell r="C18368" t="str">
            <v>洪子芸</v>
          </cell>
          <cell r="J18368">
            <v>45590</v>
          </cell>
          <cell r="K18368">
            <v>8</v>
          </cell>
        </row>
        <row r="18369">
          <cell r="C18369" t="str">
            <v>洪子芸</v>
          </cell>
          <cell r="J18369">
            <v>45593</v>
          </cell>
          <cell r="K18369">
            <v>1.5</v>
          </cell>
        </row>
        <row r="18370">
          <cell r="C18370" t="str">
            <v>洪子芸</v>
          </cell>
          <cell r="F18370" t="str">
            <v>M240705R1</v>
          </cell>
          <cell r="J18370">
            <v>45593</v>
          </cell>
          <cell r="K18370">
            <v>3.5</v>
          </cell>
        </row>
        <row r="18371">
          <cell r="C18371" t="str">
            <v>洪子芸</v>
          </cell>
          <cell r="F18371" t="str">
            <v>M230901R1</v>
          </cell>
          <cell r="J18371">
            <v>45593</v>
          </cell>
          <cell r="K18371">
            <v>2</v>
          </cell>
        </row>
        <row r="18372">
          <cell r="C18372" t="str">
            <v>洪子芸</v>
          </cell>
          <cell r="F18372" t="str">
            <v>K240801R1</v>
          </cell>
          <cell r="J18372">
            <v>45594</v>
          </cell>
          <cell r="K18372">
            <v>8</v>
          </cell>
        </row>
        <row r="18373">
          <cell r="C18373" t="str">
            <v>洪子芸</v>
          </cell>
          <cell r="F18373" t="str">
            <v>K240801R1</v>
          </cell>
          <cell r="J18373">
            <v>45595</v>
          </cell>
          <cell r="K18373">
            <v>8</v>
          </cell>
        </row>
        <row r="18374">
          <cell r="C18374" t="str">
            <v>洪子芸</v>
          </cell>
          <cell r="J18374">
            <v>45596</v>
          </cell>
          <cell r="K18374">
            <v>8</v>
          </cell>
        </row>
        <row r="18375">
          <cell r="C18375" t="str">
            <v>洪子芸</v>
          </cell>
          <cell r="F18375" t="str">
            <v>K240801R1</v>
          </cell>
          <cell r="J18375">
            <v>45597</v>
          </cell>
          <cell r="K18375">
            <v>8</v>
          </cell>
        </row>
        <row r="18376">
          <cell r="C18376" t="str">
            <v>洪子芸</v>
          </cell>
          <cell r="F18376" t="str">
            <v>K240801R1</v>
          </cell>
          <cell r="J18376">
            <v>45600</v>
          </cell>
          <cell r="K18376">
            <v>8</v>
          </cell>
        </row>
        <row r="18377">
          <cell r="C18377" t="str">
            <v>洪子芸</v>
          </cell>
          <cell r="J18377">
            <v>45601</v>
          </cell>
          <cell r="K18377">
            <v>7</v>
          </cell>
        </row>
        <row r="18378">
          <cell r="C18378" t="str">
            <v>洪子芸</v>
          </cell>
          <cell r="F18378" t="str">
            <v>M230901R1</v>
          </cell>
          <cell r="J18378">
            <v>45601</v>
          </cell>
          <cell r="K18378">
            <v>1</v>
          </cell>
        </row>
        <row r="18379">
          <cell r="C18379" t="str">
            <v>洪子芸</v>
          </cell>
          <cell r="J18379">
            <v>45602</v>
          </cell>
          <cell r="K18379">
            <v>3.5</v>
          </cell>
        </row>
        <row r="18380">
          <cell r="C18380" t="str">
            <v>洪子芸</v>
          </cell>
          <cell r="F18380" t="str">
            <v>M240703R1</v>
          </cell>
          <cell r="J18380">
            <v>45602</v>
          </cell>
          <cell r="K18380">
            <v>4.5</v>
          </cell>
        </row>
        <row r="18381">
          <cell r="C18381" t="str">
            <v>洪子芸</v>
          </cell>
          <cell r="J18381">
            <v>45603</v>
          </cell>
          <cell r="K18381">
            <v>1</v>
          </cell>
        </row>
        <row r="18382">
          <cell r="C18382" t="str">
            <v>洪子芸</v>
          </cell>
          <cell r="F18382" t="str">
            <v>M240703R1</v>
          </cell>
          <cell r="J18382">
            <v>45603</v>
          </cell>
          <cell r="K18382">
            <v>3.5</v>
          </cell>
        </row>
        <row r="18383">
          <cell r="C18383" t="str">
            <v>洪子芸</v>
          </cell>
          <cell r="F18383" t="str">
            <v>M241001R1</v>
          </cell>
          <cell r="J18383">
            <v>45604</v>
          </cell>
          <cell r="K18383">
            <v>1.5</v>
          </cell>
        </row>
        <row r="18384">
          <cell r="C18384" t="str">
            <v>洪子芸</v>
          </cell>
          <cell r="F18384" t="str">
            <v>D240901R1</v>
          </cell>
          <cell r="J18384">
            <v>45604</v>
          </cell>
          <cell r="K18384">
            <v>2</v>
          </cell>
        </row>
        <row r="18385">
          <cell r="C18385" t="str">
            <v>洪子芸</v>
          </cell>
          <cell r="F18385" t="str">
            <v>D240901R1</v>
          </cell>
          <cell r="J18385">
            <v>45607</v>
          </cell>
          <cell r="K18385">
            <v>8</v>
          </cell>
        </row>
        <row r="18386">
          <cell r="C18386" t="str">
            <v>洪子芸</v>
          </cell>
          <cell r="F18386" t="str">
            <v>M241001R1</v>
          </cell>
          <cell r="J18386">
            <v>45608</v>
          </cell>
          <cell r="K18386">
            <v>6</v>
          </cell>
        </row>
        <row r="18387">
          <cell r="C18387" t="str">
            <v>洪子芸</v>
          </cell>
          <cell r="F18387" t="str">
            <v>D240901R1</v>
          </cell>
          <cell r="J18387">
            <v>45608</v>
          </cell>
          <cell r="K18387">
            <v>2</v>
          </cell>
        </row>
        <row r="18388">
          <cell r="C18388" t="str">
            <v>洪子芸</v>
          </cell>
          <cell r="F18388" t="str">
            <v>M241001R1</v>
          </cell>
          <cell r="J18388">
            <v>45609</v>
          </cell>
          <cell r="K18388">
            <v>3</v>
          </cell>
        </row>
        <row r="18389">
          <cell r="C18389" t="str">
            <v>洪子芸</v>
          </cell>
          <cell r="F18389" t="str">
            <v>D240901R1</v>
          </cell>
          <cell r="J18389">
            <v>45609</v>
          </cell>
          <cell r="K18389">
            <v>5</v>
          </cell>
        </row>
        <row r="18390">
          <cell r="C18390" t="str">
            <v>洪子芸</v>
          </cell>
          <cell r="J18390">
            <v>45610</v>
          </cell>
          <cell r="K18390">
            <v>0.5</v>
          </cell>
        </row>
        <row r="18391">
          <cell r="C18391" t="str">
            <v>洪子芸</v>
          </cell>
          <cell r="F18391" t="str">
            <v>M241001R1</v>
          </cell>
          <cell r="J18391">
            <v>45610</v>
          </cell>
          <cell r="K18391">
            <v>2</v>
          </cell>
        </row>
        <row r="18392">
          <cell r="C18392" t="str">
            <v>洪子芸</v>
          </cell>
          <cell r="F18392" t="str">
            <v>M240201R1</v>
          </cell>
          <cell r="J18392">
            <v>45610</v>
          </cell>
          <cell r="K18392">
            <v>2</v>
          </cell>
        </row>
        <row r="18393">
          <cell r="C18393" t="str">
            <v>洪子芸</v>
          </cell>
          <cell r="F18393" t="str">
            <v>D240901R1</v>
          </cell>
          <cell r="J18393">
            <v>45610</v>
          </cell>
          <cell r="K18393">
            <v>3.5</v>
          </cell>
        </row>
        <row r="18394">
          <cell r="C18394" t="str">
            <v>洪子芸</v>
          </cell>
          <cell r="J18394">
            <v>45611</v>
          </cell>
          <cell r="K18394">
            <v>4.5</v>
          </cell>
        </row>
        <row r="18395">
          <cell r="C18395" t="str">
            <v>洪子芸</v>
          </cell>
          <cell r="F18395" t="str">
            <v>D240901R1</v>
          </cell>
          <cell r="J18395">
            <v>45611</v>
          </cell>
          <cell r="K18395">
            <v>3.5</v>
          </cell>
        </row>
        <row r="18396">
          <cell r="C18396" t="str">
            <v>洪子芸</v>
          </cell>
          <cell r="F18396" t="str">
            <v>M240101R1</v>
          </cell>
          <cell r="J18396">
            <v>45614</v>
          </cell>
          <cell r="K18396">
            <v>4</v>
          </cell>
        </row>
        <row r="18397">
          <cell r="C18397" t="str">
            <v>洪子芸</v>
          </cell>
          <cell r="F18397" t="str">
            <v>M241001R1</v>
          </cell>
          <cell r="J18397">
            <v>45615</v>
          </cell>
          <cell r="K18397">
            <v>2</v>
          </cell>
        </row>
        <row r="18398">
          <cell r="C18398" t="str">
            <v>洪子芸</v>
          </cell>
          <cell r="F18398" t="str">
            <v>M240201R1</v>
          </cell>
          <cell r="J18398">
            <v>45615</v>
          </cell>
          <cell r="K18398">
            <v>6</v>
          </cell>
        </row>
        <row r="18399">
          <cell r="C18399" t="str">
            <v>洪子芸</v>
          </cell>
          <cell r="J18399">
            <v>45616</v>
          </cell>
          <cell r="K18399">
            <v>0.5</v>
          </cell>
        </row>
        <row r="18400">
          <cell r="C18400" t="str">
            <v>洪子芸</v>
          </cell>
          <cell r="F18400" t="str">
            <v>M241001R1</v>
          </cell>
          <cell r="J18400">
            <v>45616</v>
          </cell>
          <cell r="K18400">
            <v>2</v>
          </cell>
        </row>
        <row r="18401">
          <cell r="C18401" t="str">
            <v>洪子芸</v>
          </cell>
          <cell r="F18401" t="str">
            <v>M240201R1</v>
          </cell>
          <cell r="J18401">
            <v>45616</v>
          </cell>
          <cell r="K18401">
            <v>3.5</v>
          </cell>
        </row>
        <row r="18402">
          <cell r="C18402" t="str">
            <v>洪子芸</v>
          </cell>
          <cell r="J18402">
            <v>45617</v>
          </cell>
          <cell r="K18402">
            <v>0.5</v>
          </cell>
        </row>
        <row r="18403">
          <cell r="C18403" t="str">
            <v>洪子芸</v>
          </cell>
          <cell r="F18403" t="str">
            <v>M240703R1</v>
          </cell>
          <cell r="J18403">
            <v>45617</v>
          </cell>
          <cell r="K18403">
            <v>4.5</v>
          </cell>
        </row>
        <row r="18404">
          <cell r="C18404" t="str">
            <v>洪子芸</v>
          </cell>
          <cell r="F18404" t="str">
            <v>M241001R1</v>
          </cell>
          <cell r="J18404">
            <v>45617</v>
          </cell>
          <cell r="K18404">
            <v>3</v>
          </cell>
        </row>
        <row r="18405">
          <cell r="C18405" t="str">
            <v>洪子芸</v>
          </cell>
          <cell r="J18405">
            <v>45618</v>
          </cell>
          <cell r="K18405">
            <v>4.5</v>
          </cell>
        </row>
        <row r="18406">
          <cell r="C18406" t="str">
            <v>洪子芸</v>
          </cell>
          <cell r="F18406" t="str">
            <v>M241001R1</v>
          </cell>
          <cell r="J18406">
            <v>45618</v>
          </cell>
          <cell r="K18406">
            <v>1</v>
          </cell>
        </row>
        <row r="18407">
          <cell r="C18407" t="str">
            <v>洪子芸</v>
          </cell>
          <cell r="J18407">
            <v>45621</v>
          </cell>
          <cell r="K18407">
            <v>8</v>
          </cell>
        </row>
        <row r="18408">
          <cell r="C18408" t="str">
            <v>洪子芸</v>
          </cell>
          <cell r="J18408">
            <v>45622</v>
          </cell>
          <cell r="K18408">
            <v>3.5</v>
          </cell>
        </row>
        <row r="18409">
          <cell r="C18409" t="str">
            <v>洪子芸</v>
          </cell>
          <cell r="J18409">
            <v>45623</v>
          </cell>
          <cell r="K18409">
            <v>3.5</v>
          </cell>
        </row>
        <row r="18410">
          <cell r="C18410" t="str">
            <v>洪子芸</v>
          </cell>
          <cell r="J18410">
            <v>45623</v>
          </cell>
          <cell r="K18410">
            <v>1.5</v>
          </cell>
        </row>
        <row r="18411">
          <cell r="C18411" t="str">
            <v>洪子芸</v>
          </cell>
          <cell r="F18411" t="str">
            <v>M241001R1</v>
          </cell>
          <cell r="J18411">
            <v>45623</v>
          </cell>
          <cell r="K18411">
            <v>3</v>
          </cell>
        </row>
        <row r="18412">
          <cell r="C18412" t="str">
            <v>洪子芸</v>
          </cell>
          <cell r="J18412">
            <v>45624</v>
          </cell>
          <cell r="K18412">
            <v>0.5</v>
          </cell>
        </row>
        <row r="18413">
          <cell r="C18413" t="str">
            <v>洪子芸</v>
          </cell>
          <cell r="F18413" t="str">
            <v>K241201R1</v>
          </cell>
          <cell r="J18413">
            <v>45624</v>
          </cell>
          <cell r="K18413">
            <v>5.5</v>
          </cell>
        </row>
        <row r="18414">
          <cell r="C18414" t="str">
            <v>洪子芸</v>
          </cell>
          <cell r="F18414" t="str">
            <v>M241001R1</v>
          </cell>
          <cell r="J18414">
            <v>45624</v>
          </cell>
          <cell r="K18414">
            <v>2</v>
          </cell>
        </row>
        <row r="18415">
          <cell r="C18415" t="str">
            <v>洪子芸</v>
          </cell>
          <cell r="J18415">
            <v>45625</v>
          </cell>
          <cell r="K18415">
            <v>2</v>
          </cell>
        </row>
        <row r="18416">
          <cell r="C18416" t="str">
            <v>洪子芸</v>
          </cell>
          <cell r="J18416">
            <v>45625</v>
          </cell>
          <cell r="K18416">
            <v>1</v>
          </cell>
        </row>
        <row r="18417">
          <cell r="C18417" t="str">
            <v>洪子芸</v>
          </cell>
          <cell r="F18417" t="str">
            <v>M240201R1</v>
          </cell>
          <cell r="J18417">
            <v>45625</v>
          </cell>
          <cell r="K18417">
            <v>1.5</v>
          </cell>
        </row>
        <row r="18418">
          <cell r="C18418" t="str">
            <v>洪子芸</v>
          </cell>
          <cell r="F18418" t="str">
            <v>M241001R1</v>
          </cell>
          <cell r="J18418">
            <v>45625</v>
          </cell>
          <cell r="K18418">
            <v>1.5</v>
          </cell>
        </row>
        <row r="18419">
          <cell r="C18419" t="str">
            <v>洪子芸</v>
          </cell>
          <cell r="F18419" t="str">
            <v>K241201R1</v>
          </cell>
          <cell r="J18419">
            <v>45625</v>
          </cell>
          <cell r="K18419">
            <v>2</v>
          </cell>
        </row>
        <row r="18420">
          <cell r="C18420" t="str">
            <v>洪子芸</v>
          </cell>
          <cell r="J18420">
            <v>45628</v>
          </cell>
          <cell r="K18420">
            <v>1</v>
          </cell>
        </row>
        <row r="18421">
          <cell r="C18421" t="str">
            <v>洪子芸</v>
          </cell>
          <cell r="F18421" t="str">
            <v>K241201R1</v>
          </cell>
          <cell r="J18421">
            <v>45628</v>
          </cell>
          <cell r="K18421">
            <v>7</v>
          </cell>
        </row>
        <row r="18422">
          <cell r="C18422" t="str">
            <v>洪子芸</v>
          </cell>
          <cell r="F18422" t="str">
            <v>K241201R1</v>
          </cell>
          <cell r="J18422">
            <v>45629</v>
          </cell>
          <cell r="K18422">
            <v>7</v>
          </cell>
        </row>
        <row r="18423">
          <cell r="C18423" t="str">
            <v>洪子芸</v>
          </cell>
          <cell r="F18423" t="str">
            <v>M241001R1</v>
          </cell>
          <cell r="J18423">
            <v>45629</v>
          </cell>
          <cell r="K18423">
            <v>1</v>
          </cell>
        </row>
        <row r="18424">
          <cell r="C18424" t="str">
            <v>洪子芸</v>
          </cell>
          <cell r="F18424" t="str">
            <v>K241201R1</v>
          </cell>
          <cell r="J18424">
            <v>45630</v>
          </cell>
          <cell r="K18424">
            <v>8</v>
          </cell>
        </row>
        <row r="18425">
          <cell r="C18425" t="str">
            <v>洪子芸</v>
          </cell>
          <cell r="F18425" t="str">
            <v>D240901R1</v>
          </cell>
          <cell r="J18425">
            <v>45631</v>
          </cell>
          <cell r="K18425">
            <v>1.5</v>
          </cell>
        </row>
        <row r="18426">
          <cell r="C18426" t="str">
            <v>洪子芸</v>
          </cell>
          <cell r="F18426" t="str">
            <v>K241201R1</v>
          </cell>
          <cell r="J18426">
            <v>45631</v>
          </cell>
          <cell r="K18426">
            <v>6.5</v>
          </cell>
        </row>
        <row r="18427">
          <cell r="C18427" t="str">
            <v>洪子芸</v>
          </cell>
          <cell r="F18427" t="str">
            <v>D240901R1</v>
          </cell>
          <cell r="J18427">
            <v>45635</v>
          </cell>
          <cell r="K18427">
            <v>3.5</v>
          </cell>
        </row>
        <row r="18428">
          <cell r="C18428" t="str">
            <v>洪子芸</v>
          </cell>
          <cell r="F18428" t="str">
            <v>M241001R1</v>
          </cell>
          <cell r="J18428">
            <v>45635</v>
          </cell>
          <cell r="K18428">
            <v>2</v>
          </cell>
        </row>
        <row r="18429">
          <cell r="C18429" t="str">
            <v>洪子芸</v>
          </cell>
          <cell r="F18429" t="str">
            <v>K241201R1</v>
          </cell>
          <cell r="J18429">
            <v>45635</v>
          </cell>
          <cell r="K18429">
            <v>2.5</v>
          </cell>
        </row>
        <row r="18430">
          <cell r="C18430" t="str">
            <v>洪子芸</v>
          </cell>
          <cell r="J18430">
            <v>45636</v>
          </cell>
          <cell r="K18430">
            <v>8</v>
          </cell>
        </row>
        <row r="18431">
          <cell r="C18431" t="str">
            <v>洪子芸</v>
          </cell>
          <cell r="J18431">
            <v>45637</v>
          </cell>
          <cell r="K18431">
            <v>1</v>
          </cell>
        </row>
        <row r="18432">
          <cell r="C18432" t="str">
            <v>洪子芸</v>
          </cell>
          <cell r="F18432" t="str">
            <v>K241201R1</v>
          </cell>
          <cell r="J18432">
            <v>45637</v>
          </cell>
          <cell r="K18432">
            <v>3.5</v>
          </cell>
        </row>
        <row r="18433">
          <cell r="C18433" t="str">
            <v>洪子芸</v>
          </cell>
          <cell r="F18433" t="str">
            <v>K240801R1</v>
          </cell>
          <cell r="J18433">
            <v>45637</v>
          </cell>
          <cell r="K18433">
            <v>3.5</v>
          </cell>
        </row>
        <row r="18434">
          <cell r="C18434" t="str">
            <v>洪子芸</v>
          </cell>
          <cell r="J18434">
            <v>45638</v>
          </cell>
          <cell r="K18434">
            <v>1</v>
          </cell>
        </row>
        <row r="18435">
          <cell r="C18435" t="str">
            <v>洪子芸</v>
          </cell>
          <cell r="F18435" t="str">
            <v>M241001R1</v>
          </cell>
          <cell r="J18435">
            <v>45638</v>
          </cell>
          <cell r="K18435">
            <v>3</v>
          </cell>
        </row>
        <row r="18436">
          <cell r="C18436" t="str">
            <v>洪子芸</v>
          </cell>
          <cell r="F18436" t="str">
            <v>K241201R1</v>
          </cell>
          <cell r="J18436">
            <v>45638</v>
          </cell>
          <cell r="K18436">
            <v>2</v>
          </cell>
        </row>
        <row r="18437">
          <cell r="C18437" t="str">
            <v>洪子芸</v>
          </cell>
          <cell r="F18437" t="str">
            <v>K240801R1</v>
          </cell>
          <cell r="J18437">
            <v>45638</v>
          </cell>
          <cell r="K18437">
            <v>2</v>
          </cell>
        </row>
        <row r="18438">
          <cell r="C18438" t="str">
            <v>洪子芸</v>
          </cell>
          <cell r="F18438" t="str">
            <v>D240901R1</v>
          </cell>
          <cell r="J18438">
            <v>45639</v>
          </cell>
          <cell r="K18438">
            <v>2</v>
          </cell>
        </row>
        <row r="18439">
          <cell r="C18439" t="str">
            <v>洪子芸</v>
          </cell>
          <cell r="J18439">
            <v>45639</v>
          </cell>
          <cell r="K18439">
            <v>2</v>
          </cell>
        </row>
        <row r="18440">
          <cell r="C18440" t="str">
            <v>洪子芸</v>
          </cell>
          <cell r="F18440" t="str">
            <v>K241201R1</v>
          </cell>
          <cell r="J18440">
            <v>45639</v>
          </cell>
          <cell r="K18440">
            <v>4</v>
          </cell>
        </row>
        <row r="18441">
          <cell r="C18441" t="str">
            <v>洪子芸</v>
          </cell>
          <cell r="F18441" t="str">
            <v>K240801R2</v>
          </cell>
          <cell r="J18441">
            <v>45642</v>
          </cell>
          <cell r="K18441">
            <v>3</v>
          </cell>
        </row>
        <row r="18442">
          <cell r="C18442" t="str">
            <v>洪子芸</v>
          </cell>
          <cell r="J18442">
            <v>45642</v>
          </cell>
          <cell r="K18442">
            <v>4</v>
          </cell>
        </row>
        <row r="18443">
          <cell r="C18443" t="str">
            <v>洪子芸</v>
          </cell>
          <cell r="J18443">
            <v>45642</v>
          </cell>
          <cell r="K18443">
            <v>1</v>
          </cell>
        </row>
        <row r="18444">
          <cell r="C18444" t="str">
            <v>洪子芸</v>
          </cell>
          <cell r="F18444" t="str">
            <v>K240801R2</v>
          </cell>
          <cell r="J18444">
            <v>45643</v>
          </cell>
          <cell r="K18444">
            <v>4</v>
          </cell>
        </row>
        <row r="18445">
          <cell r="C18445" t="str">
            <v>洪子芸</v>
          </cell>
          <cell r="F18445" t="str">
            <v>D240901R1</v>
          </cell>
          <cell r="J18445">
            <v>45643</v>
          </cell>
          <cell r="K18445">
            <v>4</v>
          </cell>
        </row>
        <row r="18446">
          <cell r="C18446" t="str">
            <v>洪子芸</v>
          </cell>
          <cell r="F18446" t="str">
            <v>K240801R2</v>
          </cell>
          <cell r="J18446">
            <v>45644</v>
          </cell>
          <cell r="K18446">
            <v>8</v>
          </cell>
        </row>
        <row r="18447">
          <cell r="C18447" t="str">
            <v>洪子芸</v>
          </cell>
          <cell r="J18447">
            <v>45645</v>
          </cell>
          <cell r="K18447">
            <v>8</v>
          </cell>
        </row>
        <row r="18448">
          <cell r="C18448" t="str">
            <v>洪子芸</v>
          </cell>
          <cell r="J18448">
            <v>45646</v>
          </cell>
          <cell r="K18448">
            <v>1</v>
          </cell>
        </row>
        <row r="18449">
          <cell r="C18449" t="str">
            <v>洪子芸</v>
          </cell>
          <cell r="J18449">
            <v>45646</v>
          </cell>
          <cell r="K18449">
            <v>2</v>
          </cell>
        </row>
        <row r="18450">
          <cell r="C18450" t="str">
            <v>洪子芸</v>
          </cell>
          <cell r="F18450" t="str">
            <v>K240801R2</v>
          </cell>
          <cell r="J18450">
            <v>45646</v>
          </cell>
          <cell r="K18450">
            <v>7</v>
          </cell>
        </row>
        <row r="18451">
          <cell r="C18451" t="str">
            <v>洪子芸</v>
          </cell>
          <cell r="F18451" t="str">
            <v>K240801R2</v>
          </cell>
          <cell r="J18451">
            <v>45649</v>
          </cell>
          <cell r="K18451">
            <v>8</v>
          </cell>
        </row>
        <row r="18452">
          <cell r="C18452" t="str">
            <v>洪子芸</v>
          </cell>
          <cell r="F18452" t="str">
            <v>D240901R1</v>
          </cell>
          <cell r="J18452">
            <v>45650</v>
          </cell>
          <cell r="K18452">
            <v>8</v>
          </cell>
        </row>
        <row r="18453">
          <cell r="C18453" t="str">
            <v>洪子芸</v>
          </cell>
          <cell r="J18453">
            <v>45651</v>
          </cell>
          <cell r="K18453">
            <v>1.5</v>
          </cell>
        </row>
        <row r="18454">
          <cell r="C18454" t="str">
            <v>洪子芸</v>
          </cell>
          <cell r="J18454">
            <v>45651</v>
          </cell>
          <cell r="K18454">
            <v>3.5</v>
          </cell>
        </row>
        <row r="18455">
          <cell r="C18455" t="str">
            <v>洪子芸</v>
          </cell>
          <cell r="F18455" t="str">
            <v>K240801R2</v>
          </cell>
          <cell r="J18455">
            <v>45651</v>
          </cell>
          <cell r="K18455">
            <v>3</v>
          </cell>
        </row>
        <row r="18456">
          <cell r="C18456" t="str">
            <v>洪子芸</v>
          </cell>
          <cell r="J18456">
            <v>45652</v>
          </cell>
          <cell r="K18456">
            <v>1</v>
          </cell>
        </row>
        <row r="18457">
          <cell r="C18457" t="str">
            <v>洪子芸</v>
          </cell>
          <cell r="F18457" t="str">
            <v>K240801R2</v>
          </cell>
          <cell r="J18457">
            <v>45652</v>
          </cell>
          <cell r="K18457">
            <v>7</v>
          </cell>
        </row>
        <row r="18458">
          <cell r="C18458" t="str">
            <v>洪子芸</v>
          </cell>
          <cell r="F18458" t="str">
            <v>K240801R2</v>
          </cell>
          <cell r="J18458">
            <v>45653</v>
          </cell>
          <cell r="K18458">
            <v>4</v>
          </cell>
        </row>
        <row r="18459">
          <cell r="C18459" t="str">
            <v>洪子芸</v>
          </cell>
          <cell r="F18459" t="str">
            <v>K241201R1</v>
          </cell>
          <cell r="J18459">
            <v>45653</v>
          </cell>
          <cell r="K18459">
            <v>4</v>
          </cell>
        </row>
        <row r="18460">
          <cell r="C18460" t="str">
            <v>洪子芸</v>
          </cell>
          <cell r="J18460">
            <v>45656</v>
          </cell>
          <cell r="K18460">
            <v>2</v>
          </cell>
        </row>
        <row r="18461">
          <cell r="C18461" t="str">
            <v>洪子芸</v>
          </cell>
          <cell r="F18461" t="str">
            <v>K240801R2</v>
          </cell>
          <cell r="J18461">
            <v>45656</v>
          </cell>
          <cell r="K18461">
            <v>6</v>
          </cell>
        </row>
        <row r="18462">
          <cell r="C18462" t="str">
            <v>洪子芸</v>
          </cell>
          <cell r="J18462">
            <v>45657</v>
          </cell>
          <cell r="K18462">
            <v>3.5</v>
          </cell>
        </row>
        <row r="18463">
          <cell r="C18463" t="str">
            <v>洪子芸</v>
          </cell>
          <cell r="F18463" t="str">
            <v>D240901R1</v>
          </cell>
          <cell r="J18463">
            <v>45657</v>
          </cell>
          <cell r="K18463">
            <v>2</v>
          </cell>
        </row>
        <row r="18464">
          <cell r="C18464" t="str">
            <v>洪子芸</v>
          </cell>
          <cell r="F18464" t="str">
            <v>K240801R2</v>
          </cell>
          <cell r="J18464">
            <v>45657</v>
          </cell>
          <cell r="K18464">
            <v>2.5</v>
          </cell>
        </row>
        <row r="18465">
          <cell r="C18465" t="str">
            <v>洪子芸</v>
          </cell>
          <cell r="J18465">
            <v>45658</v>
          </cell>
          <cell r="K18465">
            <v>8</v>
          </cell>
        </row>
        <row r="18466">
          <cell r="C18466" t="str">
            <v>洪子芸</v>
          </cell>
          <cell r="J18466">
            <v>45659</v>
          </cell>
          <cell r="K18466">
            <v>1</v>
          </cell>
        </row>
        <row r="18467">
          <cell r="C18467" t="str">
            <v>洪子芸</v>
          </cell>
          <cell r="F18467" t="str">
            <v>K240801R2</v>
          </cell>
          <cell r="J18467">
            <v>45659</v>
          </cell>
          <cell r="K18467">
            <v>7</v>
          </cell>
        </row>
        <row r="18468">
          <cell r="C18468" t="str">
            <v>洪子芸</v>
          </cell>
          <cell r="J18468">
            <v>45660</v>
          </cell>
          <cell r="K18468">
            <v>2</v>
          </cell>
        </row>
        <row r="18469">
          <cell r="C18469" t="str">
            <v>洪子芸</v>
          </cell>
          <cell r="F18469" t="str">
            <v>K241201R1</v>
          </cell>
          <cell r="J18469">
            <v>45660</v>
          </cell>
          <cell r="K18469">
            <v>6</v>
          </cell>
        </row>
        <row r="18470">
          <cell r="C18470" t="str">
            <v>洪子芸</v>
          </cell>
          <cell r="F18470" t="str">
            <v>K241201R1</v>
          </cell>
          <cell r="J18470">
            <v>45663</v>
          </cell>
          <cell r="K18470">
            <v>8</v>
          </cell>
        </row>
        <row r="18471">
          <cell r="C18471" t="str">
            <v>洪子芸</v>
          </cell>
          <cell r="J18471">
            <v>45664</v>
          </cell>
          <cell r="K18471">
            <v>0.5</v>
          </cell>
        </row>
        <row r="18472">
          <cell r="C18472" t="str">
            <v>洪子芸</v>
          </cell>
          <cell r="F18472" t="str">
            <v>K240801R2</v>
          </cell>
          <cell r="J18472">
            <v>45664</v>
          </cell>
          <cell r="K18472">
            <v>2.5</v>
          </cell>
        </row>
        <row r="18473">
          <cell r="C18473" t="str">
            <v>洪子芸</v>
          </cell>
          <cell r="F18473" t="str">
            <v>K241201R1</v>
          </cell>
          <cell r="J18473">
            <v>45664</v>
          </cell>
          <cell r="K18473">
            <v>5</v>
          </cell>
        </row>
        <row r="18474">
          <cell r="C18474" t="str">
            <v>洪子芸</v>
          </cell>
          <cell r="J18474">
            <v>45665</v>
          </cell>
          <cell r="K18474">
            <v>8</v>
          </cell>
        </row>
        <row r="18475">
          <cell r="C18475" t="str">
            <v>洪子芸</v>
          </cell>
          <cell r="F18475" t="str">
            <v>K240801R2</v>
          </cell>
          <cell r="J18475">
            <v>45666</v>
          </cell>
          <cell r="K18475">
            <v>8</v>
          </cell>
        </row>
        <row r="18476">
          <cell r="C18476" t="str">
            <v>洪子芸</v>
          </cell>
          <cell r="F18476" t="str">
            <v>K240801R2</v>
          </cell>
          <cell r="J18476">
            <v>45667</v>
          </cell>
          <cell r="K18476">
            <v>8</v>
          </cell>
        </row>
        <row r="18477">
          <cell r="C18477" t="str">
            <v>洪子芸</v>
          </cell>
          <cell r="J18477">
            <v>45670</v>
          </cell>
          <cell r="K18477">
            <v>2</v>
          </cell>
        </row>
        <row r="18478">
          <cell r="C18478" t="str">
            <v>洪子芸</v>
          </cell>
          <cell r="F18478" t="str">
            <v>K240801R2</v>
          </cell>
          <cell r="J18478">
            <v>45670</v>
          </cell>
          <cell r="K18478">
            <v>3.5</v>
          </cell>
        </row>
        <row r="18479">
          <cell r="C18479" t="str">
            <v>洪子芸</v>
          </cell>
          <cell r="F18479" t="str">
            <v>K241201R1</v>
          </cell>
          <cell r="J18479">
            <v>45670</v>
          </cell>
          <cell r="K18479">
            <v>2</v>
          </cell>
        </row>
        <row r="18480">
          <cell r="C18480" t="str">
            <v>洪子芸</v>
          </cell>
          <cell r="F18480" t="str">
            <v>M241001R1</v>
          </cell>
          <cell r="J18480">
            <v>45671</v>
          </cell>
          <cell r="K18480">
            <v>3</v>
          </cell>
        </row>
        <row r="18481">
          <cell r="C18481" t="str">
            <v>洪子芸</v>
          </cell>
          <cell r="F18481" t="str">
            <v>K241201R1</v>
          </cell>
          <cell r="J18481">
            <v>45671</v>
          </cell>
          <cell r="K18481">
            <v>2</v>
          </cell>
        </row>
        <row r="18482">
          <cell r="C18482" t="str">
            <v>洪子芸</v>
          </cell>
          <cell r="F18482" t="str">
            <v>K240801R2</v>
          </cell>
          <cell r="J18482">
            <v>45671</v>
          </cell>
          <cell r="K18482">
            <v>3</v>
          </cell>
        </row>
        <row r="18483">
          <cell r="C18483" t="str">
            <v>洪子芸</v>
          </cell>
          <cell r="F18483" t="str">
            <v>K240801R2</v>
          </cell>
          <cell r="J18483">
            <v>45672</v>
          </cell>
          <cell r="K18483">
            <v>8</v>
          </cell>
        </row>
        <row r="18484">
          <cell r="C18484" t="str">
            <v>洪子芸</v>
          </cell>
          <cell r="F18484" t="str">
            <v>K240801R2</v>
          </cell>
          <cell r="J18484">
            <v>45673</v>
          </cell>
          <cell r="K18484">
            <v>4</v>
          </cell>
        </row>
        <row r="18485">
          <cell r="C18485" t="str">
            <v>洪子芸</v>
          </cell>
          <cell r="F18485" t="str">
            <v>K241201R1</v>
          </cell>
          <cell r="J18485">
            <v>45673</v>
          </cell>
          <cell r="K18485">
            <v>4</v>
          </cell>
        </row>
        <row r="18486">
          <cell r="C18486" t="str">
            <v>洪子芸</v>
          </cell>
          <cell r="F18486" t="str">
            <v>M241001R1</v>
          </cell>
          <cell r="J18486">
            <v>45674</v>
          </cell>
          <cell r="K18486">
            <v>3.5</v>
          </cell>
        </row>
        <row r="18487">
          <cell r="C18487" t="str">
            <v>洪子芸</v>
          </cell>
          <cell r="F18487" t="str">
            <v>K240801R2</v>
          </cell>
          <cell r="J18487">
            <v>45674</v>
          </cell>
          <cell r="K18487">
            <v>4.5</v>
          </cell>
        </row>
        <row r="18488">
          <cell r="C18488" t="str">
            <v>洪子芸</v>
          </cell>
          <cell r="J18488">
            <v>45677</v>
          </cell>
          <cell r="K18488">
            <v>1</v>
          </cell>
        </row>
        <row r="18489">
          <cell r="C18489" t="str">
            <v>洪子芸</v>
          </cell>
          <cell r="F18489" t="str">
            <v>M241001R1</v>
          </cell>
          <cell r="J18489">
            <v>45677</v>
          </cell>
          <cell r="K18489">
            <v>3.5</v>
          </cell>
        </row>
        <row r="18490">
          <cell r="C18490" t="str">
            <v>洪子芸</v>
          </cell>
          <cell r="F18490" t="str">
            <v>K240801R2</v>
          </cell>
          <cell r="J18490">
            <v>45677</v>
          </cell>
          <cell r="K18490">
            <v>3.5</v>
          </cell>
        </row>
        <row r="18491">
          <cell r="C18491" t="str">
            <v>洪子芸</v>
          </cell>
          <cell r="F18491" t="str">
            <v>M241001R1</v>
          </cell>
          <cell r="J18491">
            <v>45678</v>
          </cell>
          <cell r="K18491">
            <v>2</v>
          </cell>
        </row>
        <row r="18492">
          <cell r="C18492" t="str">
            <v>洪子芸</v>
          </cell>
          <cell r="F18492" t="str">
            <v>K240801R2</v>
          </cell>
          <cell r="J18492">
            <v>45678</v>
          </cell>
          <cell r="K18492">
            <v>3</v>
          </cell>
        </row>
        <row r="18493">
          <cell r="C18493" t="str">
            <v>洪子芸</v>
          </cell>
          <cell r="F18493" t="str">
            <v>D240901R1</v>
          </cell>
          <cell r="J18493">
            <v>45678</v>
          </cell>
          <cell r="K18493">
            <v>3</v>
          </cell>
        </row>
        <row r="18494">
          <cell r="C18494" t="str">
            <v>洪子芸</v>
          </cell>
          <cell r="F18494" t="str">
            <v>K240801R2</v>
          </cell>
          <cell r="J18494">
            <v>45679</v>
          </cell>
          <cell r="K18494">
            <v>8</v>
          </cell>
        </row>
        <row r="18495">
          <cell r="C18495" t="str">
            <v>洪子芸</v>
          </cell>
          <cell r="F18495" t="str">
            <v>K240801R2</v>
          </cell>
          <cell r="J18495">
            <v>45680</v>
          </cell>
          <cell r="K18495">
            <v>8</v>
          </cell>
        </row>
        <row r="18496">
          <cell r="C18496" t="str">
            <v>洪子芸</v>
          </cell>
          <cell r="J18496">
            <v>45681</v>
          </cell>
          <cell r="K18496">
            <v>4.5</v>
          </cell>
        </row>
        <row r="18497">
          <cell r="C18497" t="str">
            <v>洪子芸</v>
          </cell>
          <cell r="F18497" t="str">
            <v>K240801R2</v>
          </cell>
          <cell r="J18497">
            <v>45681</v>
          </cell>
          <cell r="K18497">
            <v>3.5</v>
          </cell>
        </row>
        <row r="18498">
          <cell r="C18498" t="str">
            <v>洪子芸</v>
          </cell>
          <cell r="J18498">
            <v>45691</v>
          </cell>
          <cell r="K18498">
            <v>2</v>
          </cell>
        </row>
        <row r="18499">
          <cell r="C18499" t="str">
            <v>洪子芸</v>
          </cell>
          <cell r="F18499" t="str">
            <v>K240801R2</v>
          </cell>
          <cell r="J18499">
            <v>45691</v>
          </cell>
          <cell r="K18499">
            <v>6</v>
          </cell>
        </row>
        <row r="18500">
          <cell r="C18500" t="str">
            <v>洪子芸</v>
          </cell>
          <cell r="J18500">
            <v>45692</v>
          </cell>
          <cell r="K18500">
            <v>1</v>
          </cell>
        </row>
        <row r="18501">
          <cell r="C18501" t="str">
            <v>洪子芸</v>
          </cell>
          <cell r="F18501" t="str">
            <v>K241201R1</v>
          </cell>
          <cell r="J18501">
            <v>45692</v>
          </cell>
          <cell r="K18501">
            <v>2.5</v>
          </cell>
        </row>
        <row r="18502">
          <cell r="C18502" t="str">
            <v>洪子芸</v>
          </cell>
          <cell r="F18502" t="str">
            <v>K240801R2</v>
          </cell>
          <cell r="J18502">
            <v>45692</v>
          </cell>
          <cell r="K18502">
            <v>4.5</v>
          </cell>
        </row>
        <row r="18503">
          <cell r="C18503" t="str">
            <v>洪子芸</v>
          </cell>
          <cell r="J18503">
            <v>45693</v>
          </cell>
          <cell r="K18503">
            <v>8</v>
          </cell>
        </row>
        <row r="18504">
          <cell r="C18504" t="str">
            <v>洪子芸</v>
          </cell>
          <cell r="J18504">
            <v>45694</v>
          </cell>
          <cell r="K18504">
            <v>1</v>
          </cell>
        </row>
        <row r="18505">
          <cell r="C18505" t="str">
            <v>洪子芸</v>
          </cell>
          <cell r="J18505">
            <v>45695</v>
          </cell>
          <cell r="K18505">
            <v>3.5</v>
          </cell>
        </row>
        <row r="18506">
          <cell r="C18506" t="str">
            <v>洪子芸</v>
          </cell>
          <cell r="F18506" t="str">
            <v>K240801R2</v>
          </cell>
          <cell r="J18506">
            <v>45695</v>
          </cell>
          <cell r="K18506">
            <v>4.5</v>
          </cell>
        </row>
        <row r="18507">
          <cell r="C18507" t="str">
            <v>洪子芸</v>
          </cell>
          <cell r="F18507" t="str">
            <v>K241201R1</v>
          </cell>
          <cell r="J18507">
            <v>45695</v>
          </cell>
          <cell r="K18507">
            <v>3</v>
          </cell>
        </row>
        <row r="18508">
          <cell r="C18508" t="str">
            <v>洪子芸</v>
          </cell>
          <cell r="J18508">
            <v>45696</v>
          </cell>
          <cell r="K18508">
            <v>2</v>
          </cell>
        </row>
        <row r="18509">
          <cell r="C18509" t="str">
            <v>洪子芸</v>
          </cell>
          <cell r="F18509" t="str">
            <v>K240801R2</v>
          </cell>
          <cell r="J18509">
            <v>45696</v>
          </cell>
          <cell r="K18509">
            <v>4.5</v>
          </cell>
        </row>
        <row r="18510">
          <cell r="C18510" t="str">
            <v>洪子芸</v>
          </cell>
          <cell r="F18510" t="str">
            <v>K241201R1</v>
          </cell>
          <cell r="J18510">
            <v>45696</v>
          </cell>
          <cell r="K18510">
            <v>1.5</v>
          </cell>
        </row>
        <row r="18511">
          <cell r="C18511" t="str">
            <v>洪子芸</v>
          </cell>
          <cell r="J18511">
            <v>45698</v>
          </cell>
          <cell r="K18511">
            <v>8</v>
          </cell>
        </row>
        <row r="18512">
          <cell r="C18512" t="str">
            <v>洪子芸</v>
          </cell>
          <cell r="F18512" t="str">
            <v>K240801R2</v>
          </cell>
          <cell r="J18512">
            <v>45699</v>
          </cell>
          <cell r="K18512">
            <v>4.5</v>
          </cell>
        </row>
        <row r="18513">
          <cell r="C18513" t="str">
            <v>洪子芸</v>
          </cell>
          <cell r="F18513" t="str">
            <v>K241201R1</v>
          </cell>
          <cell r="J18513">
            <v>45699</v>
          </cell>
          <cell r="K18513">
            <v>3.5</v>
          </cell>
        </row>
        <row r="18514">
          <cell r="C18514" t="str">
            <v>洪子芸</v>
          </cell>
          <cell r="F18514" t="str">
            <v>K241201R1</v>
          </cell>
          <cell r="J18514">
            <v>45700</v>
          </cell>
          <cell r="K18514">
            <v>8</v>
          </cell>
        </row>
        <row r="18515">
          <cell r="C18515" t="str">
            <v>洪子芸</v>
          </cell>
          <cell r="J18515">
            <v>45701</v>
          </cell>
          <cell r="K18515">
            <v>3.5</v>
          </cell>
        </row>
        <row r="18516">
          <cell r="C18516" t="str">
            <v>洪子芸</v>
          </cell>
          <cell r="F18516" t="str">
            <v>K241201R1</v>
          </cell>
          <cell r="J18516">
            <v>45701</v>
          </cell>
          <cell r="K18516">
            <v>4.5</v>
          </cell>
        </row>
        <row r="18517">
          <cell r="C18517" t="str">
            <v>洪子芸</v>
          </cell>
          <cell r="F18517" t="str">
            <v>K241201R1</v>
          </cell>
          <cell r="J18517">
            <v>45702</v>
          </cell>
          <cell r="K18517">
            <v>3.5</v>
          </cell>
        </row>
        <row r="18518">
          <cell r="C18518" t="str">
            <v>洪子芸</v>
          </cell>
          <cell r="F18518" t="str">
            <v>D240901R1</v>
          </cell>
          <cell r="J18518">
            <v>45702</v>
          </cell>
          <cell r="K18518">
            <v>4.5</v>
          </cell>
        </row>
        <row r="18519">
          <cell r="C18519" t="str">
            <v>洪子芸</v>
          </cell>
          <cell r="J18519">
            <v>45705</v>
          </cell>
          <cell r="K18519">
            <v>1</v>
          </cell>
        </row>
        <row r="18520">
          <cell r="C18520" t="str">
            <v>洪子芸</v>
          </cell>
          <cell r="F18520" t="str">
            <v>D240901R1</v>
          </cell>
          <cell r="J18520">
            <v>45705</v>
          </cell>
          <cell r="K18520">
            <v>7</v>
          </cell>
        </row>
        <row r="18521">
          <cell r="C18521" t="str">
            <v>洪子芸</v>
          </cell>
          <cell r="F18521" t="str">
            <v>D240901R1</v>
          </cell>
          <cell r="J18521">
            <v>45706</v>
          </cell>
          <cell r="K18521">
            <v>3.5</v>
          </cell>
        </row>
        <row r="18522">
          <cell r="C18522" t="str">
            <v>洪子芸</v>
          </cell>
          <cell r="F18522" t="str">
            <v>K240801R2</v>
          </cell>
          <cell r="J18522">
            <v>45706</v>
          </cell>
          <cell r="K18522">
            <v>4.5</v>
          </cell>
        </row>
        <row r="18523">
          <cell r="C18523" t="str">
            <v>洪子芸</v>
          </cell>
          <cell r="J18523">
            <v>45707</v>
          </cell>
          <cell r="K18523">
            <v>3.5</v>
          </cell>
        </row>
        <row r="18524">
          <cell r="C18524" t="str">
            <v>洪子芸</v>
          </cell>
          <cell r="F18524" t="str">
            <v>K240801R2</v>
          </cell>
          <cell r="J18524">
            <v>45707</v>
          </cell>
          <cell r="K18524">
            <v>4.5</v>
          </cell>
        </row>
        <row r="18525">
          <cell r="C18525" t="str">
            <v>洪子芸</v>
          </cell>
          <cell r="J18525">
            <v>45708</v>
          </cell>
          <cell r="K18525">
            <v>1</v>
          </cell>
        </row>
        <row r="18526">
          <cell r="C18526" t="str">
            <v>洪子芸</v>
          </cell>
          <cell r="F18526" t="str">
            <v>K241201R1</v>
          </cell>
          <cell r="J18526">
            <v>45708</v>
          </cell>
          <cell r="K18526">
            <v>7</v>
          </cell>
        </row>
        <row r="18527">
          <cell r="C18527" t="str">
            <v>洪子芸</v>
          </cell>
          <cell r="F18527" t="str">
            <v>K240801R2</v>
          </cell>
          <cell r="J18527">
            <v>45709</v>
          </cell>
          <cell r="K18527">
            <v>2.5</v>
          </cell>
        </row>
        <row r="18528">
          <cell r="C18528" t="str">
            <v>洪子芸</v>
          </cell>
          <cell r="F18528" t="str">
            <v>D240901R1</v>
          </cell>
          <cell r="J18528">
            <v>45709</v>
          </cell>
          <cell r="K18528">
            <v>4.5</v>
          </cell>
        </row>
        <row r="18529">
          <cell r="C18529" t="str">
            <v>洪子芸</v>
          </cell>
          <cell r="F18529" t="str">
            <v>K241201R1</v>
          </cell>
          <cell r="J18529">
            <v>45709</v>
          </cell>
          <cell r="K18529">
            <v>1</v>
          </cell>
        </row>
        <row r="18530">
          <cell r="C18530" t="str">
            <v>洪子芸</v>
          </cell>
          <cell r="F18530" t="str">
            <v>D240901R1</v>
          </cell>
          <cell r="J18530">
            <v>45712</v>
          </cell>
          <cell r="K18530">
            <v>8</v>
          </cell>
        </row>
        <row r="18531">
          <cell r="C18531" t="str">
            <v>洪子芸</v>
          </cell>
          <cell r="F18531" t="str">
            <v>K241201R1</v>
          </cell>
          <cell r="J18531">
            <v>45713</v>
          </cell>
          <cell r="K18531">
            <v>1</v>
          </cell>
        </row>
        <row r="18532">
          <cell r="C18532" t="str">
            <v>洪子芸</v>
          </cell>
          <cell r="F18532" t="str">
            <v>K240801R2</v>
          </cell>
          <cell r="J18532">
            <v>45713</v>
          </cell>
          <cell r="K18532">
            <v>7</v>
          </cell>
        </row>
        <row r="18533">
          <cell r="C18533" t="str">
            <v>洪子芸</v>
          </cell>
          <cell r="F18533" t="str">
            <v>K241201R1</v>
          </cell>
          <cell r="J18533">
            <v>45714</v>
          </cell>
          <cell r="K18533">
            <v>3</v>
          </cell>
        </row>
        <row r="18534">
          <cell r="C18534" t="str">
            <v>洪子芸</v>
          </cell>
          <cell r="F18534" t="str">
            <v>K240801R2</v>
          </cell>
          <cell r="J18534">
            <v>45714</v>
          </cell>
          <cell r="K18534">
            <v>1</v>
          </cell>
        </row>
        <row r="18535">
          <cell r="C18535" t="str">
            <v>洪子芸</v>
          </cell>
          <cell r="F18535" t="str">
            <v>K241201R1</v>
          </cell>
          <cell r="J18535">
            <v>45714</v>
          </cell>
          <cell r="K18535">
            <v>1</v>
          </cell>
        </row>
        <row r="18536">
          <cell r="C18536" t="str">
            <v>洪子芸</v>
          </cell>
          <cell r="J18536">
            <v>45715</v>
          </cell>
          <cell r="K18536">
            <v>8</v>
          </cell>
        </row>
        <row r="18537">
          <cell r="C18537" t="str">
            <v>洪子芸</v>
          </cell>
          <cell r="J18537">
            <v>45719</v>
          </cell>
          <cell r="K18537">
            <v>4.5</v>
          </cell>
        </row>
        <row r="18538">
          <cell r="C18538" t="str">
            <v>洪子芸</v>
          </cell>
          <cell r="F18538" t="str">
            <v>K240801R2</v>
          </cell>
          <cell r="J18538">
            <v>45719</v>
          </cell>
          <cell r="K18538">
            <v>3.5</v>
          </cell>
        </row>
        <row r="18539">
          <cell r="C18539" t="str">
            <v>洪子芸</v>
          </cell>
          <cell r="F18539" t="str">
            <v>K241201R1</v>
          </cell>
          <cell r="J18539">
            <v>45720</v>
          </cell>
          <cell r="K18539">
            <v>8</v>
          </cell>
        </row>
        <row r="18540">
          <cell r="C18540" t="str">
            <v>洪子芸</v>
          </cell>
          <cell r="F18540" t="str">
            <v>K241201R1</v>
          </cell>
          <cell r="J18540">
            <v>45721</v>
          </cell>
          <cell r="K18540">
            <v>3</v>
          </cell>
        </row>
        <row r="18541">
          <cell r="C18541" t="str">
            <v>洪子芸</v>
          </cell>
          <cell r="F18541" t="str">
            <v>K240801R2</v>
          </cell>
          <cell r="J18541">
            <v>45721</v>
          </cell>
          <cell r="K18541">
            <v>5</v>
          </cell>
        </row>
        <row r="18542">
          <cell r="C18542" t="str">
            <v>洪子芸</v>
          </cell>
          <cell r="J18542">
            <v>45722</v>
          </cell>
          <cell r="K18542">
            <v>3.5</v>
          </cell>
        </row>
        <row r="18543">
          <cell r="C18543" t="str">
            <v>洪子芸</v>
          </cell>
          <cell r="F18543" t="str">
            <v>K240801R2</v>
          </cell>
          <cell r="J18543">
            <v>45722</v>
          </cell>
          <cell r="K18543">
            <v>2.5</v>
          </cell>
        </row>
        <row r="18544">
          <cell r="C18544" t="str">
            <v>洪子芸</v>
          </cell>
          <cell r="F18544" t="str">
            <v>K241201R1</v>
          </cell>
          <cell r="J18544">
            <v>45722</v>
          </cell>
          <cell r="K18544">
            <v>2</v>
          </cell>
        </row>
        <row r="18545">
          <cell r="C18545" t="str">
            <v>洪子芸</v>
          </cell>
          <cell r="F18545" t="str">
            <v>K240801R2</v>
          </cell>
          <cell r="J18545">
            <v>45723</v>
          </cell>
          <cell r="K18545">
            <v>4.5</v>
          </cell>
        </row>
        <row r="18546">
          <cell r="C18546" t="str">
            <v>洪子芸</v>
          </cell>
          <cell r="F18546" t="str">
            <v>K241201R1</v>
          </cell>
          <cell r="J18546">
            <v>45723</v>
          </cell>
          <cell r="K18546">
            <v>3.5</v>
          </cell>
        </row>
        <row r="18547">
          <cell r="C18547" t="str">
            <v>洪子芸</v>
          </cell>
          <cell r="F18547" t="str">
            <v>K240801R2</v>
          </cell>
          <cell r="J18547">
            <v>45726</v>
          </cell>
          <cell r="K18547">
            <v>4</v>
          </cell>
        </row>
        <row r="18548">
          <cell r="C18548" t="str">
            <v>洪子芸</v>
          </cell>
          <cell r="F18548" t="str">
            <v>K241201R1</v>
          </cell>
          <cell r="J18548">
            <v>45726</v>
          </cell>
          <cell r="K18548">
            <v>3</v>
          </cell>
        </row>
        <row r="18549">
          <cell r="C18549" t="str">
            <v>洪子芸</v>
          </cell>
          <cell r="F18549" t="str">
            <v>K241201R1</v>
          </cell>
          <cell r="J18549">
            <v>45726</v>
          </cell>
          <cell r="K18549">
            <v>1</v>
          </cell>
        </row>
        <row r="18550">
          <cell r="C18550" t="str">
            <v>洪子芸</v>
          </cell>
          <cell r="F18550" t="str">
            <v>K240801R2</v>
          </cell>
          <cell r="J18550">
            <v>45727</v>
          </cell>
          <cell r="K18550">
            <v>5.5</v>
          </cell>
        </row>
        <row r="18551">
          <cell r="C18551" t="str">
            <v>洪子芸</v>
          </cell>
          <cell r="F18551" t="str">
            <v>K241201R1</v>
          </cell>
          <cell r="J18551">
            <v>45727</v>
          </cell>
          <cell r="K18551">
            <v>2.5</v>
          </cell>
        </row>
        <row r="18552">
          <cell r="C18552" t="str">
            <v>洪子芸</v>
          </cell>
          <cell r="F18552" t="str">
            <v>K240801R2</v>
          </cell>
          <cell r="J18552">
            <v>45728</v>
          </cell>
          <cell r="K18552">
            <v>4.5</v>
          </cell>
        </row>
        <row r="18553">
          <cell r="C18553" t="str">
            <v>洪子芸</v>
          </cell>
          <cell r="F18553" t="str">
            <v>D240901R1</v>
          </cell>
          <cell r="J18553">
            <v>45728</v>
          </cell>
          <cell r="K18553">
            <v>1.5</v>
          </cell>
        </row>
        <row r="18554">
          <cell r="C18554" t="str">
            <v>洪子芸</v>
          </cell>
          <cell r="F18554" t="str">
            <v>K241201R1</v>
          </cell>
          <cell r="J18554">
            <v>45728</v>
          </cell>
          <cell r="K18554">
            <v>2</v>
          </cell>
        </row>
        <row r="18555">
          <cell r="C18555" t="str">
            <v>洪子芸</v>
          </cell>
          <cell r="J18555">
            <v>45729</v>
          </cell>
          <cell r="K18555">
            <v>1</v>
          </cell>
        </row>
        <row r="18556">
          <cell r="C18556" t="str">
            <v>洪子芸</v>
          </cell>
          <cell r="F18556" t="str">
            <v>K240801R2</v>
          </cell>
          <cell r="J18556">
            <v>45729</v>
          </cell>
          <cell r="K18556">
            <v>7</v>
          </cell>
        </row>
        <row r="18557">
          <cell r="C18557" t="str">
            <v>洪子芸</v>
          </cell>
          <cell r="J18557">
            <v>45730</v>
          </cell>
          <cell r="K18557">
            <v>8</v>
          </cell>
        </row>
        <row r="18558">
          <cell r="C18558" t="str">
            <v>洪子芸</v>
          </cell>
          <cell r="J18558">
            <v>45733</v>
          </cell>
          <cell r="K18558">
            <v>1.5</v>
          </cell>
        </row>
        <row r="18559">
          <cell r="C18559" t="str">
            <v>洪子芸</v>
          </cell>
          <cell r="F18559" t="str">
            <v>K240801R2</v>
          </cell>
          <cell r="J18559">
            <v>45733</v>
          </cell>
          <cell r="K18559">
            <v>6.5</v>
          </cell>
        </row>
        <row r="18560">
          <cell r="C18560" t="str">
            <v>洪子芸</v>
          </cell>
          <cell r="J18560">
            <v>45734</v>
          </cell>
          <cell r="K18560">
            <v>3.5</v>
          </cell>
        </row>
        <row r="18561">
          <cell r="C18561" t="str">
            <v>洪子芸</v>
          </cell>
          <cell r="F18561" t="str">
            <v>K240801R2</v>
          </cell>
          <cell r="J18561">
            <v>45734</v>
          </cell>
          <cell r="K18561">
            <v>4.5</v>
          </cell>
        </row>
        <row r="18562">
          <cell r="C18562" t="str">
            <v>洪子芸</v>
          </cell>
          <cell r="F18562" t="str">
            <v>K240801R2</v>
          </cell>
          <cell r="J18562">
            <v>45735</v>
          </cell>
          <cell r="K18562">
            <v>6.5</v>
          </cell>
        </row>
        <row r="18563">
          <cell r="C18563" t="str">
            <v>洪子芸</v>
          </cell>
          <cell r="F18563" t="str">
            <v>D240901R1</v>
          </cell>
          <cell r="J18563">
            <v>45735</v>
          </cell>
          <cell r="K18563">
            <v>1.5</v>
          </cell>
        </row>
        <row r="18564">
          <cell r="C18564" t="str">
            <v>洪子芸</v>
          </cell>
          <cell r="J18564">
            <v>45736</v>
          </cell>
          <cell r="K18564">
            <v>2</v>
          </cell>
        </row>
        <row r="18565">
          <cell r="C18565" t="str">
            <v>洪子芸</v>
          </cell>
          <cell r="J18565">
            <v>45736</v>
          </cell>
          <cell r="K18565">
            <v>1</v>
          </cell>
        </row>
        <row r="18566">
          <cell r="C18566" t="str">
            <v>洪子芸</v>
          </cell>
          <cell r="F18566" t="str">
            <v>D240901R1</v>
          </cell>
          <cell r="J18566">
            <v>45736</v>
          </cell>
          <cell r="K18566">
            <v>3</v>
          </cell>
        </row>
        <row r="18567">
          <cell r="C18567" t="str">
            <v>洪子芸</v>
          </cell>
          <cell r="F18567" t="str">
            <v>K240801R2</v>
          </cell>
          <cell r="J18567">
            <v>45736</v>
          </cell>
          <cell r="K18567">
            <v>2</v>
          </cell>
        </row>
        <row r="18568">
          <cell r="C18568" t="str">
            <v>洪子芸</v>
          </cell>
          <cell r="J18568">
            <v>45737</v>
          </cell>
          <cell r="K18568">
            <v>4.5</v>
          </cell>
        </row>
        <row r="18569">
          <cell r="C18569" t="str">
            <v>洪子芸</v>
          </cell>
          <cell r="F18569" t="str">
            <v>D240901R1</v>
          </cell>
          <cell r="J18569">
            <v>45737</v>
          </cell>
          <cell r="K18569">
            <v>3.5</v>
          </cell>
        </row>
        <row r="18570">
          <cell r="C18570" t="str">
            <v>洪子芸</v>
          </cell>
          <cell r="F18570" t="str">
            <v>K241201R1</v>
          </cell>
          <cell r="J18570">
            <v>45740</v>
          </cell>
          <cell r="K18570">
            <v>8</v>
          </cell>
        </row>
        <row r="18571">
          <cell r="C18571" t="str">
            <v>洪子芸</v>
          </cell>
          <cell r="F18571" t="str">
            <v>D240901R1</v>
          </cell>
          <cell r="J18571">
            <v>45741</v>
          </cell>
          <cell r="K18571">
            <v>3.5</v>
          </cell>
        </row>
        <row r="18572">
          <cell r="C18572" t="str">
            <v>洪子芸</v>
          </cell>
          <cell r="F18572" t="str">
            <v>K240801R2</v>
          </cell>
          <cell r="J18572">
            <v>45741</v>
          </cell>
          <cell r="K18572">
            <v>4.5</v>
          </cell>
        </row>
        <row r="18573">
          <cell r="C18573" t="str">
            <v>洪子芸</v>
          </cell>
          <cell r="J18573">
            <v>45742</v>
          </cell>
          <cell r="K18573">
            <v>8</v>
          </cell>
        </row>
        <row r="18574">
          <cell r="C18574" t="str">
            <v>洪子芸</v>
          </cell>
          <cell r="F18574" t="str">
            <v>K240801R2</v>
          </cell>
          <cell r="J18574">
            <v>45742</v>
          </cell>
          <cell r="K18574">
            <v>3</v>
          </cell>
        </row>
        <row r="18575">
          <cell r="C18575" t="str">
            <v>洪子芸</v>
          </cell>
          <cell r="J18575">
            <v>45743</v>
          </cell>
          <cell r="K18575">
            <v>1</v>
          </cell>
        </row>
        <row r="18576">
          <cell r="C18576" t="str">
            <v>洪子芸</v>
          </cell>
          <cell r="F18576" t="str">
            <v>K241201R1</v>
          </cell>
          <cell r="J18576">
            <v>45743</v>
          </cell>
          <cell r="K18576">
            <v>3</v>
          </cell>
        </row>
        <row r="18577">
          <cell r="C18577" t="str">
            <v>洪子芸</v>
          </cell>
          <cell r="F18577" t="str">
            <v>D240901R1</v>
          </cell>
          <cell r="J18577">
            <v>45743</v>
          </cell>
          <cell r="K18577">
            <v>2</v>
          </cell>
        </row>
        <row r="18578">
          <cell r="C18578" t="str">
            <v>洪子芸</v>
          </cell>
          <cell r="F18578" t="str">
            <v>K240801R2</v>
          </cell>
          <cell r="J18578">
            <v>45743</v>
          </cell>
          <cell r="K18578">
            <v>2</v>
          </cell>
        </row>
        <row r="18579">
          <cell r="C18579" t="str">
            <v>洪子芸</v>
          </cell>
          <cell r="J18579">
            <v>45747</v>
          </cell>
          <cell r="K18579">
            <v>2</v>
          </cell>
        </row>
        <row r="18580">
          <cell r="C18580" t="str">
            <v>洪子芸</v>
          </cell>
          <cell r="J18580">
            <v>45747</v>
          </cell>
          <cell r="K18580">
            <v>3.5</v>
          </cell>
        </row>
        <row r="18581">
          <cell r="C18581" t="str">
            <v>洪子芸</v>
          </cell>
          <cell r="F18581" t="str">
            <v>K240801R2</v>
          </cell>
          <cell r="J18581">
            <v>45747</v>
          </cell>
          <cell r="K18581">
            <v>1.5</v>
          </cell>
        </row>
        <row r="18582">
          <cell r="C18582" t="str">
            <v>洪子芸</v>
          </cell>
          <cell r="F18582" t="str">
            <v>K241201R1</v>
          </cell>
          <cell r="J18582">
            <v>45747</v>
          </cell>
          <cell r="K18582">
            <v>1</v>
          </cell>
        </row>
        <row r="18583">
          <cell r="C18583" t="str">
            <v>洪子芸</v>
          </cell>
          <cell r="F18583" t="str">
            <v>D241001R1</v>
          </cell>
          <cell r="J18583">
            <v>45748</v>
          </cell>
          <cell r="K18583">
            <v>8</v>
          </cell>
        </row>
        <row r="18584">
          <cell r="C18584" t="str">
            <v>洪子芸</v>
          </cell>
          <cell r="F18584" t="str">
            <v>D241001R1</v>
          </cell>
          <cell r="J18584">
            <v>45749</v>
          </cell>
          <cell r="K18584">
            <v>3.5</v>
          </cell>
        </row>
        <row r="18585">
          <cell r="C18585" t="str">
            <v>洪子芸</v>
          </cell>
          <cell r="F18585" t="str">
            <v>D240901R1</v>
          </cell>
          <cell r="J18585">
            <v>45749</v>
          </cell>
          <cell r="K18585">
            <v>4.5</v>
          </cell>
        </row>
        <row r="18586">
          <cell r="C18586" t="str">
            <v>洪子芸</v>
          </cell>
          <cell r="J18586">
            <v>45754</v>
          </cell>
          <cell r="K18586">
            <v>8</v>
          </cell>
        </row>
        <row r="18587">
          <cell r="C18587" t="str">
            <v>洪子芸</v>
          </cell>
          <cell r="F18587" t="str">
            <v>K241201R1</v>
          </cell>
          <cell r="J18587">
            <v>45755</v>
          </cell>
          <cell r="K18587">
            <v>3.5</v>
          </cell>
        </row>
        <row r="18588">
          <cell r="C18588" t="str">
            <v>洪子芸</v>
          </cell>
          <cell r="F18588" t="str">
            <v>D240901R1</v>
          </cell>
          <cell r="J18588">
            <v>45755</v>
          </cell>
          <cell r="K18588">
            <v>4.5</v>
          </cell>
        </row>
        <row r="18589">
          <cell r="C18589" t="str">
            <v>洪子芸</v>
          </cell>
          <cell r="F18589" t="str">
            <v>D240901R1</v>
          </cell>
          <cell r="J18589">
            <v>45756</v>
          </cell>
          <cell r="K18589">
            <v>8</v>
          </cell>
        </row>
        <row r="18590">
          <cell r="C18590" t="str">
            <v>洪子芸</v>
          </cell>
          <cell r="J18590">
            <v>45757</v>
          </cell>
          <cell r="K18590">
            <v>3.5</v>
          </cell>
        </row>
        <row r="18591">
          <cell r="C18591" t="str">
            <v>洪子芸</v>
          </cell>
          <cell r="F18591" t="str">
            <v>D240901R1</v>
          </cell>
          <cell r="J18591">
            <v>45757</v>
          </cell>
          <cell r="K18591">
            <v>4.5</v>
          </cell>
        </row>
        <row r="18592">
          <cell r="C18592" t="str">
            <v>洪子芸</v>
          </cell>
          <cell r="F18592" t="str">
            <v>D241001R1</v>
          </cell>
          <cell r="J18592">
            <v>45761</v>
          </cell>
          <cell r="K18592">
            <v>8</v>
          </cell>
        </row>
        <row r="18593">
          <cell r="C18593" t="str">
            <v>洪子芸</v>
          </cell>
          <cell r="F18593" t="str">
            <v>D241001R1</v>
          </cell>
          <cell r="J18593">
            <v>45762</v>
          </cell>
          <cell r="K18593">
            <v>8</v>
          </cell>
        </row>
        <row r="18594">
          <cell r="C18594" t="str">
            <v>洪子芸</v>
          </cell>
          <cell r="F18594" t="str">
            <v>D241001R1</v>
          </cell>
          <cell r="J18594">
            <v>45763</v>
          </cell>
          <cell r="K18594">
            <v>7</v>
          </cell>
        </row>
        <row r="18595">
          <cell r="C18595" t="str">
            <v>洪子芸</v>
          </cell>
          <cell r="F18595" t="str">
            <v>D240901R1</v>
          </cell>
          <cell r="J18595">
            <v>45763</v>
          </cell>
          <cell r="K18595">
            <v>1</v>
          </cell>
        </row>
        <row r="18596">
          <cell r="C18596" t="str">
            <v>洪子芸</v>
          </cell>
          <cell r="J18596">
            <v>45764</v>
          </cell>
          <cell r="K18596">
            <v>1</v>
          </cell>
        </row>
        <row r="18597">
          <cell r="C18597" t="str">
            <v>洪子芸</v>
          </cell>
          <cell r="F18597" t="str">
            <v>D241001R1</v>
          </cell>
          <cell r="J18597">
            <v>45764</v>
          </cell>
          <cell r="K18597">
            <v>7</v>
          </cell>
        </row>
        <row r="18598">
          <cell r="C18598" t="str">
            <v>洪子芸</v>
          </cell>
          <cell r="F18598" t="str">
            <v>D241001R1</v>
          </cell>
          <cell r="J18598">
            <v>45765</v>
          </cell>
          <cell r="K18598">
            <v>8</v>
          </cell>
        </row>
        <row r="18599">
          <cell r="C18599" t="str">
            <v>洪子芸</v>
          </cell>
          <cell r="F18599" t="str">
            <v>D241001R1</v>
          </cell>
          <cell r="J18599">
            <v>45768</v>
          </cell>
          <cell r="K18599">
            <v>8</v>
          </cell>
        </row>
        <row r="18600">
          <cell r="C18600" t="str">
            <v>洪子芸</v>
          </cell>
          <cell r="F18600" t="str">
            <v>D241001R1</v>
          </cell>
          <cell r="J18600">
            <v>45769</v>
          </cell>
          <cell r="K18600">
            <v>8</v>
          </cell>
        </row>
        <row r="18601">
          <cell r="C18601" t="str">
            <v>洪子芸</v>
          </cell>
          <cell r="J18601">
            <v>45770</v>
          </cell>
          <cell r="K18601">
            <v>1</v>
          </cell>
        </row>
        <row r="18602">
          <cell r="C18602" t="str">
            <v>洪子芸</v>
          </cell>
          <cell r="F18602" t="str">
            <v>D241001R1</v>
          </cell>
          <cell r="J18602">
            <v>45770</v>
          </cell>
          <cell r="K18602">
            <v>3.5</v>
          </cell>
        </row>
        <row r="18603">
          <cell r="C18603" t="str">
            <v>洪子芸</v>
          </cell>
          <cell r="F18603" t="str">
            <v>K240801R2</v>
          </cell>
          <cell r="J18603">
            <v>45770</v>
          </cell>
          <cell r="K18603">
            <v>3.5</v>
          </cell>
        </row>
        <row r="18604">
          <cell r="C18604" t="str">
            <v>洪子芸</v>
          </cell>
          <cell r="J18604">
            <v>45771</v>
          </cell>
          <cell r="K18604">
            <v>1</v>
          </cell>
        </row>
        <row r="18605">
          <cell r="C18605" t="str">
            <v>洪子芸</v>
          </cell>
          <cell r="F18605" t="str">
            <v>D241001R1</v>
          </cell>
          <cell r="J18605">
            <v>45771</v>
          </cell>
          <cell r="K18605">
            <v>7</v>
          </cell>
        </row>
        <row r="18606">
          <cell r="C18606" t="str">
            <v>洪子芸</v>
          </cell>
          <cell r="F18606" t="str">
            <v>D241001R1</v>
          </cell>
          <cell r="J18606">
            <v>45772</v>
          </cell>
          <cell r="K18606">
            <v>8</v>
          </cell>
        </row>
        <row r="18607">
          <cell r="C18607" t="str">
            <v>洪子芸</v>
          </cell>
          <cell r="F18607" t="str">
            <v>D241001R1</v>
          </cell>
          <cell r="J18607">
            <v>45775</v>
          </cell>
          <cell r="K18607">
            <v>4.5</v>
          </cell>
        </row>
        <row r="18608">
          <cell r="C18608" t="str">
            <v>洪子芸</v>
          </cell>
          <cell r="F18608" t="str">
            <v>M240101P1</v>
          </cell>
          <cell r="J18608">
            <v>45775</v>
          </cell>
          <cell r="K18608">
            <v>3.5</v>
          </cell>
        </row>
        <row r="18609">
          <cell r="C18609" t="str">
            <v>洪子芸</v>
          </cell>
          <cell r="F18609" t="str">
            <v>K231101P1</v>
          </cell>
          <cell r="J18609">
            <v>45776</v>
          </cell>
          <cell r="K18609">
            <v>4.5</v>
          </cell>
        </row>
        <row r="18610">
          <cell r="C18610" t="str">
            <v>洪子芸</v>
          </cell>
          <cell r="F18610" t="str">
            <v>M240101P1</v>
          </cell>
          <cell r="J18610">
            <v>45776</v>
          </cell>
          <cell r="K18610">
            <v>3.5</v>
          </cell>
        </row>
        <row r="18611">
          <cell r="C18611" t="str">
            <v>洪子芸</v>
          </cell>
          <cell r="F18611" t="str">
            <v>D240901R1</v>
          </cell>
          <cell r="J18611">
            <v>45777</v>
          </cell>
          <cell r="K18611">
            <v>4.5</v>
          </cell>
        </row>
        <row r="18612">
          <cell r="C18612" t="str">
            <v>洪子芸</v>
          </cell>
          <cell r="F18612" t="str">
            <v>K231101P1</v>
          </cell>
          <cell r="J18612">
            <v>45777</v>
          </cell>
          <cell r="K18612">
            <v>3.5</v>
          </cell>
        </row>
        <row r="18613">
          <cell r="C18613" t="str">
            <v>洪子芸</v>
          </cell>
          <cell r="J18613">
            <v>45778</v>
          </cell>
          <cell r="K18613">
            <v>8</v>
          </cell>
        </row>
        <row r="18614">
          <cell r="C18614" t="str">
            <v>洪子芸</v>
          </cell>
          <cell r="F18614" t="str">
            <v>D240901R1</v>
          </cell>
          <cell r="J18614">
            <v>45779</v>
          </cell>
          <cell r="K18614">
            <v>8</v>
          </cell>
        </row>
        <row r="18615">
          <cell r="C18615" t="str">
            <v>洪子芸</v>
          </cell>
          <cell r="J18615">
            <v>45782</v>
          </cell>
          <cell r="K18615">
            <v>8</v>
          </cell>
        </row>
        <row r="18616">
          <cell r="C18616" t="str">
            <v>洪子芸</v>
          </cell>
          <cell r="F18616" t="str">
            <v>D240901R1</v>
          </cell>
          <cell r="J18616">
            <v>45783</v>
          </cell>
          <cell r="K18616">
            <v>3.5</v>
          </cell>
        </row>
        <row r="18617">
          <cell r="C18617" t="str">
            <v>洪子芸</v>
          </cell>
          <cell r="F18617" t="str">
            <v>K241201R1</v>
          </cell>
          <cell r="J18617">
            <v>45783</v>
          </cell>
          <cell r="K18617">
            <v>4.5</v>
          </cell>
        </row>
        <row r="18618">
          <cell r="C18618" t="str">
            <v>洪子芸</v>
          </cell>
          <cell r="F18618" t="str">
            <v>K240801R2</v>
          </cell>
          <cell r="J18618">
            <v>45784</v>
          </cell>
          <cell r="K18618">
            <v>1.5</v>
          </cell>
        </row>
        <row r="18619">
          <cell r="C18619" t="str">
            <v>洪子芸</v>
          </cell>
          <cell r="F18619" t="str">
            <v>K241201R1</v>
          </cell>
          <cell r="J18619">
            <v>45784</v>
          </cell>
          <cell r="K18619">
            <v>5</v>
          </cell>
        </row>
        <row r="18620">
          <cell r="C18620" t="str">
            <v>洪子芸</v>
          </cell>
          <cell r="F18620" t="str">
            <v>D240901R1</v>
          </cell>
          <cell r="J18620">
            <v>45784</v>
          </cell>
          <cell r="K18620">
            <v>1.5</v>
          </cell>
        </row>
        <row r="18621">
          <cell r="C18621" t="str">
            <v>洪子芸</v>
          </cell>
          <cell r="J18621">
            <v>45785</v>
          </cell>
          <cell r="K18621">
            <v>1</v>
          </cell>
        </row>
        <row r="18622">
          <cell r="C18622" t="str">
            <v>洪子芸</v>
          </cell>
          <cell r="F18622" t="str">
            <v>K231101P1</v>
          </cell>
          <cell r="J18622">
            <v>45785</v>
          </cell>
          <cell r="K18622">
            <v>7</v>
          </cell>
        </row>
        <row r="18623">
          <cell r="C18623" t="str">
            <v>洪子芸</v>
          </cell>
          <cell r="F18623" t="str">
            <v>D240901R1</v>
          </cell>
          <cell r="J18623">
            <v>45786</v>
          </cell>
          <cell r="K18623">
            <v>8</v>
          </cell>
        </row>
        <row r="18624">
          <cell r="C18624" t="str">
            <v>洪子芸</v>
          </cell>
          <cell r="J18624">
            <v>45789</v>
          </cell>
          <cell r="K18624">
            <v>8</v>
          </cell>
        </row>
        <row r="18625">
          <cell r="C18625" t="str">
            <v>洪子芸</v>
          </cell>
          <cell r="F18625" t="str">
            <v>D240901R1</v>
          </cell>
          <cell r="J18625">
            <v>45790</v>
          </cell>
          <cell r="K18625">
            <v>4.5</v>
          </cell>
        </row>
        <row r="18626">
          <cell r="C18626" t="str">
            <v>洪子芸</v>
          </cell>
          <cell r="F18626" t="str">
            <v>K231101P1</v>
          </cell>
          <cell r="J18626">
            <v>45790</v>
          </cell>
          <cell r="K18626">
            <v>3.5</v>
          </cell>
        </row>
        <row r="18627">
          <cell r="C18627" t="str">
            <v>洪子芸</v>
          </cell>
          <cell r="F18627" t="str">
            <v>K240801R2</v>
          </cell>
          <cell r="J18627">
            <v>45791</v>
          </cell>
          <cell r="K18627">
            <v>6.5</v>
          </cell>
        </row>
        <row r="18628">
          <cell r="C18628" t="str">
            <v>洪子芸</v>
          </cell>
          <cell r="F18628" t="str">
            <v>K231101P1</v>
          </cell>
          <cell r="J18628">
            <v>45791</v>
          </cell>
          <cell r="K18628">
            <v>1.5</v>
          </cell>
        </row>
        <row r="18629">
          <cell r="C18629" t="str">
            <v>洪子芸</v>
          </cell>
          <cell r="J18629">
            <v>45792</v>
          </cell>
          <cell r="K18629">
            <v>1</v>
          </cell>
        </row>
        <row r="18630">
          <cell r="C18630" t="str">
            <v>洪子芸</v>
          </cell>
          <cell r="F18630" t="str">
            <v>D240901R1</v>
          </cell>
          <cell r="J18630">
            <v>45792</v>
          </cell>
          <cell r="K18630">
            <v>3.5</v>
          </cell>
        </row>
        <row r="18631">
          <cell r="C18631" t="str">
            <v>洪子芸</v>
          </cell>
          <cell r="F18631" t="str">
            <v>K231101P1</v>
          </cell>
          <cell r="J18631">
            <v>45792</v>
          </cell>
          <cell r="K18631">
            <v>1.5</v>
          </cell>
        </row>
        <row r="18632">
          <cell r="C18632" t="str">
            <v>洪子芸</v>
          </cell>
          <cell r="F18632" t="str">
            <v>K240801R2</v>
          </cell>
          <cell r="J18632">
            <v>45792</v>
          </cell>
          <cell r="K18632">
            <v>2</v>
          </cell>
        </row>
        <row r="18633">
          <cell r="C18633" t="str">
            <v>洪子芸</v>
          </cell>
          <cell r="J18633">
            <v>45793</v>
          </cell>
          <cell r="K18633">
            <v>3.5</v>
          </cell>
        </row>
        <row r="18634">
          <cell r="C18634" t="str">
            <v>洪子芸</v>
          </cell>
          <cell r="F18634" t="str">
            <v>D241001R1</v>
          </cell>
          <cell r="J18634">
            <v>45793</v>
          </cell>
          <cell r="K18634">
            <v>4.5</v>
          </cell>
        </row>
        <row r="18635">
          <cell r="C18635" t="str">
            <v>洪子芸</v>
          </cell>
          <cell r="F18635" t="str">
            <v>D241001R1</v>
          </cell>
          <cell r="J18635">
            <v>45796</v>
          </cell>
          <cell r="K18635">
            <v>4.5</v>
          </cell>
        </row>
        <row r="18636">
          <cell r="C18636" t="str">
            <v>洪子芸</v>
          </cell>
          <cell r="F18636" t="str">
            <v>K240801R2</v>
          </cell>
          <cell r="J18636">
            <v>45796</v>
          </cell>
          <cell r="K18636">
            <v>3.5</v>
          </cell>
        </row>
        <row r="18637">
          <cell r="C18637" t="str">
            <v>洪子芸</v>
          </cell>
          <cell r="F18637" t="str">
            <v>D241001R1</v>
          </cell>
          <cell r="J18637">
            <v>45797</v>
          </cell>
          <cell r="K18637">
            <v>4.5</v>
          </cell>
        </row>
        <row r="18638">
          <cell r="C18638" t="str">
            <v>洪子芸</v>
          </cell>
          <cell r="F18638" t="str">
            <v>K240801R2</v>
          </cell>
          <cell r="J18638">
            <v>45797</v>
          </cell>
          <cell r="K18638">
            <v>3.5</v>
          </cell>
        </row>
        <row r="18639">
          <cell r="C18639" t="str">
            <v>洪子芸</v>
          </cell>
          <cell r="F18639" t="str">
            <v>K231101P1</v>
          </cell>
          <cell r="J18639">
            <v>45798</v>
          </cell>
          <cell r="K18639">
            <v>1</v>
          </cell>
        </row>
        <row r="18640">
          <cell r="C18640" t="str">
            <v>洪子芸</v>
          </cell>
          <cell r="F18640" t="str">
            <v>K240801R2</v>
          </cell>
          <cell r="J18640">
            <v>45798</v>
          </cell>
          <cell r="K18640">
            <v>7</v>
          </cell>
        </row>
        <row r="18641">
          <cell r="C18641" t="str">
            <v>洪子芸</v>
          </cell>
          <cell r="J18641">
            <v>45799</v>
          </cell>
          <cell r="K18641">
            <v>8</v>
          </cell>
        </row>
        <row r="18642">
          <cell r="C18642" t="str">
            <v>洪子芸</v>
          </cell>
          <cell r="F18642" t="str">
            <v>K240801R2</v>
          </cell>
          <cell r="J18642">
            <v>45800</v>
          </cell>
          <cell r="K18642">
            <v>7</v>
          </cell>
        </row>
        <row r="18643">
          <cell r="C18643" t="str">
            <v>洪子芸</v>
          </cell>
          <cell r="F18643" t="str">
            <v>D240901R1</v>
          </cell>
          <cell r="J18643">
            <v>45800</v>
          </cell>
          <cell r="K18643">
            <v>1</v>
          </cell>
        </row>
        <row r="18644">
          <cell r="C18644" t="str">
            <v>洪子芸</v>
          </cell>
          <cell r="F18644" t="str">
            <v>K240801R2</v>
          </cell>
          <cell r="J18644">
            <v>45803</v>
          </cell>
          <cell r="K18644">
            <v>8</v>
          </cell>
        </row>
        <row r="18645">
          <cell r="C18645" t="str">
            <v>洪子芸</v>
          </cell>
          <cell r="F18645" t="str">
            <v>K240801R2</v>
          </cell>
          <cell r="J18645">
            <v>45804</v>
          </cell>
          <cell r="K18645">
            <v>8</v>
          </cell>
        </row>
        <row r="18646">
          <cell r="C18646" t="str">
            <v>洪子芸</v>
          </cell>
          <cell r="F18646" t="str">
            <v>K240801R2</v>
          </cell>
          <cell r="J18646">
            <v>45805</v>
          </cell>
          <cell r="K18646">
            <v>5</v>
          </cell>
        </row>
        <row r="18647">
          <cell r="C18647" t="str">
            <v>洪子芸</v>
          </cell>
          <cell r="J18647">
            <v>45806</v>
          </cell>
          <cell r="K18647">
            <v>1</v>
          </cell>
        </row>
        <row r="18648">
          <cell r="C18648" t="str">
            <v>洪子芸</v>
          </cell>
          <cell r="F18648" t="str">
            <v>K250501R1</v>
          </cell>
          <cell r="J18648">
            <v>45806</v>
          </cell>
          <cell r="K18648">
            <v>7</v>
          </cell>
        </row>
        <row r="18649">
          <cell r="C18649" t="str">
            <v>洪子芸</v>
          </cell>
          <cell r="J18649">
            <v>45807</v>
          </cell>
          <cell r="K18649">
            <v>8</v>
          </cell>
        </row>
        <row r="18650">
          <cell r="C18650" t="str">
            <v>洪子芸</v>
          </cell>
          <cell r="J18650">
            <v>45810</v>
          </cell>
          <cell r="K18650">
            <v>8</v>
          </cell>
        </row>
        <row r="18651">
          <cell r="C18651" t="str">
            <v>洪子芸</v>
          </cell>
          <cell r="F18651" t="str">
            <v>K250501R1</v>
          </cell>
          <cell r="J18651">
            <v>45811</v>
          </cell>
          <cell r="K18651">
            <v>8</v>
          </cell>
        </row>
        <row r="18652">
          <cell r="C18652" t="str">
            <v>洪子芸</v>
          </cell>
          <cell r="F18652" t="str">
            <v>K250501R1</v>
          </cell>
          <cell r="J18652">
            <v>45812</v>
          </cell>
          <cell r="K18652">
            <v>8</v>
          </cell>
        </row>
        <row r="18653">
          <cell r="C18653" t="str">
            <v>洪子芸</v>
          </cell>
          <cell r="J18653">
            <v>45813</v>
          </cell>
          <cell r="K18653">
            <v>1</v>
          </cell>
        </row>
        <row r="18654">
          <cell r="C18654" t="str">
            <v>洪子芸</v>
          </cell>
          <cell r="F18654" t="str">
            <v>D241001R1</v>
          </cell>
          <cell r="J18654">
            <v>45813</v>
          </cell>
          <cell r="K18654">
            <v>3</v>
          </cell>
        </row>
        <row r="18655">
          <cell r="C18655" t="str">
            <v>洪子芸</v>
          </cell>
          <cell r="F18655" t="str">
            <v>K240801R2</v>
          </cell>
          <cell r="J18655">
            <v>45813</v>
          </cell>
          <cell r="K18655">
            <v>4</v>
          </cell>
        </row>
        <row r="18656">
          <cell r="C18656" t="str">
            <v>洪子芸</v>
          </cell>
          <cell r="J18656">
            <v>45817</v>
          </cell>
          <cell r="K18656">
            <v>8</v>
          </cell>
        </row>
        <row r="18657">
          <cell r="C18657" t="str">
            <v>洪子芸</v>
          </cell>
          <cell r="F18657" t="str">
            <v>K240801R2</v>
          </cell>
          <cell r="J18657">
            <v>45818</v>
          </cell>
          <cell r="K18657">
            <v>8</v>
          </cell>
        </row>
        <row r="18658">
          <cell r="C18658" t="str">
            <v>洪子芸</v>
          </cell>
          <cell r="F18658" t="str">
            <v>K240801R2</v>
          </cell>
          <cell r="J18658">
            <v>45819</v>
          </cell>
          <cell r="K18658">
            <v>2.5</v>
          </cell>
        </row>
        <row r="18659">
          <cell r="C18659" t="str">
            <v>洪子芸</v>
          </cell>
          <cell r="F18659" t="str">
            <v>K250501R1</v>
          </cell>
          <cell r="J18659">
            <v>45819</v>
          </cell>
          <cell r="K18659">
            <v>5.5</v>
          </cell>
        </row>
        <row r="18660">
          <cell r="C18660" t="str">
            <v>洪子芸</v>
          </cell>
          <cell r="J18660">
            <v>45820</v>
          </cell>
          <cell r="K18660">
            <v>1.5</v>
          </cell>
        </row>
        <row r="18661">
          <cell r="C18661" t="str">
            <v>洪子芸</v>
          </cell>
          <cell r="F18661" t="str">
            <v>K250501R1</v>
          </cell>
          <cell r="J18661">
            <v>45820</v>
          </cell>
          <cell r="K18661">
            <v>3.5</v>
          </cell>
        </row>
        <row r="18662">
          <cell r="C18662" t="str">
            <v>洪子芸</v>
          </cell>
          <cell r="F18662" t="str">
            <v>K231101P1</v>
          </cell>
          <cell r="J18662">
            <v>45820</v>
          </cell>
          <cell r="K18662">
            <v>3</v>
          </cell>
        </row>
        <row r="18663">
          <cell r="C18663" t="str">
            <v>洪子芸</v>
          </cell>
          <cell r="F18663" t="str">
            <v>K231101P1</v>
          </cell>
          <cell r="J18663">
            <v>45821</v>
          </cell>
          <cell r="K18663">
            <v>8</v>
          </cell>
        </row>
        <row r="18664">
          <cell r="C18664" t="str">
            <v>洪子芸</v>
          </cell>
          <cell r="J18664">
            <v>45824</v>
          </cell>
          <cell r="K18664">
            <v>1.5</v>
          </cell>
        </row>
        <row r="18665">
          <cell r="C18665" t="str">
            <v>洪子芸</v>
          </cell>
          <cell r="F18665" t="str">
            <v>K240801R2</v>
          </cell>
          <cell r="J18665">
            <v>45824</v>
          </cell>
          <cell r="K18665">
            <v>1</v>
          </cell>
        </row>
        <row r="18666">
          <cell r="C18666" t="str">
            <v>洪子芸</v>
          </cell>
          <cell r="F18666" t="str">
            <v>K231101P1</v>
          </cell>
          <cell r="J18666">
            <v>45824</v>
          </cell>
          <cell r="K18666">
            <v>5.5</v>
          </cell>
        </row>
        <row r="18667">
          <cell r="C18667" t="str">
            <v>洪子芸</v>
          </cell>
          <cell r="F18667" t="str">
            <v>K240801R2</v>
          </cell>
          <cell r="J18667">
            <v>45825</v>
          </cell>
          <cell r="K18667">
            <v>4.5</v>
          </cell>
        </row>
        <row r="18668">
          <cell r="C18668" t="str">
            <v>洪子芸</v>
          </cell>
          <cell r="F18668" t="str">
            <v>K231101P1</v>
          </cell>
          <cell r="J18668">
            <v>45825</v>
          </cell>
          <cell r="K18668">
            <v>3.5</v>
          </cell>
        </row>
        <row r="18669">
          <cell r="C18669" t="str">
            <v>洪子芸</v>
          </cell>
          <cell r="F18669" t="str">
            <v>K240801R2</v>
          </cell>
          <cell r="J18669">
            <v>45826</v>
          </cell>
          <cell r="K18669">
            <v>8</v>
          </cell>
        </row>
        <row r="18670">
          <cell r="C18670" t="str">
            <v>洪子芸</v>
          </cell>
          <cell r="F18670" t="str">
            <v>K231101P1</v>
          </cell>
          <cell r="J18670">
            <v>45827</v>
          </cell>
          <cell r="K18670">
            <v>8</v>
          </cell>
        </row>
        <row r="18671">
          <cell r="C18671" t="str">
            <v>洪子芸</v>
          </cell>
          <cell r="J18671">
            <v>45828</v>
          </cell>
          <cell r="K18671">
            <v>8</v>
          </cell>
        </row>
        <row r="18672">
          <cell r="C18672" t="str">
            <v>洪子芸</v>
          </cell>
          <cell r="J18672">
            <v>45831</v>
          </cell>
          <cell r="K18672">
            <v>8</v>
          </cell>
        </row>
        <row r="18673">
          <cell r="C18673" t="str">
            <v>洪子芸</v>
          </cell>
          <cell r="F18673" t="str">
            <v>K240801R2</v>
          </cell>
          <cell r="J18673">
            <v>45832</v>
          </cell>
          <cell r="K18673">
            <v>4</v>
          </cell>
        </row>
        <row r="18674">
          <cell r="C18674" t="str">
            <v>洪子芸</v>
          </cell>
          <cell r="F18674" t="str">
            <v>K231101P1</v>
          </cell>
          <cell r="J18674">
            <v>45832</v>
          </cell>
          <cell r="K18674">
            <v>4</v>
          </cell>
        </row>
        <row r="18675">
          <cell r="C18675" t="str">
            <v>洪子芸</v>
          </cell>
          <cell r="J18675">
            <v>45833</v>
          </cell>
          <cell r="K18675">
            <v>3.5</v>
          </cell>
        </row>
        <row r="18676">
          <cell r="C18676" t="str">
            <v>洪子芸</v>
          </cell>
          <cell r="F18676" t="str">
            <v>K240801R2</v>
          </cell>
          <cell r="J18676">
            <v>45833</v>
          </cell>
          <cell r="K18676">
            <v>5.5</v>
          </cell>
        </row>
        <row r="18677">
          <cell r="C18677" t="str">
            <v>洪子芸</v>
          </cell>
          <cell r="F18677" t="str">
            <v>K240801R2</v>
          </cell>
          <cell r="J18677">
            <v>45834</v>
          </cell>
          <cell r="K18677">
            <v>8</v>
          </cell>
        </row>
        <row r="18678">
          <cell r="C18678" t="str">
            <v>洪子芸</v>
          </cell>
          <cell r="F18678" t="str">
            <v>K250501R1</v>
          </cell>
          <cell r="J18678">
            <v>45835</v>
          </cell>
          <cell r="K18678">
            <v>8</v>
          </cell>
        </row>
        <row r="18679">
          <cell r="C18679" t="str">
            <v>洪子芸</v>
          </cell>
          <cell r="F18679" t="str">
            <v>K250501R1</v>
          </cell>
          <cell r="J18679">
            <v>45838</v>
          </cell>
          <cell r="K18679">
            <v>4.5</v>
          </cell>
        </row>
        <row r="18680">
          <cell r="C18680" t="str">
            <v>洪子芸</v>
          </cell>
          <cell r="F18680" t="str">
            <v>K231101P1</v>
          </cell>
          <cell r="J18680">
            <v>45838</v>
          </cell>
          <cell r="K18680">
            <v>1</v>
          </cell>
        </row>
        <row r="18681">
          <cell r="C18681" t="str">
            <v>洪子芸</v>
          </cell>
          <cell r="F18681" t="str">
            <v>K240801R2</v>
          </cell>
          <cell r="J18681">
            <v>45838</v>
          </cell>
          <cell r="K18681">
            <v>3.5</v>
          </cell>
        </row>
        <row r="18682">
          <cell r="C18682" t="str">
            <v>洪子芸</v>
          </cell>
          <cell r="F18682" t="str">
            <v>K250501R1</v>
          </cell>
          <cell r="J18682">
            <v>45839</v>
          </cell>
          <cell r="K18682">
            <v>8</v>
          </cell>
        </row>
        <row r="18683">
          <cell r="C18683" t="str">
            <v>洪子芸</v>
          </cell>
          <cell r="J18683">
            <v>45840</v>
          </cell>
          <cell r="K18683">
            <v>1.5</v>
          </cell>
        </row>
        <row r="18684">
          <cell r="C18684" t="str">
            <v>洪子芸</v>
          </cell>
          <cell r="F18684" t="str">
            <v>K240801R2</v>
          </cell>
          <cell r="J18684">
            <v>45840</v>
          </cell>
          <cell r="K18684">
            <v>6.5</v>
          </cell>
        </row>
        <row r="18685">
          <cell r="C18685" t="str">
            <v>洪子芸</v>
          </cell>
          <cell r="F18685" t="str">
            <v>K240801R2</v>
          </cell>
          <cell r="J18685">
            <v>45841</v>
          </cell>
          <cell r="K18685">
            <v>8</v>
          </cell>
        </row>
        <row r="18686">
          <cell r="C18686" t="str">
            <v>洪子芸</v>
          </cell>
          <cell r="J18686">
            <v>45842</v>
          </cell>
          <cell r="K18686">
            <v>8</v>
          </cell>
        </row>
        <row r="18687">
          <cell r="C18687" t="str">
            <v>洪子芸</v>
          </cell>
          <cell r="J18687">
            <v>45845</v>
          </cell>
          <cell r="K18687">
            <v>4</v>
          </cell>
        </row>
        <row r="18688">
          <cell r="C18688" t="str">
            <v>洪子芸</v>
          </cell>
          <cell r="F18688" t="str">
            <v>K240801R2</v>
          </cell>
          <cell r="J18688">
            <v>45845</v>
          </cell>
          <cell r="K18688">
            <v>4</v>
          </cell>
        </row>
        <row r="18689">
          <cell r="C18689" t="str">
            <v>洪子芸</v>
          </cell>
          <cell r="F18689" t="str">
            <v>M250301C1</v>
          </cell>
          <cell r="J18689">
            <v>45846</v>
          </cell>
          <cell r="K18689">
            <v>8</v>
          </cell>
        </row>
        <row r="18690">
          <cell r="C18690" t="str">
            <v>洪子芸</v>
          </cell>
          <cell r="J18690">
            <v>45847</v>
          </cell>
          <cell r="K18690">
            <v>8</v>
          </cell>
        </row>
        <row r="18691">
          <cell r="C18691" t="str">
            <v>洪子芸</v>
          </cell>
          <cell r="J18691">
            <v>45848</v>
          </cell>
          <cell r="K18691">
            <v>6</v>
          </cell>
        </row>
        <row r="18692">
          <cell r="C18692" t="str">
            <v>洪子芸</v>
          </cell>
          <cell r="J18692">
            <v>45848</v>
          </cell>
          <cell r="K18692">
            <v>1</v>
          </cell>
        </row>
        <row r="18693">
          <cell r="C18693" t="str">
            <v>洪子芸</v>
          </cell>
          <cell r="F18693" t="str">
            <v>K240801R2</v>
          </cell>
          <cell r="J18693">
            <v>45848</v>
          </cell>
          <cell r="K18693">
            <v>1</v>
          </cell>
        </row>
        <row r="18694">
          <cell r="C18694" t="str">
            <v>洪子芸</v>
          </cell>
          <cell r="J18694">
            <v>45849</v>
          </cell>
          <cell r="K18694">
            <v>2</v>
          </cell>
        </row>
        <row r="18695">
          <cell r="C18695" t="str">
            <v>洪子芸</v>
          </cell>
          <cell r="F18695" t="str">
            <v>K240801R2</v>
          </cell>
          <cell r="J18695">
            <v>45849</v>
          </cell>
          <cell r="K18695">
            <v>6</v>
          </cell>
        </row>
        <row r="18696">
          <cell r="C18696" t="str">
            <v>洪子芸</v>
          </cell>
          <cell r="J18696">
            <v>45852</v>
          </cell>
          <cell r="K18696">
            <v>1.5</v>
          </cell>
        </row>
        <row r="18697">
          <cell r="C18697" t="str">
            <v>洪子芸</v>
          </cell>
          <cell r="J18697">
            <v>45852</v>
          </cell>
          <cell r="K18697">
            <v>1.5</v>
          </cell>
        </row>
        <row r="18698">
          <cell r="C18698" t="str">
            <v>洪子芸</v>
          </cell>
          <cell r="F18698" t="str">
            <v>K240801R2</v>
          </cell>
          <cell r="J18698">
            <v>45852</v>
          </cell>
          <cell r="K18698">
            <v>5</v>
          </cell>
        </row>
        <row r="18699">
          <cell r="C18699" t="str">
            <v>洪子芸</v>
          </cell>
          <cell r="J18699">
            <v>45853</v>
          </cell>
          <cell r="K18699">
            <v>8</v>
          </cell>
        </row>
        <row r="18700">
          <cell r="C18700" t="str">
            <v>洪子芸</v>
          </cell>
          <cell r="F18700" t="str">
            <v>K240801R2</v>
          </cell>
          <cell r="J18700">
            <v>45854</v>
          </cell>
          <cell r="K18700">
            <v>8</v>
          </cell>
        </row>
        <row r="18701">
          <cell r="C18701" t="str">
            <v>洪子芸</v>
          </cell>
          <cell r="F18701" t="str">
            <v>K240801R2</v>
          </cell>
          <cell r="J18701">
            <v>45855</v>
          </cell>
          <cell r="K18701">
            <v>8</v>
          </cell>
        </row>
        <row r="18702">
          <cell r="C18702" t="str">
            <v>洪子芸</v>
          </cell>
          <cell r="J18702">
            <v>45862</v>
          </cell>
          <cell r="K18702">
            <v>1.5</v>
          </cell>
        </row>
        <row r="18703">
          <cell r="C18703" t="str">
            <v>洪子芸</v>
          </cell>
          <cell r="F18703" t="str">
            <v>K240801R2</v>
          </cell>
          <cell r="J18703">
            <v>45862</v>
          </cell>
          <cell r="K18703">
            <v>6.5</v>
          </cell>
        </row>
        <row r="18704">
          <cell r="C18704" t="str">
            <v>洪子芸</v>
          </cell>
          <cell r="J18704">
            <v>45863</v>
          </cell>
          <cell r="K18704">
            <v>4</v>
          </cell>
        </row>
        <row r="18705">
          <cell r="C18705" t="str">
            <v>洪子芸</v>
          </cell>
          <cell r="F18705" t="str">
            <v>K240801R2</v>
          </cell>
          <cell r="J18705">
            <v>45863</v>
          </cell>
          <cell r="K18705">
            <v>4</v>
          </cell>
        </row>
        <row r="18706">
          <cell r="C18706" t="str">
            <v>洪子芸</v>
          </cell>
          <cell r="J18706">
            <v>45866</v>
          </cell>
          <cell r="K18706">
            <v>4</v>
          </cell>
        </row>
        <row r="18707">
          <cell r="C18707" t="str">
            <v>洪子芸</v>
          </cell>
          <cell r="J18707">
            <v>45873</v>
          </cell>
          <cell r="K18707">
            <v>8</v>
          </cell>
        </row>
        <row r="18708">
          <cell r="C18708" t="str">
            <v>洪子芸</v>
          </cell>
          <cell r="F18708" t="str">
            <v>M240704R1</v>
          </cell>
          <cell r="J18708">
            <v>45874</v>
          </cell>
          <cell r="K18708">
            <v>6</v>
          </cell>
        </row>
        <row r="18709">
          <cell r="C18709" t="str">
            <v>洪子芸</v>
          </cell>
          <cell r="F18709" t="str">
            <v>K240801R2</v>
          </cell>
          <cell r="J18709">
            <v>45874</v>
          </cell>
          <cell r="K18709">
            <v>2</v>
          </cell>
        </row>
        <row r="18710">
          <cell r="C18710" t="str">
            <v>洪子芸</v>
          </cell>
          <cell r="F18710" t="str">
            <v>K240801R2</v>
          </cell>
          <cell r="J18710">
            <v>45875</v>
          </cell>
          <cell r="K18710">
            <v>8</v>
          </cell>
        </row>
        <row r="18711">
          <cell r="C18711" t="str">
            <v>洪子芸</v>
          </cell>
          <cell r="J18711">
            <v>45876</v>
          </cell>
          <cell r="K18711">
            <v>1</v>
          </cell>
        </row>
        <row r="18712">
          <cell r="C18712" t="str">
            <v>洪子芸</v>
          </cell>
          <cell r="F18712" t="str">
            <v>K240801R2</v>
          </cell>
          <cell r="J18712">
            <v>45876</v>
          </cell>
          <cell r="K18712">
            <v>7</v>
          </cell>
        </row>
        <row r="18713">
          <cell r="C18713" t="str">
            <v>洪子芸</v>
          </cell>
          <cell r="F18713" t="str">
            <v>K240801R2</v>
          </cell>
          <cell r="J18713">
            <v>45877</v>
          </cell>
          <cell r="K18713">
            <v>8</v>
          </cell>
        </row>
        <row r="18714">
          <cell r="C18714" t="str">
            <v>洪子芸</v>
          </cell>
          <cell r="J18714">
            <v>45880</v>
          </cell>
          <cell r="K18714">
            <v>8</v>
          </cell>
        </row>
        <row r="18715">
          <cell r="C18715" t="str">
            <v>洪子芸</v>
          </cell>
          <cell r="J18715">
            <v>45881</v>
          </cell>
          <cell r="K18715">
            <v>8</v>
          </cell>
        </row>
        <row r="18716">
          <cell r="C18716" t="str">
            <v>洪子芸</v>
          </cell>
          <cell r="F18716" t="str">
            <v>K240801R2</v>
          </cell>
          <cell r="J18716">
            <v>45882</v>
          </cell>
          <cell r="K18716">
            <v>8</v>
          </cell>
        </row>
        <row r="18717">
          <cell r="C18717" t="str">
            <v>洪子芸</v>
          </cell>
          <cell r="J18717">
            <v>45883</v>
          </cell>
          <cell r="K18717">
            <v>1</v>
          </cell>
        </row>
        <row r="18718">
          <cell r="C18718" t="str">
            <v>洪子芸</v>
          </cell>
          <cell r="F18718" t="str">
            <v>K240801R2</v>
          </cell>
          <cell r="J18718">
            <v>45883</v>
          </cell>
          <cell r="K18718">
            <v>4</v>
          </cell>
        </row>
        <row r="18719">
          <cell r="C18719" t="str">
            <v>洪子芸</v>
          </cell>
          <cell r="F18719" t="str">
            <v>M240704R1</v>
          </cell>
          <cell r="J18719">
            <v>45883</v>
          </cell>
          <cell r="K18719">
            <v>3</v>
          </cell>
        </row>
        <row r="18720">
          <cell r="C18720" t="str">
            <v>洪子芸</v>
          </cell>
          <cell r="F18720" t="str">
            <v>K240801R2</v>
          </cell>
          <cell r="J18720">
            <v>45884</v>
          </cell>
          <cell r="K18720">
            <v>8</v>
          </cell>
        </row>
        <row r="18721">
          <cell r="C18721" t="str">
            <v>洪子芸</v>
          </cell>
          <cell r="F18721" t="str">
            <v>K240801R2</v>
          </cell>
          <cell r="J18721">
            <v>45887</v>
          </cell>
          <cell r="K18721">
            <v>8</v>
          </cell>
        </row>
        <row r="18722">
          <cell r="C18722" t="str">
            <v>洪子芸</v>
          </cell>
          <cell r="F18722" t="str">
            <v>K240801R2</v>
          </cell>
          <cell r="J18722">
            <v>45888</v>
          </cell>
          <cell r="K18722">
            <v>8</v>
          </cell>
        </row>
        <row r="18723">
          <cell r="C18723" t="str">
            <v>洪子芸</v>
          </cell>
          <cell r="J18723">
            <v>45889</v>
          </cell>
          <cell r="K18723">
            <v>8</v>
          </cell>
        </row>
        <row r="18724">
          <cell r="C18724" t="str">
            <v>洪子芸</v>
          </cell>
          <cell r="J18724">
            <v>45890</v>
          </cell>
          <cell r="K18724">
            <v>1</v>
          </cell>
        </row>
        <row r="18725">
          <cell r="C18725" t="str">
            <v>洪子芸</v>
          </cell>
          <cell r="F18725" t="str">
            <v>K231101P1</v>
          </cell>
          <cell r="J18725">
            <v>45890</v>
          </cell>
          <cell r="K18725">
            <v>1</v>
          </cell>
        </row>
        <row r="18726">
          <cell r="C18726" t="str">
            <v>洪子芸</v>
          </cell>
          <cell r="F18726" t="str">
            <v>K240801R2</v>
          </cell>
          <cell r="J18726">
            <v>45890</v>
          </cell>
          <cell r="K18726">
            <v>6</v>
          </cell>
        </row>
        <row r="18727">
          <cell r="C18727" t="str">
            <v>洪子芸</v>
          </cell>
          <cell r="J18727">
            <v>45891</v>
          </cell>
          <cell r="K18727">
            <v>8</v>
          </cell>
        </row>
        <row r="18728">
          <cell r="C18728" t="str">
            <v>洪子芸</v>
          </cell>
          <cell r="J18728">
            <v>45894</v>
          </cell>
          <cell r="K18728">
            <v>3.5</v>
          </cell>
        </row>
        <row r="18729">
          <cell r="C18729" t="str">
            <v>洪子芸</v>
          </cell>
          <cell r="F18729" t="str">
            <v>K231101P1</v>
          </cell>
          <cell r="J18729">
            <v>45894</v>
          </cell>
          <cell r="K18729">
            <v>3</v>
          </cell>
        </row>
        <row r="18730">
          <cell r="C18730" t="str">
            <v>洪子芸</v>
          </cell>
          <cell r="F18730" t="str">
            <v>K240801R2</v>
          </cell>
          <cell r="J18730">
            <v>45894</v>
          </cell>
          <cell r="K18730">
            <v>1.5</v>
          </cell>
        </row>
        <row r="18731">
          <cell r="C18731" t="str">
            <v>洪子芸</v>
          </cell>
          <cell r="J18731">
            <v>45895</v>
          </cell>
          <cell r="K18731">
            <v>8</v>
          </cell>
        </row>
        <row r="18732">
          <cell r="C18732" t="str">
            <v>洪子芸</v>
          </cell>
          <cell r="J18732">
            <v>45896</v>
          </cell>
          <cell r="K18732">
            <v>4.5</v>
          </cell>
        </row>
        <row r="18733">
          <cell r="C18733" t="str">
            <v>洪子芸</v>
          </cell>
          <cell r="F18733" t="str">
            <v>D241001R1</v>
          </cell>
          <cell r="J18733">
            <v>45896</v>
          </cell>
          <cell r="K18733">
            <v>1.5</v>
          </cell>
        </row>
        <row r="18734">
          <cell r="C18734" t="str">
            <v>洪子芸</v>
          </cell>
          <cell r="F18734" t="str">
            <v>K240801R2</v>
          </cell>
          <cell r="J18734">
            <v>45896</v>
          </cell>
          <cell r="K18734">
            <v>2</v>
          </cell>
        </row>
        <row r="18735">
          <cell r="C18735" t="str">
            <v>洪子芸</v>
          </cell>
          <cell r="J18735">
            <v>45897</v>
          </cell>
          <cell r="K18735">
            <v>4.5</v>
          </cell>
        </row>
        <row r="18736">
          <cell r="C18736" t="str">
            <v>洪子芸</v>
          </cell>
          <cell r="J18736">
            <v>45897</v>
          </cell>
          <cell r="K18736">
            <v>1</v>
          </cell>
        </row>
        <row r="18737">
          <cell r="C18737" t="str">
            <v>洪子芸</v>
          </cell>
          <cell r="F18737" t="str">
            <v>K240801R2</v>
          </cell>
          <cell r="J18737">
            <v>45897</v>
          </cell>
          <cell r="K18737">
            <v>2.5</v>
          </cell>
        </row>
        <row r="18738">
          <cell r="C18738" t="str">
            <v>洪子芸</v>
          </cell>
          <cell r="J18738">
            <v>45898</v>
          </cell>
          <cell r="K18738">
            <v>8</v>
          </cell>
        </row>
        <row r="18739">
          <cell r="C18739" t="str">
            <v>洪子芸</v>
          </cell>
          <cell r="J18739">
            <v>45901</v>
          </cell>
          <cell r="K18739">
            <v>3.5</v>
          </cell>
        </row>
        <row r="18740">
          <cell r="C18740" t="str">
            <v>洪子芸</v>
          </cell>
          <cell r="F18740" t="str">
            <v>D241001R1</v>
          </cell>
          <cell r="J18740">
            <v>45901</v>
          </cell>
          <cell r="K18740">
            <v>4.5</v>
          </cell>
        </row>
        <row r="18741">
          <cell r="C18741" t="str">
            <v>洪子芸</v>
          </cell>
          <cell r="J18741">
            <v>45902</v>
          </cell>
          <cell r="K18741">
            <v>8</v>
          </cell>
        </row>
        <row r="18742">
          <cell r="C18742" t="str">
            <v>洪子芸</v>
          </cell>
          <cell r="J18742">
            <v>45903</v>
          </cell>
          <cell r="K18742">
            <v>8</v>
          </cell>
        </row>
        <row r="18743">
          <cell r="C18743" t="str">
            <v>洪子芸</v>
          </cell>
          <cell r="J18743">
            <v>45904</v>
          </cell>
          <cell r="K18743">
            <v>7</v>
          </cell>
        </row>
        <row r="18744">
          <cell r="C18744" t="str">
            <v>洪子芸</v>
          </cell>
          <cell r="J18744">
            <v>45904</v>
          </cell>
          <cell r="K18744">
            <v>1</v>
          </cell>
        </row>
        <row r="18745">
          <cell r="C18745" t="str">
            <v>洪子芸</v>
          </cell>
          <cell r="J18745">
            <v>45905</v>
          </cell>
          <cell r="K18745">
            <v>8</v>
          </cell>
        </row>
        <row r="18746">
          <cell r="C18746" t="str">
            <v>洪子芸</v>
          </cell>
          <cell r="J18746">
            <v>45908</v>
          </cell>
          <cell r="K18746">
            <v>8</v>
          </cell>
        </row>
        <row r="18747">
          <cell r="C18747" t="str">
            <v>洪子芸</v>
          </cell>
          <cell r="J18747">
            <v>45909</v>
          </cell>
          <cell r="K18747">
            <v>8</v>
          </cell>
        </row>
        <row r="18748">
          <cell r="C18748" t="str">
            <v>洪子芸</v>
          </cell>
          <cell r="J18748">
            <v>45910</v>
          </cell>
          <cell r="K18748">
            <v>8</v>
          </cell>
        </row>
        <row r="18749">
          <cell r="C18749" t="str">
            <v>洪子芸</v>
          </cell>
          <cell r="J18749">
            <v>45911</v>
          </cell>
          <cell r="K18749">
            <v>2</v>
          </cell>
        </row>
        <row r="18750">
          <cell r="C18750" t="str">
            <v>洪子芸</v>
          </cell>
          <cell r="J18750">
            <v>45911</v>
          </cell>
          <cell r="K18750">
            <v>4</v>
          </cell>
        </row>
        <row r="18751">
          <cell r="C18751" t="str">
            <v>洪子芸</v>
          </cell>
          <cell r="F18751" t="str">
            <v>K240801R2</v>
          </cell>
          <cell r="J18751">
            <v>45911</v>
          </cell>
          <cell r="K18751">
            <v>2</v>
          </cell>
        </row>
        <row r="18752">
          <cell r="C18752" t="str">
            <v>洪子芸</v>
          </cell>
          <cell r="J18752">
            <v>45912</v>
          </cell>
          <cell r="K18752">
            <v>8</v>
          </cell>
        </row>
        <row r="18753">
          <cell r="C18753" t="str">
            <v>洪子芸</v>
          </cell>
          <cell r="J18753">
            <v>45915</v>
          </cell>
          <cell r="K18753">
            <v>4</v>
          </cell>
        </row>
        <row r="18754">
          <cell r="C18754" t="str">
            <v>洪子芸</v>
          </cell>
          <cell r="F18754" t="str">
            <v>K240801R2</v>
          </cell>
          <cell r="J18754">
            <v>45915</v>
          </cell>
          <cell r="K18754">
            <v>4</v>
          </cell>
        </row>
        <row r="18755">
          <cell r="C18755" t="str">
            <v>洪子芸</v>
          </cell>
          <cell r="J18755">
            <v>45916</v>
          </cell>
          <cell r="K18755">
            <v>8</v>
          </cell>
        </row>
        <row r="18756">
          <cell r="C18756" t="str">
            <v>洪子芸</v>
          </cell>
          <cell r="J18756">
            <v>45917</v>
          </cell>
          <cell r="K18756">
            <v>4</v>
          </cell>
        </row>
        <row r="18757">
          <cell r="C18757" t="str">
            <v>洪子芸</v>
          </cell>
          <cell r="J18757">
            <v>45917</v>
          </cell>
          <cell r="K18757">
            <v>4</v>
          </cell>
        </row>
        <row r="18758">
          <cell r="C18758" t="str">
            <v>洪子芸</v>
          </cell>
          <cell r="F18758" t="str">
            <v>K240801R2</v>
          </cell>
          <cell r="J18758">
            <v>45917</v>
          </cell>
          <cell r="K18758">
            <v>0.5</v>
          </cell>
        </row>
        <row r="18759">
          <cell r="C18759" t="str">
            <v>洪子芸</v>
          </cell>
          <cell r="J18759">
            <v>45918</v>
          </cell>
          <cell r="K18759">
            <v>1</v>
          </cell>
        </row>
        <row r="18760">
          <cell r="C18760" t="str">
            <v>洪子芸</v>
          </cell>
          <cell r="J18760">
            <v>45918</v>
          </cell>
          <cell r="K18760">
            <v>6</v>
          </cell>
        </row>
        <row r="18761">
          <cell r="C18761" t="str">
            <v>洪子芸</v>
          </cell>
          <cell r="F18761" t="str">
            <v>K240801R2</v>
          </cell>
          <cell r="J18761">
            <v>45918</v>
          </cell>
          <cell r="K18761">
            <v>1</v>
          </cell>
        </row>
        <row r="18762">
          <cell r="C18762" t="str">
            <v>洪子芸</v>
          </cell>
          <cell r="J18762">
            <v>45919</v>
          </cell>
          <cell r="K18762">
            <v>8</v>
          </cell>
        </row>
        <row r="18763">
          <cell r="C18763" t="str">
            <v>洪子芸</v>
          </cell>
          <cell r="J18763">
            <v>45922</v>
          </cell>
          <cell r="K18763">
            <v>8</v>
          </cell>
        </row>
        <row r="18764">
          <cell r="C18764" t="str">
            <v>洪子芸</v>
          </cell>
          <cell r="J18764">
            <v>45923</v>
          </cell>
          <cell r="K18764">
            <v>8</v>
          </cell>
        </row>
        <row r="18765">
          <cell r="C18765" t="str">
            <v>洪子芸</v>
          </cell>
          <cell r="J18765">
            <v>45924</v>
          </cell>
          <cell r="K18765">
            <v>8</v>
          </cell>
        </row>
        <row r="18766">
          <cell r="C18766" t="str">
            <v>洪子芸</v>
          </cell>
          <cell r="J18766">
            <v>45925</v>
          </cell>
          <cell r="K18766">
            <v>7</v>
          </cell>
        </row>
        <row r="18767">
          <cell r="C18767" t="str">
            <v>洪子芸</v>
          </cell>
          <cell r="J18767">
            <v>45925</v>
          </cell>
          <cell r="K18767">
            <v>1</v>
          </cell>
        </row>
        <row r="18768">
          <cell r="C18768" t="str">
            <v>洪子芸</v>
          </cell>
          <cell r="J18768">
            <v>45926</v>
          </cell>
          <cell r="K18768">
            <v>6</v>
          </cell>
        </row>
        <row r="18769">
          <cell r="C18769" t="str">
            <v>洪子芸</v>
          </cell>
          <cell r="F18769" t="str">
            <v>D250501R1</v>
          </cell>
          <cell r="J18769">
            <v>45926</v>
          </cell>
          <cell r="K18769">
            <v>2</v>
          </cell>
        </row>
        <row r="18770">
          <cell r="C18770" t="str">
            <v>洪子芸</v>
          </cell>
          <cell r="J18770">
            <v>45933</v>
          </cell>
          <cell r="K18770">
            <v>4.5</v>
          </cell>
        </row>
        <row r="18771">
          <cell r="C18771" t="str">
            <v>洪子芸</v>
          </cell>
          <cell r="J18771">
            <v>45937</v>
          </cell>
          <cell r="K18771">
            <v>8</v>
          </cell>
        </row>
        <row r="18772">
          <cell r="C18772" t="str">
            <v>洪子芸</v>
          </cell>
          <cell r="J18772">
            <v>45938</v>
          </cell>
          <cell r="K18772">
            <v>8</v>
          </cell>
        </row>
        <row r="18773">
          <cell r="C18773" t="str">
            <v>洪子芸</v>
          </cell>
          <cell r="J18773">
            <v>45939</v>
          </cell>
          <cell r="K18773">
            <v>8</v>
          </cell>
        </row>
        <row r="18774">
          <cell r="C18774" t="str">
            <v>洪子芸</v>
          </cell>
          <cell r="J18774">
            <v>45943</v>
          </cell>
          <cell r="K18774">
            <v>4</v>
          </cell>
        </row>
        <row r="18775">
          <cell r="C18775" t="str">
            <v>洪子芸</v>
          </cell>
          <cell r="J18775">
            <v>45943</v>
          </cell>
          <cell r="K18775">
            <v>2</v>
          </cell>
        </row>
        <row r="18776">
          <cell r="C18776" t="str">
            <v>洪子芸</v>
          </cell>
          <cell r="F18776" t="str">
            <v>K240801R2</v>
          </cell>
          <cell r="J18776">
            <v>45943</v>
          </cell>
          <cell r="K18776">
            <v>2</v>
          </cell>
        </row>
        <row r="18777">
          <cell r="C18777" t="str">
            <v>洪子芸</v>
          </cell>
          <cell r="J18777">
            <v>45944</v>
          </cell>
          <cell r="K18777">
            <v>8</v>
          </cell>
        </row>
        <row r="18778">
          <cell r="C18778" t="str">
            <v>洪子芸</v>
          </cell>
          <cell r="J18778">
            <v>45945</v>
          </cell>
          <cell r="K18778">
            <v>8</v>
          </cell>
        </row>
        <row r="18779">
          <cell r="C18779" t="str">
            <v>洪子芸</v>
          </cell>
          <cell r="J18779">
            <v>45946</v>
          </cell>
          <cell r="K18779">
            <v>1</v>
          </cell>
        </row>
        <row r="18780">
          <cell r="C18780" t="str">
            <v>洪子芸</v>
          </cell>
          <cell r="J18780">
            <v>45946</v>
          </cell>
          <cell r="K18780">
            <v>7</v>
          </cell>
        </row>
        <row r="18781">
          <cell r="C18781" t="str">
            <v>洪子芸</v>
          </cell>
          <cell r="J18781">
            <v>45947</v>
          </cell>
          <cell r="K18781">
            <v>8</v>
          </cell>
        </row>
        <row r="18782">
          <cell r="C18782" t="str">
            <v>洪子芸</v>
          </cell>
          <cell r="J18782">
            <v>45950</v>
          </cell>
          <cell r="K18782">
            <v>8</v>
          </cell>
        </row>
        <row r="18783">
          <cell r="C18783" t="str">
            <v>洪子芸</v>
          </cell>
          <cell r="F18783" t="str">
            <v>K240801R2</v>
          </cell>
          <cell r="J18783">
            <v>45951</v>
          </cell>
          <cell r="K18783">
            <v>8</v>
          </cell>
        </row>
        <row r="18784">
          <cell r="C18784" t="str">
            <v>洪子芸</v>
          </cell>
          <cell r="J18784">
            <v>45952</v>
          </cell>
          <cell r="K18784">
            <v>8</v>
          </cell>
        </row>
        <row r="18785">
          <cell r="C18785" t="str">
            <v>洪子芸</v>
          </cell>
          <cell r="J18785">
            <v>45953</v>
          </cell>
          <cell r="K18785">
            <v>1</v>
          </cell>
        </row>
        <row r="18786">
          <cell r="C18786" t="str">
            <v>洪子芸</v>
          </cell>
          <cell r="J18786">
            <v>45953</v>
          </cell>
          <cell r="K18786">
            <v>5</v>
          </cell>
        </row>
        <row r="18787">
          <cell r="C18787" t="str">
            <v>洪子芸</v>
          </cell>
          <cell r="J18787">
            <v>45953</v>
          </cell>
          <cell r="K18787">
            <v>1</v>
          </cell>
        </row>
        <row r="18788">
          <cell r="C18788" t="str">
            <v>洪子芸</v>
          </cell>
          <cell r="F18788" t="str">
            <v>D241001R1</v>
          </cell>
          <cell r="J18788">
            <v>45953</v>
          </cell>
          <cell r="K18788">
            <v>1</v>
          </cell>
        </row>
        <row r="18789">
          <cell r="C18789" t="str">
            <v>洪子芸</v>
          </cell>
          <cell r="J18789">
            <v>45957</v>
          </cell>
          <cell r="K18789">
            <v>8</v>
          </cell>
        </row>
        <row r="18790">
          <cell r="C18790" t="str">
            <v>洪子芸</v>
          </cell>
          <cell r="J18790">
            <v>45958</v>
          </cell>
          <cell r="K18790">
            <v>7</v>
          </cell>
        </row>
        <row r="18791">
          <cell r="C18791" t="str">
            <v>洪子芸</v>
          </cell>
          <cell r="J18791">
            <v>45958</v>
          </cell>
          <cell r="K18791">
            <v>1</v>
          </cell>
        </row>
        <row r="18792">
          <cell r="C18792" t="str">
            <v>洪子芸</v>
          </cell>
          <cell r="J18792">
            <v>45959</v>
          </cell>
          <cell r="K18792">
            <v>7</v>
          </cell>
        </row>
        <row r="18793">
          <cell r="C18793" t="str">
            <v>洪子芸</v>
          </cell>
          <cell r="F18793" t="str">
            <v>K240801R2</v>
          </cell>
          <cell r="J18793">
            <v>45959</v>
          </cell>
          <cell r="K18793">
            <v>1</v>
          </cell>
        </row>
        <row r="18794">
          <cell r="C18794" t="str">
            <v>洪子芸</v>
          </cell>
          <cell r="J18794">
            <v>45960</v>
          </cell>
          <cell r="K18794">
            <v>6.5</v>
          </cell>
        </row>
        <row r="18795">
          <cell r="C18795" t="str">
            <v>洪子芸</v>
          </cell>
          <cell r="J18795">
            <v>45960</v>
          </cell>
          <cell r="K18795">
            <v>1.5</v>
          </cell>
        </row>
        <row r="18796">
          <cell r="C18796" t="str">
            <v>洪子芸</v>
          </cell>
          <cell r="J18796">
            <v>45961</v>
          </cell>
          <cell r="K18796">
            <v>8</v>
          </cell>
        </row>
        <row r="18797">
          <cell r="C18797" t="str">
            <v>洪子芸</v>
          </cell>
          <cell r="J18797">
            <v>45964</v>
          </cell>
          <cell r="K18797">
            <v>8</v>
          </cell>
        </row>
        <row r="18798">
          <cell r="C18798" t="str">
            <v>洪子芸</v>
          </cell>
          <cell r="J18798">
            <v>45965</v>
          </cell>
          <cell r="K18798">
            <v>4</v>
          </cell>
        </row>
        <row r="18799">
          <cell r="C18799" t="str">
            <v>洪子芸</v>
          </cell>
          <cell r="J18799">
            <v>45965</v>
          </cell>
          <cell r="K18799">
            <v>3</v>
          </cell>
        </row>
        <row r="18800">
          <cell r="C18800" t="str">
            <v>洪子芸</v>
          </cell>
          <cell r="F18800" t="str">
            <v>K240801R2</v>
          </cell>
          <cell r="J18800">
            <v>45965</v>
          </cell>
          <cell r="K18800">
            <v>1</v>
          </cell>
        </row>
        <row r="18801">
          <cell r="C18801" t="str">
            <v>洪子芸</v>
          </cell>
          <cell r="J18801">
            <v>45966</v>
          </cell>
          <cell r="K18801">
            <v>8</v>
          </cell>
        </row>
        <row r="18802">
          <cell r="C18802" t="str">
            <v>洪子芸</v>
          </cell>
          <cell r="J18802">
            <v>45967</v>
          </cell>
          <cell r="K18802">
            <v>1</v>
          </cell>
        </row>
        <row r="18803">
          <cell r="C18803" t="str">
            <v>洪子芸</v>
          </cell>
          <cell r="J18803">
            <v>45967</v>
          </cell>
          <cell r="K18803">
            <v>7</v>
          </cell>
        </row>
        <row r="18804">
          <cell r="C18804" t="str">
            <v>洪子芸</v>
          </cell>
          <cell r="F18804" t="str">
            <v>M251001R1</v>
          </cell>
          <cell r="J18804">
            <v>45967</v>
          </cell>
          <cell r="K18804">
            <v>1</v>
          </cell>
        </row>
        <row r="18805">
          <cell r="C18805" t="str">
            <v>洪子芸</v>
          </cell>
          <cell r="J18805">
            <v>45968</v>
          </cell>
          <cell r="K18805">
            <v>8</v>
          </cell>
        </row>
        <row r="18806">
          <cell r="C18806" t="str">
            <v>洪子芸</v>
          </cell>
          <cell r="J18806">
            <v>45971</v>
          </cell>
          <cell r="K18806">
            <v>8</v>
          </cell>
        </row>
        <row r="18807">
          <cell r="C18807" t="str">
            <v>洪子芸</v>
          </cell>
          <cell r="J18807">
            <v>45972</v>
          </cell>
          <cell r="K18807">
            <v>8</v>
          </cell>
        </row>
        <row r="18808">
          <cell r="C18808" t="str">
            <v>洪子芸</v>
          </cell>
          <cell r="J18808">
            <v>45973</v>
          </cell>
          <cell r="K18808">
            <v>8</v>
          </cell>
        </row>
        <row r="18809">
          <cell r="C18809" t="str">
            <v>洪子芸</v>
          </cell>
          <cell r="J18809">
            <v>45974</v>
          </cell>
          <cell r="K18809">
            <v>6</v>
          </cell>
        </row>
        <row r="18810">
          <cell r="C18810" t="str">
            <v>洪子芸</v>
          </cell>
          <cell r="J18810">
            <v>45974</v>
          </cell>
          <cell r="K18810">
            <v>1</v>
          </cell>
        </row>
        <row r="18811">
          <cell r="C18811" t="str">
            <v>洪子芸</v>
          </cell>
          <cell r="F18811" t="str">
            <v>M250301C1</v>
          </cell>
          <cell r="J18811">
            <v>45974</v>
          </cell>
          <cell r="K18811">
            <v>1</v>
          </cell>
        </row>
        <row r="18812">
          <cell r="C18812" t="str">
            <v>洪子芸</v>
          </cell>
          <cell r="J18812">
            <v>45975</v>
          </cell>
          <cell r="K18812">
            <v>4</v>
          </cell>
        </row>
        <row r="18813">
          <cell r="C18813" t="str">
            <v>洪子芸</v>
          </cell>
          <cell r="F18813" t="str">
            <v>M251001R1</v>
          </cell>
          <cell r="J18813">
            <v>45975</v>
          </cell>
          <cell r="K18813">
            <v>4</v>
          </cell>
        </row>
        <row r="18814">
          <cell r="C18814" t="str">
            <v>洪子芸</v>
          </cell>
          <cell r="J18814">
            <v>45978</v>
          </cell>
          <cell r="K18814">
            <v>8</v>
          </cell>
        </row>
        <row r="18815">
          <cell r="C18815" t="str">
            <v>洪子芸</v>
          </cell>
          <cell r="F18815" t="str">
            <v>M251001R1</v>
          </cell>
          <cell r="J18815">
            <v>45979</v>
          </cell>
          <cell r="K18815">
            <v>8</v>
          </cell>
        </row>
        <row r="18816">
          <cell r="C18816" t="str">
            <v>洪子芸</v>
          </cell>
          <cell r="J18816">
            <v>45980</v>
          </cell>
          <cell r="K18816">
            <v>4</v>
          </cell>
        </row>
        <row r="18817">
          <cell r="C18817" t="str">
            <v>洪子芸</v>
          </cell>
          <cell r="F18817" t="str">
            <v>M251001R1</v>
          </cell>
          <cell r="J18817">
            <v>45980</v>
          </cell>
          <cell r="K18817">
            <v>4</v>
          </cell>
        </row>
        <row r="18818">
          <cell r="C18818" t="str">
            <v>洪子芸</v>
          </cell>
          <cell r="J18818">
            <v>45981</v>
          </cell>
          <cell r="K18818">
            <v>1.5</v>
          </cell>
        </row>
        <row r="18819">
          <cell r="C18819" t="str">
            <v>洪子芸</v>
          </cell>
          <cell r="F18819" t="str">
            <v>M251001R1</v>
          </cell>
          <cell r="J18819">
            <v>45981</v>
          </cell>
          <cell r="K18819">
            <v>8.5</v>
          </cell>
        </row>
        <row r="18820">
          <cell r="C18820" t="str">
            <v>洪子芸</v>
          </cell>
          <cell r="F18820" t="str">
            <v>M251001R1</v>
          </cell>
          <cell r="J18820">
            <v>45982</v>
          </cell>
          <cell r="K18820">
            <v>9</v>
          </cell>
        </row>
        <row r="18821">
          <cell r="C18821" t="str">
            <v>洪子芸</v>
          </cell>
          <cell r="F18821" t="str">
            <v>M251001R1</v>
          </cell>
          <cell r="J18821">
            <v>45985</v>
          </cell>
          <cell r="K18821">
            <v>9</v>
          </cell>
        </row>
        <row r="18822">
          <cell r="C18822" t="str">
            <v>洪子芸</v>
          </cell>
          <cell r="F18822" t="str">
            <v>M251001R1</v>
          </cell>
          <cell r="J18822">
            <v>45986</v>
          </cell>
          <cell r="K18822">
            <v>8</v>
          </cell>
        </row>
        <row r="18823">
          <cell r="C18823" t="str">
            <v>洪子芸</v>
          </cell>
          <cell r="F18823" t="str">
            <v>M251001R1</v>
          </cell>
          <cell r="J18823">
            <v>45987</v>
          </cell>
          <cell r="K18823">
            <v>7</v>
          </cell>
        </row>
        <row r="18824">
          <cell r="C18824" t="str">
            <v>洪子芸</v>
          </cell>
          <cell r="F18824" t="str">
            <v>M251001R1</v>
          </cell>
          <cell r="J18824">
            <v>45987</v>
          </cell>
          <cell r="K18824">
            <v>1</v>
          </cell>
        </row>
        <row r="18825">
          <cell r="C18825" t="str">
            <v>洪子芸</v>
          </cell>
          <cell r="J18825">
            <v>45988</v>
          </cell>
          <cell r="K18825">
            <v>1</v>
          </cell>
        </row>
        <row r="18826">
          <cell r="C18826" t="str">
            <v>洪子芸</v>
          </cell>
          <cell r="F18826" t="str">
            <v>M251001R1</v>
          </cell>
          <cell r="J18826">
            <v>45988</v>
          </cell>
          <cell r="K18826">
            <v>8</v>
          </cell>
        </row>
        <row r="18827">
          <cell r="C18827" t="str">
            <v>洪子芸</v>
          </cell>
          <cell r="F18827" t="str">
            <v>M251001R1</v>
          </cell>
          <cell r="J18827">
            <v>45989</v>
          </cell>
          <cell r="K18827">
            <v>8</v>
          </cell>
        </row>
        <row r="18828">
          <cell r="C18828" t="str">
            <v>洪子芸</v>
          </cell>
          <cell r="F18828" t="str">
            <v>M251001R1</v>
          </cell>
          <cell r="J18828">
            <v>45992</v>
          </cell>
          <cell r="K18828">
            <v>10</v>
          </cell>
        </row>
        <row r="18829">
          <cell r="C18829" t="str">
            <v>洪子芸</v>
          </cell>
          <cell r="J18829">
            <v>45993</v>
          </cell>
          <cell r="K18829">
            <v>8</v>
          </cell>
        </row>
        <row r="18830">
          <cell r="C18830" t="str">
            <v>洪子芸</v>
          </cell>
          <cell r="F18830" t="str">
            <v>M251001R1</v>
          </cell>
          <cell r="J18830">
            <v>45994</v>
          </cell>
          <cell r="K18830">
            <v>9</v>
          </cell>
        </row>
        <row r="18831">
          <cell r="C18831" t="str">
            <v>洪子芸</v>
          </cell>
          <cell r="F18831" t="str">
            <v>M251001R1</v>
          </cell>
          <cell r="J18831">
            <v>45995</v>
          </cell>
          <cell r="K18831">
            <v>9.5</v>
          </cell>
        </row>
        <row r="18832">
          <cell r="C18832" t="str">
            <v>洪子芸</v>
          </cell>
          <cell r="F18832" t="str">
            <v>M251001R1</v>
          </cell>
          <cell r="J18832">
            <v>45996</v>
          </cell>
          <cell r="K18832">
            <v>8</v>
          </cell>
        </row>
        <row r="18833">
          <cell r="C18833" t="str">
            <v>洪子芸</v>
          </cell>
          <cell r="J18833">
            <v>45999</v>
          </cell>
          <cell r="K18833">
            <v>8</v>
          </cell>
        </row>
        <row r="18834">
          <cell r="C18834" t="str">
            <v>洪子芸</v>
          </cell>
          <cell r="F18834" t="str">
            <v>M251001R1</v>
          </cell>
          <cell r="J18834">
            <v>46000</v>
          </cell>
          <cell r="K18834">
            <v>8</v>
          </cell>
        </row>
        <row r="18835">
          <cell r="C18835" t="str">
            <v>鄭貫中</v>
          </cell>
          <cell r="J18835">
            <v>45600</v>
          </cell>
          <cell r="K18835">
            <v>2</v>
          </cell>
        </row>
        <row r="18836">
          <cell r="C18836" t="str">
            <v>鄭貫中</v>
          </cell>
          <cell r="F18836" t="str">
            <v>D240902R1</v>
          </cell>
          <cell r="J18836">
            <v>45600</v>
          </cell>
          <cell r="K18836">
            <v>7</v>
          </cell>
        </row>
        <row r="18837">
          <cell r="C18837" t="str">
            <v>鄭貫中</v>
          </cell>
          <cell r="F18837" t="str">
            <v>D240902R1</v>
          </cell>
          <cell r="J18837">
            <v>45601</v>
          </cell>
          <cell r="K18837">
            <v>8</v>
          </cell>
        </row>
        <row r="18838">
          <cell r="C18838" t="str">
            <v>鄭貫中</v>
          </cell>
          <cell r="J18838">
            <v>45602</v>
          </cell>
          <cell r="K18838">
            <v>1</v>
          </cell>
        </row>
        <row r="18839">
          <cell r="C18839" t="str">
            <v>鄭貫中</v>
          </cell>
          <cell r="F18839" t="str">
            <v>D240902R1</v>
          </cell>
          <cell r="J18839">
            <v>45602</v>
          </cell>
          <cell r="K18839">
            <v>7</v>
          </cell>
        </row>
        <row r="18840">
          <cell r="C18840" t="str">
            <v>鄭貫中</v>
          </cell>
          <cell r="F18840" t="str">
            <v>D240902R1</v>
          </cell>
          <cell r="J18840">
            <v>45603</v>
          </cell>
          <cell r="K18840">
            <v>8</v>
          </cell>
        </row>
        <row r="18841">
          <cell r="C18841" t="str">
            <v>鄭貫中</v>
          </cell>
          <cell r="J18841">
            <v>45604</v>
          </cell>
          <cell r="K18841">
            <v>1</v>
          </cell>
        </row>
        <row r="18842">
          <cell r="C18842" t="str">
            <v>鄭貫中</v>
          </cell>
          <cell r="F18842" t="str">
            <v>M240804R1</v>
          </cell>
          <cell r="J18842">
            <v>45604</v>
          </cell>
          <cell r="K18842">
            <v>3</v>
          </cell>
        </row>
        <row r="18843">
          <cell r="C18843" t="str">
            <v>鄭貫中</v>
          </cell>
          <cell r="F18843" t="str">
            <v>D240902R1</v>
          </cell>
          <cell r="J18843">
            <v>45604</v>
          </cell>
          <cell r="K18843">
            <v>4</v>
          </cell>
        </row>
        <row r="18844">
          <cell r="C18844" t="str">
            <v>鄭貫中</v>
          </cell>
          <cell r="F18844" t="str">
            <v>M240804R1</v>
          </cell>
          <cell r="J18844">
            <v>45607</v>
          </cell>
          <cell r="K18844">
            <v>4</v>
          </cell>
        </row>
        <row r="18845">
          <cell r="C18845" t="str">
            <v>鄭貫中</v>
          </cell>
          <cell r="F18845" t="str">
            <v>M240703R1</v>
          </cell>
          <cell r="J18845">
            <v>45607</v>
          </cell>
          <cell r="K18845">
            <v>4</v>
          </cell>
        </row>
        <row r="18846">
          <cell r="C18846" t="str">
            <v>鄭貫中</v>
          </cell>
          <cell r="F18846" t="str">
            <v>M240703R1</v>
          </cell>
          <cell r="J18846">
            <v>45608</v>
          </cell>
          <cell r="K18846">
            <v>8</v>
          </cell>
        </row>
        <row r="18847">
          <cell r="C18847" t="str">
            <v>鄭貫中</v>
          </cell>
          <cell r="F18847" t="str">
            <v>M240703R1</v>
          </cell>
          <cell r="J18847">
            <v>45609</v>
          </cell>
          <cell r="K18847">
            <v>8</v>
          </cell>
        </row>
        <row r="18848">
          <cell r="C18848" t="str">
            <v>鄭貫中</v>
          </cell>
          <cell r="F18848" t="str">
            <v>M240703R1</v>
          </cell>
          <cell r="J18848">
            <v>45610</v>
          </cell>
          <cell r="K18848">
            <v>8</v>
          </cell>
        </row>
        <row r="18849">
          <cell r="C18849" t="str">
            <v>鄭貫中</v>
          </cell>
          <cell r="F18849" t="str">
            <v>M240703R1</v>
          </cell>
          <cell r="J18849">
            <v>45611</v>
          </cell>
          <cell r="K18849">
            <v>8</v>
          </cell>
        </row>
        <row r="18850">
          <cell r="C18850" t="str">
            <v>鄭貫中</v>
          </cell>
          <cell r="F18850" t="str">
            <v>M240703R1</v>
          </cell>
          <cell r="J18850">
            <v>45614</v>
          </cell>
          <cell r="K18850">
            <v>9</v>
          </cell>
        </row>
        <row r="18851">
          <cell r="C18851" t="str">
            <v>鄭貫中</v>
          </cell>
          <cell r="F18851" t="str">
            <v>M240703R1</v>
          </cell>
          <cell r="J18851">
            <v>45615</v>
          </cell>
          <cell r="K18851">
            <v>8</v>
          </cell>
        </row>
        <row r="18852">
          <cell r="C18852" t="str">
            <v>鄭貫中</v>
          </cell>
          <cell r="J18852">
            <v>45616</v>
          </cell>
          <cell r="K18852">
            <v>2</v>
          </cell>
        </row>
        <row r="18853">
          <cell r="C18853" t="str">
            <v>鄭貫中</v>
          </cell>
          <cell r="F18853" t="str">
            <v>M240703R1</v>
          </cell>
          <cell r="J18853">
            <v>45616</v>
          </cell>
          <cell r="K18853">
            <v>6</v>
          </cell>
        </row>
        <row r="18854">
          <cell r="C18854" t="str">
            <v>鄭貫中</v>
          </cell>
          <cell r="J18854">
            <v>45617</v>
          </cell>
          <cell r="K18854">
            <v>1</v>
          </cell>
        </row>
        <row r="18855">
          <cell r="C18855" t="str">
            <v>鄭貫中</v>
          </cell>
          <cell r="F18855" t="str">
            <v>M240703R1</v>
          </cell>
          <cell r="J18855">
            <v>45617</v>
          </cell>
          <cell r="K18855">
            <v>7</v>
          </cell>
        </row>
        <row r="18856">
          <cell r="C18856" t="str">
            <v>鄭貫中</v>
          </cell>
          <cell r="F18856" t="str">
            <v>M240703R1</v>
          </cell>
          <cell r="J18856">
            <v>45618</v>
          </cell>
          <cell r="K18856">
            <v>7</v>
          </cell>
        </row>
        <row r="18857">
          <cell r="C18857" t="str">
            <v>鄭貫中</v>
          </cell>
          <cell r="F18857" t="str">
            <v>M240703R1</v>
          </cell>
          <cell r="J18857">
            <v>45618</v>
          </cell>
          <cell r="K18857">
            <v>2</v>
          </cell>
        </row>
        <row r="18858">
          <cell r="C18858" t="str">
            <v>鄭貫中</v>
          </cell>
          <cell r="F18858" t="str">
            <v>M240703R1</v>
          </cell>
          <cell r="J18858">
            <v>45621</v>
          </cell>
          <cell r="K18858">
            <v>8</v>
          </cell>
        </row>
        <row r="18859">
          <cell r="C18859" t="str">
            <v>鄭貫中</v>
          </cell>
          <cell r="F18859" t="str">
            <v>M240703R1</v>
          </cell>
          <cell r="J18859">
            <v>45622</v>
          </cell>
          <cell r="K18859">
            <v>2</v>
          </cell>
        </row>
        <row r="18860">
          <cell r="C18860" t="str">
            <v>鄭貫中</v>
          </cell>
          <cell r="F18860" t="str">
            <v>M240703R1</v>
          </cell>
          <cell r="J18860">
            <v>45622</v>
          </cell>
          <cell r="K18860">
            <v>6</v>
          </cell>
        </row>
        <row r="18861">
          <cell r="C18861" t="str">
            <v>鄭貫中</v>
          </cell>
          <cell r="F18861" t="str">
            <v>M240703R1</v>
          </cell>
          <cell r="J18861">
            <v>45623</v>
          </cell>
          <cell r="K18861">
            <v>5</v>
          </cell>
        </row>
        <row r="18862">
          <cell r="C18862" t="str">
            <v>鄭貫中</v>
          </cell>
          <cell r="F18862" t="str">
            <v>M240703R1</v>
          </cell>
          <cell r="J18862">
            <v>45623</v>
          </cell>
          <cell r="K18862">
            <v>3</v>
          </cell>
        </row>
        <row r="18863">
          <cell r="C18863" t="str">
            <v>鄭貫中</v>
          </cell>
          <cell r="F18863" t="str">
            <v>M240703R1</v>
          </cell>
          <cell r="J18863">
            <v>45624</v>
          </cell>
          <cell r="K18863">
            <v>2</v>
          </cell>
        </row>
        <row r="18864">
          <cell r="C18864" t="str">
            <v>鄭貫中</v>
          </cell>
          <cell r="F18864" t="str">
            <v>M240703R1</v>
          </cell>
          <cell r="J18864">
            <v>45624</v>
          </cell>
          <cell r="K18864">
            <v>6</v>
          </cell>
        </row>
        <row r="18865">
          <cell r="C18865" t="str">
            <v>鄭貫中</v>
          </cell>
          <cell r="J18865">
            <v>45625</v>
          </cell>
          <cell r="K18865">
            <v>2</v>
          </cell>
        </row>
        <row r="18866">
          <cell r="C18866" t="str">
            <v>鄭貫中</v>
          </cell>
          <cell r="F18866" t="str">
            <v>M240703R1</v>
          </cell>
          <cell r="J18866">
            <v>45625</v>
          </cell>
          <cell r="K18866">
            <v>6</v>
          </cell>
        </row>
        <row r="18867">
          <cell r="C18867" t="str">
            <v>鄭貫中</v>
          </cell>
          <cell r="F18867" t="str">
            <v>M240703R1</v>
          </cell>
          <cell r="J18867">
            <v>45628</v>
          </cell>
          <cell r="K18867">
            <v>10</v>
          </cell>
        </row>
        <row r="18868">
          <cell r="C18868" t="str">
            <v>鄭貫中</v>
          </cell>
          <cell r="F18868" t="str">
            <v>M240703R1</v>
          </cell>
          <cell r="J18868">
            <v>45629</v>
          </cell>
          <cell r="K18868">
            <v>8</v>
          </cell>
        </row>
        <row r="18869">
          <cell r="C18869" t="str">
            <v>鄭貫中</v>
          </cell>
          <cell r="F18869" t="str">
            <v>M240703R1</v>
          </cell>
          <cell r="J18869">
            <v>45629</v>
          </cell>
          <cell r="K18869">
            <v>8</v>
          </cell>
        </row>
        <row r="18870">
          <cell r="C18870" t="str">
            <v>鄭貫中</v>
          </cell>
          <cell r="F18870" t="str">
            <v>M240703R1</v>
          </cell>
          <cell r="J18870">
            <v>45631</v>
          </cell>
          <cell r="K18870">
            <v>8</v>
          </cell>
        </row>
        <row r="18871">
          <cell r="C18871" t="str">
            <v>鄭貫中</v>
          </cell>
          <cell r="F18871" t="str">
            <v>M240703R1</v>
          </cell>
          <cell r="J18871">
            <v>45632</v>
          </cell>
          <cell r="K18871">
            <v>8</v>
          </cell>
        </row>
        <row r="18872">
          <cell r="C18872" t="str">
            <v>鄭貫中</v>
          </cell>
          <cell r="F18872" t="str">
            <v>M240703R1</v>
          </cell>
          <cell r="J18872">
            <v>45635</v>
          </cell>
          <cell r="K18872">
            <v>8</v>
          </cell>
        </row>
        <row r="18873">
          <cell r="C18873" t="str">
            <v>鄭貫中</v>
          </cell>
          <cell r="F18873" t="str">
            <v>M240703R1</v>
          </cell>
          <cell r="J18873">
            <v>45636</v>
          </cell>
          <cell r="K18873">
            <v>8</v>
          </cell>
        </row>
        <row r="18874">
          <cell r="C18874" t="str">
            <v>鄭貫中</v>
          </cell>
          <cell r="F18874" t="str">
            <v>M240703R1</v>
          </cell>
          <cell r="J18874">
            <v>45637</v>
          </cell>
          <cell r="K18874">
            <v>8</v>
          </cell>
        </row>
        <row r="18875">
          <cell r="C18875" t="str">
            <v>鄭貫中</v>
          </cell>
          <cell r="F18875" t="str">
            <v>K241001R1</v>
          </cell>
          <cell r="J18875">
            <v>45638</v>
          </cell>
          <cell r="K18875">
            <v>8</v>
          </cell>
        </row>
        <row r="18876">
          <cell r="C18876" t="str">
            <v>鄭貫中</v>
          </cell>
          <cell r="F18876" t="str">
            <v>M240703R1</v>
          </cell>
          <cell r="J18876">
            <v>45639</v>
          </cell>
          <cell r="K18876">
            <v>4</v>
          </cell>
        </row>
        <row r="18877">
          <cell r="C18877" t="str">
            <v>鄭貫中</v>
          </cell>
          <cell r="F18877" t="str">
            <v>K241001R1</v>
          </cell>
          <cell r="J18877">
            <v>45639</v>
          </cell>
          <cell r="K18877">
            <v>4</v>
          </cell>
        </row>
        <row r="18878">
          <cell r="C18878" t="str">
            <v>鄭貫中</v>
          </cell>
          <cell r="F18878" t="str">
            <v>M240703R1</v>
          </cell>
          <cell r="J18878">
            <v>45642</v>
          </cell>
          <cell r="K18878">
            <v>2</v>
          </cell>
        </row>
        <row r="18879">
          <cell r="C18879" t="str">
            <v>鄭貫中</v>
          </cell>
          <cell r="F18879" t="str">
            <v>K241001R1</v>
          </cell>
          <cell r="J18879">
            <v>45642</v>
          </cell>
          <cell r="K18879">
            <v>6</v>
          </cell>
        </row>
        <row r="18880">
          <cell r="C18880" t="str">
            <v>鄭貫中</v>
          </cell>
          <cell r="F18880" t="str">
            <v>M240703R1</v>
          </cell>
          <cell r="J18880">
            <v>45643</v>
          </cell>
          <cell r="K18880">
            <v>3</v>
          </cell>
        </row>
        <row r="18881">
          <cell r="C18881" t="str">
            <v>鄭貫中</v>
          </cell>
          <cell r="F18881" t="str">
            <v>M240704R1</v>
          </cell>
          <cell r="J18881">
            <v>45643</v>
          </cell>
          <cell r="K18881">
            <v>3</v>
          </cell>
        </row>
        <row r="18882">
          <cell r="C18882" t="str">
            <v>鄭貫中</v>
          </cell>
          <cell r="F18882" t="str">
            <v>K241001R1</v>
          </cell>
          <cell r="J18882">
            <v>45643</v>
          </cell>
          <cell r="K18882">
            <v>5</v>
          </cell>
        </row>
        <row r="18883">
          <cell r="C18883" t="str">
            <v>鄭貫中</v>
          </cell>
          <cell r="F18883" t="str">
            <v>M240703R1</v>
          </cell>
          <cell r="J18883">
            <v>45644</v>
          </cell>
          <cell r="K18883">
            <v>3</v>
          </cell>
        </row>
        <row r="18884">
          <cell r="C18884" t="str">
            <v>鄭貫中</v>
          </cell>
          <cell r="F18884" t="str">
            <v>K241001R1</v>
          </cell>
          <cell r="J18884">
            <v>45644</v>
          </cell>
          <cell r="K18884">
            <v>2</v>
          </cell>
        </row>
        <row r="18885">
          <cell r="C18885" t="str">
            <v>鄭貫中</v>
          </cell>
          <cell r="F18885" t="str">
            <v>M240704R1</v>
          </cell>
          <cell r="J18885">
            <v>45645</v>
          </cell>
          <cell r="K18885">
            <v>8</v>
          </cell>
        </row>
        <row r="18886">
          <cell r="C18886" t="str">
            <v>鄭貫中</v>
          </cell>
          <cell r="F18886" t="str">
            <v>M240704R1</v>
          </cell>
          <cell r="J18886">
            <v>45646</v>
          </cell>
          <cell r="K18886">
            <v>8</v>
          </cell>
        </row>
        <row r="18887">
          <cell r="C18887" t="str">
            <v>鄭貫中</v>
          </cell>
          <cell r="F18887" t="str">
            <v>M240703R1</v>
          </cell>
          <cell r="J18887">
            <v>45649</v>
          </cell>
          <cell r="K18887">
            <v>2</v>
          </cell>
        </row>
        <row r="18888">
          <cell r="C18888" t="str">
            <v>鄭貫中</v>
          </cell>
          <cell r="F18888" t="str">
            <v>M240703R1</v>
          </cell>
          <cell r="J18888">
            <v>45649</v>
          </cell>
          <cell r="K18888">
            <v>5</v>
          </cell>
        </row>
        <row r="18889">
          <cell r="C18889" t="str">
            <v>鄭貫中</v>
          </cell>
          <cell r="F18889" t="str">
            <v>M240703R1</v>
          </cell>
          <cell r="J18889">
            <v>45649</v>
          </cell>
          <cell r="K18889">
            <v>3</v>
          </cell>
        </row>
        <row r="18890">
          <cell r="C18890" t="str">
            <v>鄭貫中</v>
          </cell>
          <cell r="F18890" t="str">
            <v>M240704R1</v>
          </cell>
          <cell r="J18890">
            <v>45649</v>
          </cell>
          <cell r="K18890">
            <v>3</v>
          </cell>
        </row>
        <row r="18891">
          <cell r="C18891" t="str">
            <v>鄭貫中</v>
          </cell>
          <cell r="F18891" t="str">
            <v>M240703R1</v>
          </cell>
          <cell r="J18891">
            <v>45650</v>
          </cell>
          <cell r="K18891">
            <v>3</v>
          </cell>
        </row>
        <row r="18892">
          <cell r="C18892" t="str">
            <v>鄭貫中</v>
          </cell>
          <cell r="J18892">
            <v>45651</v>
          </cell>
          <cell r="K18892">
            <v>3</v>
          </cell>
        </row>
        <row r="18893">
          <cell r="C18893" t="str">
            <v>鄭貫中</v>
          </cell>
          <cell r="F18893" t="str">
            <v>K241001R1</v>
          </cell>
          <cell r="J18893">
            <v>45651</v>
          </cell>
          <cell r="K18893">
            <v>5</v>
          </cell>
        </row>
        <row r="18894">
          <cell r="C18894" t="str">
            <v>鄭貫中</v>
          </cell>
          <cell r="F18894" t="str">
            <v>K241001R1</v>
          </cell>
          <cell r="J18894">
            <v>45651</v>
          </cell>
          <cell r="K18894">
            <v>8</v>
          </cell>
        </row>
        <row r="18895">
          <cell r="C18895" t="str">
            <v>鄭貫中</v>
          </cell>
          <cell r="J18895">
            <v>45653</v>
          </cell>
          <cell r="K18895">
            <v>4</v>
          </cell>
        </row>
        <row r="18896">
          <cell r="C18896" t="str">
            <v>鄭貫中</v>
          </cell>
          <cell r="F18896" t="str">
            <v>M240703R1</v>
          </cell>
          <cell r="J18896">
            <v>45653</v>
          </cell>
          <cell r="K18896">
            <v>4</v>
          </cell>
        </row>
        <row r="18897">
          <cell r="C18897" t="str">
            <v>鄭貫中</v>
          </cell>
          <cell r="F18897" t="str">
            <v>K241001R1</v>
          </cell>
          <cell r="J18897">
            <v>45656</v>
          </cell>
          <cell r="K18897">
            <v>8</v>
          </cell>
        </row>
        <row r="18898">
          <cell r="C18898" t="str">
            <v>鄭貫中</v>
          </cell>
          <cell r="F18898" t="str">
            <v>K241001R1</v>
          </cell>
          <cell r="J18898">
            <v>45657</v>
          </cell>
          <cell r="K18898">
            <v>8</v>
          </cell>
        </row>
        <row r="18899">
          <cell r="C18899" t="str">
            <v>鄭貫中</v>
          </cell>
          <cell r="F18899" t="str">
            <v>K241001R1</v>
          </cell>
          <cell r="J18899">
            <v>45659</v>
          </cell>
          <cell r="K18899">
            <v>9</v>
          </cell>
        </row>
        <row r="18900">
          <cell r="C18900" t="str">
            <v>鄭貫中</v>
          </cell>
          <cell r="F18900" t="str">
            <v>K241001R1</v>
          </cell>
          <cell r="J18900">
            <v>45660</v>
          </cell>
          <cell r="K18900">
            <v>9</v>
          </cell>
        </row>
        <row r="18901">
          <cell r="C18901" t="str">
            <v>鄭貫中</v>
          </cell>
          <cell r="F18901" t="str">
            <v>K241001R1</v>
          </cell>
          <cell r="J18901">
            <v>45663</v>
          </cell>
          <cell r="K18901">
            <v>8</v>
          </cell>
        </row>
        <row r="18902">
          <cell r="C18902" t="str">
            <v>鄭貫中</v>
          </cell>
          <cell r="F18902" t="str">
            <v>M240703R1</v>
          </cell>
          <cell r="J18902">
            <v>45664</v>
          </cell>
          <cell r="K18902">
            <v>3</v>
          </cell>
        </row>
        <row r="18903">
          <cell r="C18903" t="str">
            <v>鄭貫中</v>
          </cell>
          <cell r="F18903" t="str">
            <v>K241001R1</v>
          </cell>
          <cell r="J18903">
            <v>45664</v>
          </cell>
          <cell r="K18903">
            <v>5</v>
          </cell>
        </row>
        <row r="18904">
          <cell r="C18904" t="str">
            <v>鄭貫中</v>
          </cell>
          <cell r="F18904" t="str">
            <v>K241001R1</v>
          </cell>
          <cell r="J18904">
            <v>45665</v>
          </cell>
          <cell r="K18904">
            <v>5</v>
          </cell>
        </row>
        <row r="18905">
          <cell r="C18905" t="str">
            <v>鄭貫中</v>
          </cell>
          <cell r="F18905" t="str">
            <v>M240703R1</v>
          </cell>
          <cell r="J18905">
            <v>45665</v>
          </cell>
          <cell r="K18905">
            <v>3</v>
          </cell>
        </row>
        <row r="18906">
          <cell r="C18906" t="str">
            <v>鄭貫中</v>
          </cell>
          <cell r="F18906" t="str">
            <v>K241001R1</v>
          </cell>
          <cell r="J18906">
            <v>45666</v>
          </cell>
          <cell r="K18906">
            <v>8</v>
          </cell>
        </row>
        <row r="18907">
          <cell r="C18907" t="str">
            <v>鄭貫中</v>
          </cell>
          <cell r="F18907" t="str">
            <v>K241001R1</v>
          </cell>
          <cell r="J18907">
            <v>45667</v>
          </cell>
          <cell r="K18907">
            <v>6</v>
          </cell>
        </row>
        <row r="18908">
          <cell r="C18908" t="str">
            <v>鄭貫中</v>
          </cell>
          <cell r="F18908" t="str">
            <v>K241001R1</v>
          </cell>
          <cell r="J18908">
            <v>45670</v>
          </cell>
          <cell r="K18908">
            <v>3</v>
          </cell>
        </row>
        <row r="18909">
          <cell r="C18909" t="str">
            <v>鄭貫中</v>
          </cell>
          <cell r="F18909" t="str">
            <v>K241001R1</v>
          </cell>
          <cell r="J18909">
            <v>45670</v>
          </cell>
          <cell r="K18909">
            <v>5</v>
          </cell>
        </row>
        <row r="18910">
          <cell r="C18910" t="str">
            <v>鄭貫中</v>
          </cell>
          <cell r="F18910" t="str">
            <v>D240902R1</v>
          </cell>
          <cell r="J18910">
            <v>45671</v>
          </cell>
          <cell r="K18910">
            <v>8</v>
          </cell>
        </row>
        <row r="18911">
          <cell r="C18911" t="str">
            <v>鄭貫中</v>
          </cell>
          <cell r="F18911" t="str">
            <v>D240902R1</v>
          </cell>
          <cell r="J18911">
            <v>45672</v>
          </cell>
          <cell r="K18911">
            <v>8</v>
          </cell>
        </row>
        <row r="18912">
          <cell r="C18912" t="str">
            <v>鄭貫中</v>
          </cell>
          <cell r="F18912" t="str">
            <v>M240703R1</v>
          </cell>
          <cell r="J18912">
            <v>45673</v>
          </cell>
          <cell r="K18912">
            <v>4</v>
          </cell>
        </row>
        <row r="18913">
          <cell r="C18913" t="str">
            <v>鄭貫中</v>
          </cell>
          <cell r="F18913" t="str">
            <v>D240902R1</v>
          </cell>
          <cell r="J18913">
            <v>45673</v>
          </cell>
          <cell r="K18913">
            <v>4</v>
          </cell>
        </row>
        <row r="18914">
          <cell r="C18914" t="str">
            <v>鄭貫中</v>
          </cell>
          <cell r="F18914" t="str">
            <v>M240703R1</v>
          </cell>
          <cell r="J18914">
            <v>45674</v>
          </cell>
          <cell r="K18914">
            <v>5</v>
          </cell>
        </row>
        <row r="18915">
          <cell r="C18915" t="str">
            <v>鄭貫中</v>
          </cell>
          <cell r="F18915" t="str">
            <v>D240902R1</v>
          </cell>
          <cell r="J18915">
            <v>45674</v>
          </cell>
          <cell r="K18915">
            <v>3.5</v>
          </cell>
        </row>
        <row r="18916">
          <cell r="C18916" t="str">
            <v>鄭貫中</v>
          </cell>
          <cell r="F18916" t="str">
            <v>M240703R1</v>
          </cell>
          <cell r="J18916">
            <v>45677</v>
          </cell>
          <cell r="K18916">
            <v>2</v>
          </cell>
        </row>
        <row r="18917">
          <cell r="C18917" t="str">
            <v>鄭貫中</v>
          </cell>
          <cell r="F18917" t="str">
            <v>D240902R1</v>
          </cell>
          <cell r="J18917">
            <v>45677</v>
          </cell>
          <cell r="K18917">
            <v>6</v>
          </cell>
        </row>
        <row r="18918">
          <cell r="C18918" t="str">
            <v>鄭貫中</v>
          </cell>
          <cell r="F18918" t="str">
            <v>M240703R1</v>
          </cell>
          <cell r="J18918">
            <v>45678</v>
          </cell>
          <cell r="K18918">
            <v>2</v>
          </cell>
        </row>
        <row r="18919">
          <cell r="C18919" t="str">
            <v>鄭貫中</v>
          </cell>
          <cell r="F18919" t="str">
            <v>D240902R1</v>
          </cell>
          <cell r="J18919">
            <v>45678</v>
          </cell>
          <cell r="K18919">
            <v>6</v>
          </cell>
        </row>
        <row r="18920">
          <cell r="C18920" t="str">
            <v>鄭貫中</v>
          </cell>
          <cell r="J18920">
            <v>45679</v>
          </cell>
          <cell r="K18920">
            <v>1</v>
          </cell>
        </row>
        <row r="18921">
          <cell r="C18921" t="str">
            <v>鄭貫中</v>
          </cell>
          <cell r="F18921" t="str">
            <v>M240703R1</v>
          </cell>
          <cell r="J18921">
            <v>45679</v>
          </cell>
          <cell r="K18921">
            <v>3</v>
          </cell>
        </row>
        <row r="18922">
          <cell r="C18922" t="str">
            <v>鄭貫中</v>
          </cell>
          <cell r="F18922" t="str">
            <v>D240902R1</v>
          </cell>
          <cell r="J18922">
            <v>45679</v>
          </cell>
          <cell r="K18922">
            <v>4</v>
          </cell>
        </row>
        <row r="18923">
          <cell r="C18923" t="str">
            <v>鄭貫中</v>
          </cell>
          <cell r="F18923" t="str">
            <v>D240902R1</v>
          </cell>
          <cell r="J18923">
            <v>45680</v>
          </cell>
          <cell r="K18923">
            <v>9</v>
          </cell>
        </row>
        <row r="18924">
          <cell r="C18924" t="str">
            <v>鄭貫中</v>
          </cell>
          <cell r="J18924">
            <v>45681</v>
          </cell>
          <cell r="K18924">
            <v>3</v>
          </cell>
        </row>
        <row r="18925">
          <cell r="C18925" t="str">
            <v>鄭貫中</v>
          </cell>
          <cell r="F18925" t="str">
            <v>M240703R1</v>
          </cell>
          <cell r="J18925">
            <v>45681</v>
          </cell>
          <cell r="K18925">
            <v>3</v>
          </cell>
        </row>
        <row r="18926">
          <cell r="C18926" t="str">
            <v>鄭貫中</v>
          </cell>
          <cell r="F18926" t="str">
            <v>M240703R1</v>
          </cell>
          <cell r="J18926">
            <v>45691</v>
          </cell>
          <cell r="K18926">
            <v>4</v>
          </cell>
        </row>
        <row r="18927">
          <cell r="C18927" t="str">
            <v>鄭貫中</v>
          </cell>
          <cell r="F18927" t="str">
            <v>M240703R1</v>
          </cell>
          <cell r="J18927">
            <v>45691</v>
          </cell>
          <cell r="K18927">
            <v>4</v>
          </cell>
        </row>
        <row r="18928">
          <cell r="C18928" t="str">
            <v>鄭貫中</v>
          </cell>
          <cell r="F18928" t="str">
            <v>M240703R1</v>
          </cell>
          <cell r="J18928">
            <v>45692</v>
          </cell>
          <cell r="K18928">
            <v>5</v>
          </cell>
        </row>
        <row r="18929">
          <cell r="C18929" t="str">
            <v>鄭貫中</v>
          </cell>
          <cell r="F18929" t="str">
            <v>M240703R1</v>
          </cell>
          <cell r="J18929">
            <v>45692</v>
          </cell>
          <cell r="K18929">
            <v>3</v>
          </cell>
        </row>
        <row r="18930">
          <cell r="C18930" t="str">
            <v>鄭貫中</v>
          </cell>
          <cell r="F18930" t="str">
            <v>M240703R1</v>
          </cell>
          <cell r="J18930">
            <v>45693</v>
          </cell>
          <cell r="K18930">
            <v>5</v>
          </cell>
        </row>
        <row r="18931">
          <cell r="C18931" t="str">
            <v>鄭貫中</v>
          </cell>
          <cell r="F18931" t="str">
            <v>M240703R1</v>
          </cell>
          <cell r="J18931">
            <v>45693</v>
          </cell>
          <cell r="K18931">
            <v>3</v>
          </cell>
        </row>
        <row r="18932">
          <cell r="C18932" t="str">
            <v>鄭貫中</v>
          </cell>
          <cell r="J18932">
            <v>45694</v>
          </cell>
          <cell r="K18932">
            <v>0.5</v>
          </cell>
        </row>
        <row r="18933">
          <cell r="C18933" t="str">
            <v>鄭貫中</v>
          </cell>
          <cell r="F18933" t="str">
            <v>M240703R1</v>
          </cell>
          <cell r="J18933">
            <v>45694</v>
          </cell>
          <cell r="K18933">
            <v>2</v>
          </cell>
        </row>
        <row r="18934">
          <cell r="C18934" t="str">
            <v>鄭貫中</v>
          </cell>
          <cell r="F18934" t="str">
            <v>D250101R1</v>
          </cell>
          <cell r="J18934">
            <v>45694</v>
          </cell>
          <cell r="K18934">
            <v>5.5</v>
          </cell>
        </row>
        <row r="18935">
          <cell r="C18935" t="str">
            <v>鄭貫中</v>
          </cell>
          <cell r="F18935" t="str">
            <v>D250101R1</v>
          </cell>
          <cell r="J18935">
            <v>45695</v>
          </cell>
          <cell r="K18935">
            <v>3</v>
          </cell>
        </row>
        <row r="18936">
          <cell r="C18936" t="str">
            <v>鄭貫中</v>
          </cell>
          <cell r="F18936" t="str">
            <v>M240703R1</v>
          </cell>
          <cell r="J18936">
            <v>45695</v>
          </cell>
          <cell r="K18936">
            <v>2</v>
          </cell>
        </row>
        <row r="18937">
          <cell r="C18937" t="str">
            <v>鄭貫中</v>
          </cell>
          <cell r="F18937" t="str">
            <v>M240704R1</v>
          </cell>
          <cell r="J18937">
            <v>45695</v>
          </cell>
          <cell r="K18937">
            <v>4</v>
          </cell>
        </row>
        <row r="18938">
          <cell r="C18938" t="str">
            <v>鄭貫中</v>
          </cell>
          <cell r="F18938" t="str">
            <v>D250101R1</v>
          </cell>
          <cell r="J18938">
            <v>45696</v>
          </cell>
          <cell r="K18938">
            <v>3</v>
          </cell>
        </row>
        <row r="18939">
          <cell r="C18939" t="str">
            <v>鄭貫中</v>
          </cell>
          <cell r="F18939" t="str">
            <v>M240703R1</v>
          </cell>
          <cell r="J18939">
            <v>45696</v>
          </cell>
          <cell r="K18939">
            <v>5</v>
          </cell>
        </row>
        <row r="18940">
          <cell r="C18940" t="str">
            <v>鄭貫中</v>
          </cell>
          <cell r="F18940" t="str">
            <v>M240703R1</v>
          </cell>
          <cell r="J18940">
            <v>45698</v>
          </cell>
          <cell r="K18940">
            <v>3.5</v>
          </cell>
        </row>
        <row r="18941">
          <cell r="C18941" t="str">
            <v>鄭貫中</v>
          </cell>
          <cell r="F18941" t="str">
            <v>M240703R1</v>
          </cell>
          <cell r="J18941">
            <v>45698</v>
          </cell>
          <cell r="K18941">
            <v>4.5</v>
          </cell>
        </row>
        <row r="18942">
          <cell r="C18942" t="str">
            <v>鄭貫中</v>
          </cell>
          <cell r="J18942">
            <v>45699</v>
          </cell>
          <cell r="K18942">
            <v>2</v>
          </cell>
        </row>
        <row r="18943">
          <cell r="C18943" t="str">
            <v>鄭貫中</v>
          </cell>
          <cell r="F18943" t="str">
            <v>M240703R1</v>
          </cell>
          <cell r="J18943">
            <v>45699</v>
          </cell>
          <cell r="K18943">
            <v>6</v>
          </cell>
        </row>
        <row r="18944">
          <cell r="C18944" t="str">
            <v>鄭貫中</v>
          </cell>
          <cell r="F18944" t="str">
            <v>M240703R1</v>
          </cell>
          <cell r="J18944">
            <v>45700</v>
          </cell>
          <cell r="K18944">
            <v>5</v>
          </cell>
        </row>
        <row r="18945">
          <cell r="C18945" t="str">
            <v>鄭貫中</v>
          </cell>
          <cell r="F18945" t="str">
            <v>M250201C1</v>
          </cell>
          <cell r="J18945">
            <v>45700</v>
          </cell>
          <cell r="K18945">
            <v>3</v>
          </cell>
        </row>
        <row r="18946">
          <cell r="C18946" t="str">
            <v>鄭貫中</v>
          </cell>
          <cell r="F18946" t="str">
            <v>M240703R1</v>
          </cell>
          <cell r="J18946">
            <v>45701</v>
          </cell>
          <cell r="K18946">
            <v>6</v>
          </cell>
        </row>
        <row r="18947">
          <cell r="C18947" t="str">
            <v>鄭貫中</v>
          </cell>
          <cell r="F18947" t="str">
            <v>M240704R1</v>
          </cell>
          <cell r="J18947">
            <v>45701</v>
          </cell>
          <cell r="K18947">
            <v>2</v>
          </cell>
        </row>
        <row r="18948">
          <cell r="C18948" t="str">
            <v>鄭貫中</v>
          </cell>
          <cell r="F18948" t="str">
            <v>M240704R1</v>
          </cell>
          <cell r="J18948">
            <v>45702</v>
          </cell>
          <cell r="K18948">
            <v>5</v>
          </cell>
        </row>
        <row r="18949">
          <cell r="C18949" t="str">
            <v>鄭貫中</v>
          </cell>
          <cell r="F18949" t="str">
            <v>M240703R1</v>
          </cell>
          <cell r="J18949">
            <v>45702</v>
          </cell>
          <cell r="K18949">
            <v>4</v>
          </cell>
        </row>
        <row r="18950">
          <cell r="C18950" t="str">
            <v>鄭貫中</v>
          </cell>
          <cell r="J18950">
            <v>45705</v>
          </cell>
          <cell r="K18950">
            <v>3.5</v>
          </cell>
        </row>
        <row r="18951">
          <cell r="C18951" t="str">
            <v>鄭貫中</v>
          </cell>
          <cell r="F18951" t="str">
            <v>M240703R1</v>
          </cell>
          <cell r="J18951">
            <v>45705</v>
          </cell>
          <cell r="K18951">
            <v>2.5</v>
          </cell>
        </row>
        <row r="18952">
          <cell r="C18952" t="str">
            <v>鄭貫中</v>
          </cell>
          <cell r="F18952" t="str">
            <v>M240704R1</v>
          </cell>
          <cell r="J18952">
            <v>45705</v>
          </cell>
          <cell r="K18952">
            <v>2.5</v>
          </cell>
        </row>
        <row r="18953">
          <cell r="C18953" t="str">
            <v>鄭貫中</v>
          </cell>
          <cell r="F18953" t="str">
            <v>M240703R1</v>
          </cell>
          <cell r="J18953">
            <v>45706</v>
          </cell>
          <cell r="K18953">
            <v>5</v>
          </cell>
        </row>
        <row r="18954">
          <cell r="C18954" t="str">
            <v>鄭貫中</v>
          </cell>
          <cell r="F18954" t="str">
            <v>D250101R1</v>
          </cell>
          <cell r="J18954">
            <v>45706</v>
          </cell>
          <cell r="K18954">
            <v>3</v>
          </cell>
        </row>
        <row r="18955">
          <cell r="C18955" t="str">
            <v>鄭貫中</v>
          </cell>
          <cell r="F18955" t="str">
            <v>M240703R1</v>
          </cell>
          <cell r="J18955">
            <v>45707</v>
          </cell>
          <cell r="K18955">
            <v>5.5</v>
          </cell>
        </row>
        <row r="18956">
          <cell r="C18956" t="str">
            <v>鄭貫中</v>
          </cell>
          <cell r="F18956" t="str">
            <v>M250201C1</v>
          </cell>
          <cell r="J18956">
            <v>45707</v>
          </cell>
          <cell r="K18956">
            <v>2.5</v>
          </cell>
        </row>
        <row r="18957">
          <cell r="C18957" t="str">
            <v>鄭貫中</v>
          </cell>
          <cell r="J18957">
            <v>45708</v>
          </cell>
          <cell r="K18957">
            <v>0.5</v>
          </cell>
        </row>
        <row r="18958">
          <cell r="C18958" t="str">
            <v>鄭貫中</v>
          </cell>
          <cell r="F18958" t="str">
            <v>M240703R1</v>
          </cell>
          <cell r="J18958">
            <v>45708</v>
          </cell>
          <cell r="K18958">
            <v>1</v>
          </cell>
        </row>
        <row r="18959">
          <cell r="C18959" t="str">
            <v>鄭貫中</v>
          </cell>
          <cell r="F18959" t="str">
            <v>M240704R1</v>
          </cell>
          <cell r="J18959">
            <v>45708</v>
          </cell>
          <cell r="K18959">
            <v>5</v>
          </cell>
        </row>
        <row r="18960">
          <cell r="C18960" t="str">
            <v>鄭貫中</v>
          </cell>
          <cell r="F18960" t="str">
            <v>M250201C1</v>
          </cell>
          <cell r="J18960">
            <v>45708</v>
          </cell>
          <cell r="K18960">
            <v>1.5</v>
          </cell>
        </row>
        <row r="18961">
          <cell r="C18961" t="str">
            <v>鄭貫中</v>
          </cell>
          <cell r="F18961" t="str">
            <v>D250101R1</v>
          </cell>
          <cell r="J18961">
            <v>45708</v>
          </cell>
          <cell r="K18961">
            <v>1</v>
          </cell>
        </row>
        <row r="18962">
          <cell r="C18962" t="str">
            <v>鄭貫中</v>
          </cell>
          <cell r="F18962" t="str">
            <v>M240703R1</v>
          </cell>
          <cell r="J18962">
            <v>45709</v>
          </cell>
          <cell r="K18962">
            <v>2</v>
          </cell>
        </row>
        <row r="18963">
          <cell r="C18963" t="str">
            <v>鄭貫中</v>
          </cell>
          <cell r="F18963" t="str">
            <v>D250101R1</v>
          </cell>
          <cell r="J18963">
            <v>45709</v>
          </cell>
          <cell r="K18963">
            <v>6</v>
          </cell>
        </row>
        <row r="18964">
          <cell r="C18964" t="str">
            <v>鄭貫中</v>
          </cell>
          <cell r="J18964">
            <v>45712</v>
          </cell>
          <cell r="K18964">
            <v>2</v>
          </cell>
        </row>
        <row r="18965">
          <cell r="C18965" t="str">
            <v>鄭貫中</v>
          </cell>
          <cell r="F18965" t="str">
            <v>M240704R1</v>
          </cell>
          <cell r="J18965">
            <v>45712</v>
          </cell>
          <cell r="K18965">
            <v>2</v>
          </cell>
        </row>
        <row r="18966">
          <cell r="C18966" t="str">
            <v>鄭貫中</v>
          </cell>
          <cell r="F18966" t="str">
            <v>M250201C1</v>
          </cell>
          <cell r="J18966">
            <v>45712</v>
          </cell>
          <cell r="K18966">
            <v>4</v>
          </cell>
        </row>
        <row r="18967">
          <cell r="C18967" t="str">
            <v>鄭貫中</v>
          </cell>
          <cell r="F18967" t="str">
            <v>M240703R1</v>
          </cell>
          <cell r="J18967">
            <v>45713</v>
          </cell>
          <cell r="K18967">
            <v>4</v>
          </cell>
        </row>
        <row r="18968">
          <cell r="C18968" t="str">
            <v>鄭貫中</v>
          </cell>
          <cell r="F18968" t="str">
            <v>D250101R1</v>
          </cell>
          <cell r="J18968">
            <v>45713</v>
          </cell>
          <cell r="K18968">
            <v>4</v>
          </cell>
        </row>
        <row r="18969">
          <cell r="C18969" t="str">
            <v>鄭貫中</v>
          </cell>
          <cell r="F18969" t="str">
            <v>M240703R1</v>
          </cell>
          <cell r="J18969">
            <v>45714</v>
          </cell>
          <cell r="K18969">
            <v>2</v>
          </cell>
        </row>
        <row r="18970">
          <cell r="C18970" t="str">
            <v>鄭貫中</v>
          </cell>
          <cell r="F18970" t="str">
            <v>D250101R1</v>
          </cell>
          <cell r="J18970">
            <v>45714</v>
          </cell>
          <cell r="K18970">
            <v>4</v>
          </cell>
        </row>
        <row r="18971">
          <cell r="C18971" t="str">
            <v>鄭貫中</v>
          </cell>
          <cell r="J18971">
            <v>45714</v>
          </cell>
          <cell r="K18971">
            <v>2</v>
          </cell>
        </row>
        <row r="18972">
          <cell r="C18972" t="str">
            <v>鄭貫中</v>
          </cell>
          <cell r="J18972">
            <v>45715</v>
          </cell>
          <cell r="K18972">
            <v>0.5</v>
          </cell>
        </row>
        <row r="18973">
          <cell r="C18973" t="str">
            <v>鄭貫中</v>
          </cell>
          <cell r="F18973" t="str">
            <v>D250101R1</v>
          </cell>
          <cell r="J18973">
            <v>45715</v>
          </cell>
          <cell r="K18973">
            <v>3</v>
          </cell>
        </row>
        <row r="18974">
          <cell r="C18974" t="str">
            <v>鄭貫中</v>
          </cell>
          <cell r="F18974" t="str">
            <v>M240703R1</v>
          </cell>
          <cell r="J18974">
            <v>45715</v>
          </cell>
          <cell r="K18974">
            <v>4.5</v>
          </cell>
        </row>
        <row r="18975">
          <cell r="C18975" t="str">
            <v>鄭貫中</v>
          </cell>
          <cell r="J18975">
            <v>45719</v>
          </cell>
          <cell r="K18975">
            <v>8</v>
          </cell>
        </row>
        <row r="18976">
          <cell r="C18976" t="str">
            <v>鄭貫中</v>
          </cell>
          <cell r="J18976">
            <v>45720</v>
          </cell>
          <cell r="K18976">
            <v>8</v>
          </cell>
        </row>
        <row r="18977">
          <cell r="C18977" t="str">
            <v>鄭貫中</v>
          </cell>
          <cell r="F18977" t="str">
            <v>D250101R1</v>
          </cell>
          <cell r="J18977">
            <v>45721</v>
          </cell>
          <cell r="K18977">
            <v>2</v>
          </cell>
        </row>
        <row r="18978">
          <cell r="C18978" t="str">
            <v>鄭貫中</v>
          </cell>
          <cell r="F18978" t="str">
            <v>M240703R1</v>
          </cell>
          <cell r="J18978">
            <v>45721</v>
          </cell>
          <cell r="K18978">
            <v>6</v>
          </cell>
        </row>
        <row r="18979">
          <cell r="C18979" t="str">
            <v>鄭貫中</v>
          </cell>
          <cell r="F18979" t="str">
            <v>M240703R1</v>
          </cell>
          <cell r="J18979">
            <v>45722</v>
          </cell>
          <cell r="K18979">
            <v>7</v>
          </cell>
        </row>
        <row r="18980">
          <cell r="C18980" t="str">
            <v>鄭貫中</v>
          </cell>
          <cell r="F18980" t="str">
            <v>M250201C1</v>
          </cell>
          <cell r="J18980">
            <v>45722</v>
          </cell>
          <cell r="K18980">
            <v>1</v>
          </cell>
        </row>
        <row r="18981">
          <cell r="C18981" t="str">
            <v>鄭貫中</v>
          </cell>
          <cell r="J18981">
            <v>45723</v>
          </cell>
          <cell r="K18981">
            <v>5</v>
          </cell>
        </row>
        <row r="18982">
          <cell r="C18982" t="str">
            <v>鄭貫中</v>
          </cell>
          <cell r="F18982" t="str">
            <v>M240703R1</v>
          </cell>
          <cell r="J18982">
            <v>45723</v>
          </cell>
          <cell r="K18982">
            <v>3</v>
          </cell>
        </row>
        <row r="18983">
          <cell r="C18983" t="str">
            <v>鄭貫中</v>
          </cell>
          <cell r="F18983" t="str">
            <v>M240703R1</v>
          </cell>
          <cell r="J18983">
            <v>45726</v>
          </cell>
          <cell r="K18983">
            <v>8</v>
          </cell>
        </row>
        <row r="18984">
          <cell r="C18984" t="str">
            <v>鄭貫中</v>
          </cell>
          <cell r="F18984" t="str">
            <v>M240703R1</v>
          </cell>
          <cell r="J18984">
            <v>45727</v>
          </cell>
          <cell r="K18984">
            <v>8</v>
          </cell>
        </row>
        <row r="18985">
          <cell r="C18985" t="str">
            <v>鄭貫中</v>
          </cell>
          <cell r="J18985">
            <v>45728</v>
          </cell>
          <cell r="K18985">
            <v>1</v>
          </cell>
        </row>
        <row r="18986">
          <cell r="C18986" t="str">
            <v>鄭貫中</v>
          </cell>
          <cell r="J18986">
            <v>45728</v>
          </cell>
          <cell r="K18986">
            <v>2.5</v>
          </cell>
        </row>
        <row r="18987">
          <cell r="C18987" t="str">
            <v>鄭貫中</v>
          </cell>
          <cell r="F18987" t="str">
            <v>M240703R1</v>
          </cell>
          <cell r="J18987">
            <v>45728</v>
          </cell>
          <cell r="K18987">
            <v>4.5</v>
          </cell>
        </row>
        <row r="18988">
          <cell r="C18988" t="str">
            <v>鄭貫中</v>
          </cell>
          <cell r="J18988">
            <v>45729</v>
          </cell>
          <cell r="K18988">
            <v>1</v>
          </cell>
        </row>
        <row r="18989">
          <cell r="C18989" t="str">
            <v>鄭貫中</v>
          </cell>
          <cell r="F18989" t="str">
            <v>M240703R1</v>
          </cell>
          <cell r="J18989">
            <v>45729</v>
          </cell>
          <cell r="K18989">
            <v>3.5</v>
          </cell>
        </row>
        <row r="18990">
          <cell r="C18990" t="str">
            <v>鄭貫中</v>
          </cell>
          <cell r="F18990" t="str">
            <v>K241001R1</v>
          </cell>
          <cell r="J18990">
            <v>45729</v>
          </cell>
          <cell r="K18990">
            <v>1</v>
          </cell>
        </row>
        <row r="18991">
          <cell r="C18991" t="str">
            <v>鄭貫中</v>
          </cell>
          <cell r="F18991" t="str">
            <v>M250201C1</v>
          </cell>
          <cell r="J18991">
            <v>45729</v>
          </cell>
          <cell r="K18991">
            <v>2.5</v>
          </cell>
        </row>
        <row r="18992">
          <cell r="C18992" t="str">
            <v>鄭貫中</v>
          </cell>
          <cell r="F18992" t="str">
            <v>M240703R1</v>
          </cell>
          <cell r="J18992">
            <v>45730</v>
          </cell>
          <cell r="K18992">
            <v>4</v>
          </cell>
        </row>
        <row r="18993">
          <cell r="C18993" t="str">
            <v>鄭貫中</v>
          </cell>
          <cell r="F18993" t="str">
            <v>M250201C1</v>
          </cell>
          <cell r="J18993">
            <v>45730</v>
          </cell>
          <cell r="K18993">
            <v>4</v>
          </cell>
        </row>
        <row r="18994">
          <cell r="C18994" t="str">
            <v>鄭貫中</v>
          </cell>
          <cell r="J18994">
            <v>45733</v>
          </cell>
          <cell r="K18994">
            <v>1</v>
          </cell>
        </row>
        <row r="18995">
          <cell r="C18995" t="str">
            <v>鄭貫中</v>
          </cell>
          <cell r="F18995" t="str">
            <v>M240703R1</v>
          </cell>
          <cell r="J18995">
            <v>45733</v>
          </cell>
          <cell r="K18995">
            <v>3.5</v>
          </cell>
        </row>
        <row r="18996">
          <cell r="C18996" t="str">
            <v>鄭貫中</v>
          </cell>
          <cell r="F18996" t="str">
            <v>M250201C1</v>
          </cell>
          <cell r="J18996">
            <v>45733</v>
          </cell>
          <cell r="K18996">
            <v>3.5</v>
          </cell>
        </row>
        <row r="18997">
          <cell r="C18997" t="str">
            <v>鄭貫中</v>
          </cell>
          <cell r="F18997" t="str">
            <v>M250201C1</v>
          </cell>
          <cell r="J18997">
            <v>45734</v>
          </cell>
          <cell r="K18997">
            <v>4.5</v>
          </cell>
        </row>
        <row r="18998">
          <cell r="C18998" t="str">
            <v>鄭貫中</v>
          </cell>
          <cell r="F18998" t="str">
            <v>M240703R1</v>
          </cell>
          <cell r="J18998">
            <v>45734</v>
          </cell>
          <cell r="K18998">
            <v>3.5</v>
          </cell>
        </row>
        <row r="18999">
          <cell r="C18999" t="str">
            <v>鄭貫中</v>
          </cell>
          <cell r="F18999" t="str">
            <v>M240703R1</v>
          </cell>
          <cell r="J18999">
            <v>45735</v>
          </cell>
          <cell r="K18999">
            <v>2.5</v>
          </cell>
        </row>
        <row r="19000">
          <cell r="C19000" t="str">
            <v>鄭貫中</v>
          </cell>
          <cell r="F19000" t="str">
            <v>M250201C1</v>
          </cell>
          <cell r="J19000">
            <v>45735</v>
          </cell>
          <cell r="K19000">
            <v>2</v>
          </cell>
        </row>
        <row r="19001">
          <cell r="C19001" t="str">
            <v>鄭貫中</v>
          </cell>
          <cell r="F19001" t="str">
            <v>M250201C1</v>
          </cell>
          <cell r="J19001">
            <v>45735</v>
          </cell>
          <cell r="K19001">
            <v>4</v>
          </cell>
        </row>
        <row r="19002">
          <cell r="C19002" t="str">
            <v>鄭貫中</v>
          </cell>
          <cell r="J19002">
            <v>45736</v>
          </cell>
          <cell r="K19002">
            <v>0.5</v>
          </cell>
        </row>
        <row r="19003">
          <cell r="C19003" t="str">
            <v>鄭貫中</v>
          </cell>
          <cell r="F19003" t="str">
            <v>M240703R1</v>
          </cell>
          <cell r="J19003">
            <v>45736</v>
          </cell>
          <cell r="K19003">
            <v>3</v>
          </cell>
        </row>
        <row r="19004">
          <cell r="C19004" t="str">
            <v>鄭貫中</v>
          </cell>
          <cell r="F19004" t="str">
            <v>M240703R1</v>
          </cell>
          <cell r="J19004">
            <v>45736</v>
          </cell>
          <cell r="K19004">
            <v>5</v>
          </cell>
        </row>
        <row r="19005">
          <cell r="C19005" t="str">
            <v>鄭貫中</v>
          </cell>
          <cell r="F19005" t="str">
            <v>M240703R1</v>
          </cell>
          <cell r="J19005">
            <v>45737</v>
          </cell>
          <cell r="K19005">
            <v>3</v>
          </cell>
        </row>
        <row r="19006">
          <cell r="C19006" t="str">
            <v>鄭貫中</v>
          </cell>
          <cell r="F19006" t="str">
            <v>M250201C1</v>
          </cell>
          <cell r="J19006">
            <v>45737</v>
          </cell>
          <cell r="K19006">
            <v>1</v>
          </cell>
        </row>
        <row r="19007">
          <cell r="C19007" t="str">
            <v>鄭貫中</v>
          </cell>
          <cell r="F19007" t="str">
            <v>M240703R1</v>
          </cell>
          <cell r="J19007">
            <v>45737</v>
          </cell>
          <cell r="K19007">
            <v>2</v>
          </cell>
        </row>
        <row r="19008">
          <cell r="C19008" t="str">
            <v>鄭貫中</v>
          </cell>
          <cell r="F19008" t="str">
            <v>M240704R1</v>
          </cell>
          <cell r="J19008">
            <v>45737</v>
          </cell>
          <cell r="K19008">
            <v>2</v>
          </cell>
        </row>
        <row r="19009">
          <cell r="C19009" t="str">
            <v>鄭貫中</v>
          </cell>
          <cell r="F19009" t="str">
            <v>M250201C1</v>
          </cell>
          <cell r="J19009">
            <v>45740</v>
          </cell>
          <cell r="K19009">
            <v>1.5</v>
          </cell>
        </row>
        <row r="19010">
          <cell r="C19010" t="str">
            <v>鄭貫中</v>
          </cell>
          <cell r="F19010" t="str">
            <v>M240703R1</v>
          </cell>
          <cell r="J19010">
            <v>45740</v>
          </cell>
          <cell r="K19010">
            <v>2</v>
          </cell>
        </row>
        <row r="19011">
          <cell r="C19011" t="str">
            <v>鄭貫中</v>
          </cell>
          <cell r="F19011" t="str">
            <v>M240703R1</v>
          </cell>
          <cell r="J19011">
            <v>45740</v>
          </cell>
          <cell r="K19011">
            <v>5</v>
          </cell>
        </row>
        <row r="19012">
          <cell r="C19012" t="str">
            <v>鄭貫中</v>
          </cell>
          <cell r="F19012" t="str">
            <v>M240703R1</v>
          </cell>
          <cell r="J19012">
            <v>45741</v>
          </cell>
          <cell r="K19012">
            <v>2</v>
          </cell>
        </row>
        <row r="19013">
          <cell r="C19013" t="str">
            <v>鄭貫中</v>
          </cell>
          <cell r="F19013" t="str">
            <v>M250201C1</v>
          </cell>
          <cell r="J19013">
            <v>45741</v>
          </cell>
          <cell r="K19013">
            <v>3.5</v>
          </cell>
        </row>
        <row r="19014">
          <cell r="C19014" t="str">
            <v>鄭貫中</v>
          </cell>
          <cell r="F19014" t="str">
            <v>D250101R1</v>
          </cell>
          <cell r="J19014">
            <v>45741</v>
          </cell>
          <cell r="K19014">
            <v>2.5</v>
          </cell>
        </row>
        <row r="19015">
          <cell r="C19015" t="str">
            <v>鄭貫中</v>
          </cell>
          <cell r="F19015" t="str">
            <v>M240703R1</v>
          </cell>
          <cell r="J19015">
            <v>45742</v>
          </cell>
          <cell r="K19015">
            <v>2</v>
          </cell>
        </row>
        <row r="19016">
          <cell r="C19016" t="str">
            <v>鄭貫中</v>
          </cell>
          <cell r="F19016" t="str">
            <v>M250201C1</v>
          </cell>
          <cell r="J19016">
            <v>45742</v>
          </cell>
          <cell r="K19016">
            <v>6</v>
          </cell>
        </row>
        <row r="19017">
          <cell r="C19017" t="str">
            <v>鄭貫中</v>
          </cell>
          <cell r="J19017">
            <v>45743</v>
          </cell>
          <cell r="K19017">
            <v>1</v>
          </cell>
        </row>
        <row r="19018">
          <cell r="C19018" t="str">
            <v>鄭貫中</v>
          </cell>
          <cell r="F19018" t="str">
            <v>M240703R1</v>
          </cell>
          <cell r="J19018">
            <v>45743</v>
          </cell>
          <cell r="K19018">
            <v>2.5</v>
          </cell>
        </row>
        <row r="19019">
          <cell r="C19019" t="str">
            <v>鄭貫中</v>
          </cell>
          <cell r="F19019" t="str">
            <v>M250201C1</v>
          </cell>
          <cell r="J19019">
            <v>45743</v>
          </cell>
          <cell r="K19019">
            <v>2.5</v>
          </cell>
        </row>
        <row r="19020">
          <cell r="C19020" t="str">
            <v>鄭貫中</v>
          </cell>
          <cell r="F19020" t="str">
            <v>M240703R1</v>
          </cell>
          <cell r="J19020">
            <v>45744</v>
          </cell>
          <cell r="K19020">
            <v>3.5</v>
          </cell>
        </row>
        <row r="19021">
          <cell r="C19021" t="str">
            <v>鄭貫中</v>
          </cell>
          <cell r="F19021" t="str">
            <v>M240703R1</v>
          </cell>
          <cell r="J19021">
            <v>45744</v>
          </cell>
          <cell r="K19021">
            <v>4.5</v>
          </cell>
        </row>
        <row r="19022">
          <cell r="C19022" t="str">
            <v>鄭貫中</v>
          </cell>
          <cell r="F19022" t="str">
            <v>D250101R1</v>
          </cell>
          <cell r="J19022">
            <v>45744</v>
          </cell>
          <cell r="K19022">
            <v>2</v>
          </cell>
        </row>
        <row r="19023">
          <cell r="C19023" t="str">
            <v>鄭貫中</v>
          </cell>
          <cell r="J19023">
            <v>45747</v>
          </cell>
          <cell r="K19023">
            <v>2</v>
          </cell>
        </row>
        <row r="19024">
          <cell r="C19024" t="str">
            <v>鄭貫中</v>
          </cell>
          <cell r="F19024" t="str">
            <v>M240703R1</v>
          </cell>
          <cell r="J19024">
            <v>45747</v>
          </cell>
          <cell r="K19024">
            <v>2.5</v>
          </cell>
        </row>
        <row r="19025">
          <cell r="C19025" t="str">
            <v>鄭貫中</v>
          </cell>
          <cell r="F19025" t="str">
            <v>D250101R1</v>
          </cell>
          <cell r="J19025">
            <v>45747</v>
          </cell>
          <cell r="K19025">
            <v>3.5</v>
          </cell>
        </row>
        <row r="19026">
          <cell r="C19026" t="str">
            <v>鄭貫中</v>
          </cell>
          <cell r="F19026" t="str">
            <v>M240703R1</v>
          </cell>
          <cell r="J19026">
            <v>45748</v>
          </cell>
          <cell r="K19026">
            <v>4.5</v>
          </cell>
        </row>
        <row r="19027">
          <cell r="C19027" t="str">
            <v>鄭貫中</v>
          </cell>
          <cell r="F19027" t="str">
            <v>M250201C1</v>
          </cell>
          <cell r="J19027">
            <v>45748</v>
          </cell>
          <cell r="K19027">
            <v>1</v>
          </cell>
        </row>
        <row r="19028">
          <cell r="C19028" t="str">
            <v>鄭貫中</v>
          </cell>
          <cell r="F19028" t="str">
            <v>D250101R1</v>
          </cell>
          <cell r="J19028">
            <v>45748</v>
          </cell>
          <cell r="K19028">
            <v>2.5</v>
          </cell>
        </row>
        <row r="19029">
          <cell r="C19029" t="str">
            <v>鄭貫中</v>
          </cell>
          <cell r="F19029" t="str">
            <v>M240703R1</v>
          </cell>
          <cell r="J19029">
            <v>45749</v>
          </cell>
          <cell r="K19029">
            <v>6</v>
          </cell>
        </row>
        <row r="19030">
          <cell r="C19030" t="str">
            <v>鄭貫中</v>
          </cell>
          <cell r="F19030" t="str">
            <v>M250201C1</v>
          </cell>
          <cell r="J19030">
            <v>45749</v>
          </cell>
          <cell r="K19030">
            <v>2.5</v>
          </cell>
        </row>
        <row r="19031">
          <cell r="C19031" t="str">
            <v>鄭貫中</v>
          </cell>
          <cell r="F19031" t="str">
            <v>M240703R1</v>
          </cell>
          <cell r="J19031">
            <v>45754</v>
          </cell>
          <cell r="K19031">
            <v>3.5</v>
          </cell>
        </row>
        <row r="19032">
          <cell r="C19032" t="str">
            <v>鄭貫中</v>
          </cell>
          <cell r="F19032" t="str">
            <v>M240703R1</v>
          </cell>
          <cell r="J19032">
            <v>45754</v>
          </cell>
          <cell r="K19032">
            <v>2.5</v>
          </cell>
        </row>
        <row r="19033">
          <cell r="C19033" t="str">
            <v>鄭貫中</v>
          </cell>
          <cell r="F19033" t="str">
            <v>D250101R1</v>
          </cell>
          <cell r="J19033">
            <v>45754</v>
          </cell>
          <cell r="K19033">
            <v>2</v>
          </cell>
        </row>
        <row r="19034">
          <cell r="C19034" t="str">
            <v>鄭貫中</v>
          </cell>
          <cell r="F19034" t="str">
            <v>M240703R1</v>
          </cell>
          <cell r="J19034">
            <v>45755</v>
          </cell>
          <cell r="K19034">
            <v>4.5</v>
          </cell>
        </row>
        <row r="19035">
          <cell r="C19035" t="str">
            <v>鄭貫中</v>
          </cell>
          <cell r="F19035" t="str">
            <v>D240902R1</v>
          </cell>
          <cell r="J19035">
            <v>45755</v>
          </cell>
          <cell r="K19035">
            <v>3.5</v>
          </cell>
        </row>
        <row r="19036">
          <cell r="C19036" t="str">
            <v>鄭貫中</v>
          </cell>
          <cell r="J19036">
            <v>45756</v>
          </cell>
          <cell r="K19036">
            <v>1.5</v>
          </cell>
        </row>
        <row r="19037">
          <cell r="C19037" t="str">
            <v>鄭貫中</v>
          </cell>
          <cell r="F19037" t="str">
            <v>M240703R1</v>
          </cell>
          <cell r="J19037">
            <v>45756</v>
          </cell>
          <cell r="K19037">
            <v>4</v>
          </cell>
        </row>
        <row r="19038">
          <cell r="C19038" t="str">
            <v>鄭貫中</v>
          </cell>
          <cell r="F19038" t="str">
            <v>D250101R1</v>
          </cell>
          <cell r="J19038">
            <v>45756</v>
          </cell>
          <cell r="K19038">
            <v>4</v>
          </cell>
        </row>
        <row r="19039">
          <cell r="C19039" t="str">
            <v>鄭貫中</v>
          </cell>
          <cell r="J19039">
            <v>45757</v>
          </cell>
          <cell r="K19039">
            <v>1</v>
          </cell>
        </row>
        <row r="19040">
          <cell r="C19040" t="str">
            <v>鄭貫中</v>
          </cell>
          <cell r="J19040">
            <v>45757</v>
          </cell>
          <cell r="K19040">
            <v>3</v>
          </cell>
        </row>
        <row r="19041">
          <cell r="C19041" t="str">
            <v>鄭貫中</v>
          </cell>
          <cell r="F19041" t="str">
            <v>M240703R1</v>
          </cell>
          <cell r="J19041">
            <v>45757</v>
          </cell>
          <cell r="K19041">
            <v>4</v>
          </cell>
        </row>
        <row r="19042">
          <cell r="C19042" t="str">
            <v>鄭貫中</v>
          </cell>
          <cell r="J19042">
            <v>45758</v>
          </cell>
          <cell r="K19042">
            <v>3</v>
          </cell>
        </row>
        <row r="19043">
          <cell r="C19043" t="str">
            <v>鄭貫中</v>
          </cell>
          <cell r="J19043">
            <v>45758</v>
          </cell>
          <cell r="K19043">
            <v>5</v>
          </cell>
        </row>
        <row r="19044">
          <cell r="C19044" t="str">
            <v>鄭貫中</v>
          </cell>
          <cell r="J19044">
            <v>45761</v>
          </cell>
          <cell r="K19044">
            <v>4</v>
          </cell>
        </row>
        <row r="19045">
          <cell r="C19045" t="str">
            <v>鄭貫中</v>
          </cell>
          <cell r="F19045" t="str">
            <v>M240703R1</v>
          </cell>
          <cell r="J19045">
            <v>45761</v>
          </cell>
          <cell r="K19045">
            <v>5</v>
          </cell>
        </row>
        <row r="19046">
          <cell r="C19046" t="str">
            <v>鄭貫中</v>
          </cell>
          <cell r="J19046">
            <v>45762</v>
          </cell>
          <cell r="K19046">
            <v>4</v>
          </cell>
        </row>
        <row r="19047">
          <cell r="C19047" t="str">
            <v>鄭貫中</v>
          </cell>
          <cell r="F19047" t="str">
            <v>M250201C1</v>
          </cell>
          <cell r="J19047">
            <v>45762</v>
          </cell>
          <cell r="K19047">
            <v>2</v>
          </cell>
        </row>
        <row r="19048">
          <cell r="C19048" t="str">
            <v>鄭貫中</v>
          </cell>
          <cell r="F19048" t="str">
            <v>D250101R1</v>
          </cell>
          <cell r="J19048">
            <v>45762</v>
          </cell>
          <cell r="K19048">
            <v>2</v>
          </cell>
        </row>
        <row r="19049">
          <cell r="C19049" t="str">
            <v>鄭貫中</v>
          </cell>
          <cell r="F19049" t="str">
            <v>M240703R1</v>
          </cell>
          <cell r="J19049">
            <v>45763</v>
          </cell>
          <cell r="K19049">
            <v>6.5</v>
          </cell>
        </row>
        <row r="19050">
          <cell r="C19050" t="str">
            <v>鄭貫中</v>
          </cell>
          <cell r="F19050" t="str">
            <v>M250201C1</v>
          </cell>
          <cell r="J19050">
            <v>45763</v>
          </cell>
          <cell r="K19050">
            <v>1.5</v>
          </cell>
        </row>
        <row r="19051">
          <cell r="C19051" t="str">
            <v>鄭貫中</v>
          </cell>
          <cell r="J19051">
            <v>45764</v>
          </cell>
          <cell r="K19051">
            <v>1</v>
          </cell>
        </row>
        <row r="19052">
          <cell r="C19052" t="str">
            <v>鄭貫中</v>
          </cell>
          <cell r="J19052">
            <v>45764</v>
          </cell>
          <cell r="K19052">
            <v>1.5</v>
          </cell>
        </row>
        <row r="19053">
          <cell r="C19053" t="str">
            <v>鄭貫中</v>
          </cell>
          <cell r="F19053" t="str">
            <v>M240703R1</v>
          </cell>
          <cell r="J19053">
            <v>45764</v>
          </cell>
          <cell r="K19053">
            <v>2</v>
          </cell>
        </row>
        <row r="19054">
          <cell r="C19054" t="str">
            <v>鄭貫中</v>
          </cell>
          <cell r="F19054" t="str">
            <v>M250201C1</v>
          </cell>
          <cell r="J19054">
            <v>45764</v>
          </cell>
          <cell r="K19054">
            <v>3.5</v>
          </cell>
        </row>
        <row r="19055">
          <cell r="C19055" t="str">
            <v>鄭貫中</v>
          </cell>
          <cell r="J19055">
            <v>45765</v>
          </cell>
          <cell r="K19055">
            <v>2</v>
          </cell>
        </row>
        <row r="19056">
          <cell r="C19056" t="str">
            <v>鄭貫中</v>
          </cell>
          <cell r="F19056" t="str">
            <v>M240703R1</v>
          </cell>
          <cell r="J19056">
            <v>45765</v>
          </cell>
          <cell r="K19056">
            <v>6</v>
          </cell>
        </row>
        <row r="19057">
          <cell r="C19057" t="str">
            <v>鄭貫中</v>
          </cell>
          <cell r="F19057" t="str">
            <v>M240703R1</v>
          </cell>
          <cell r="J19057">
            <v>45768</v>
          </cell>
          <cell r="K19057">
            <v>4.5</v>
          </cell>
        </row>
        <row r="19058">
          <cell r="C19058" t="str">
            <v>鄭貫中</v>
          </cell>
          <cell r="F19058" t="str">
            <v>M240703R1</v>
          </cell>
          <cell r="J19058">
            <v>45768</v>
          </cell>
          <cell r="K19058">
            <v>3.5</v>
          </cell>
        </row>
        <row r="19059">
          <cell r="C19059" t="str">
            <v>鄭貫中</v>
          </cell>
          <cell r="F19059" t="str">
            <v>M240703R1</v>
          </cell>
          <cell r="J19059">
            <v>45769</v>
          </cell>
          <cell r="K19059">
            <v>4</v>
          </cell>
        </row>
        <row r="19060">
          <cell r="C19060" t="str">
            <v>鄭貫中</v>
          </cell>
          <cell r="F19060" t="str">
            <v>M240703R1</v>
          </cell>
          <cell r="J19060">
            <v>45769</v>
          </cell>
          <cell r="K19060">
            <v>4</v>
          </cell>
        </row>
        <row r="19061">
          <cell r="C19061" t="str">
            <v>鄭貫中</v>
          </cell>
          <cell r="F19061" t="str">
            <v>M240703R1</v>
          </cell>
          <cell r="J19061">
            <v>45770</v>
          </cell>
          <cell r="K19061">
            <v>9</v>
          </cell>
        </row>
        <row r="19062">
          <cell r="C19062" t="str">
            <v>鄭貫中</v>
          </cell>
          <cell r="J19062">
            <v>45771</v>
          </cell>
          <cell r="K19062">
            <v>1</v>
          </cell>
        </row>
        <row r="19063">
          <cell r="C19063" t="str">
            <v>鄭貫中</v>
          </cell>
          <cell r="F19063" t="str">
            <v>M240703R1</v>
          </cell>
          <cell r="J19063">
            <v>45771</v>
          </cell>
          <cell r="K19063">
            <v>1.5</v>
          </cell>
        </row>
        <row r="19064">
          <cell r="C19064" t="str">
            <v>鄭貫中</v>
          </cell>
          <cell r="F19064" t="str">
            <v>M240703R1</v>
          </cell>
          <cell r="J19064">
            <v>45771</v>
          </cell>
          <cell r="K19064">
            <v>2</v>
          </cell>
        </row>
        <row r="19065">
          <cell r="C19065" t="str">
            <v>鄭貫中</v>
          </cell>
          <cell r="F19065" t="str">
            <v>M250201C1</v>
          </cell>
          <cell r="J19065">
            <v>45771</v>
          </cell>
          <cell r="K19065">
            <v>4.5</v>
          </cell>
        </row>
        <row r="19066">
          <cell r="C19066" t="str">
            <v>鄭貫中</v>
          </cell>
          <cell r="F19066" t="str">
            <v>M240703R1</v>
          </cell>
          <cell r="J19066">
            <v>45772</v>
          </cell>
          <cell r="K19066">
            <v>6</v>
          </cell>
        </row>
        <row r="19067">
          <cell r="C19067" t="str">
            <v>鄭貫中</v>
          </cell>
          <cell r="F19067" t="str">
            <v>M250201C1</v>
          </cell>
          <cell r="J19067">
            <v>45772</v>
          </cell>
          <cell r="K19067">
            <v>2</v>
          </cell>
        </row>
        <row r="19068">
          <cell r="C19068" t="str">
            <v>鄭貫中</v>
          </cell>
          <cell r="J19068">
            <v>45775</v>
          </cell>
          <cell r="K19068">
            <v>1.5</v>
          </cell>
        </row>
        <row r="19069">
          <cell r="C19069" t="str">
            <v>鄭貫中</v>
          </cell>
          <cell r="F19069" t="str">
            <v>M250201C1</v>
          </cell>
          <cell r="J19069">
            <v>45775</v>
          </cell>
          <cell r="K19069">
            <v>7</v>
          </cell>
        </row>
        <row r="19070">
          <cell r="C19070" t="str">
            <v>鄭貫中</v>
          </cell>
          <cell r="F19070" t="str">
            <v>M240703R1</v>
          </cell>
          <cell r="J19070">
            <v>45776</v>
          </cell>
          <cell r="K19070">
            <v>1.5</v>
          </cell>
        </row>
        <row r="19071">
          <cell r="C19071" t="str">
            <v>鄭貫中</v>
          </cell>
          <cell r="F19071" t="str">
            <v>M250201C1</v>
          </cell>
          <cell r="J19071">
            <v>45776</v>
          </cell>
          <cell r="K19071">
            <v>6.5</v>
          </cell>
        </row>
        <row r="19072">
          <cell r="C19072" t="str">
            <v>鄭貫中</v>
          </cell>
          <cell r="F19072" t="str">
            <v>M240703R1</v>
          </cell>
          <cell r="J19072">
            <v>45777</v>
          </cell>
          <cell r="K19072">
            <v>4</v>
          </cell>
        </row>
        <row r="19073">
          <cell r="C19073" t="str">
            <v>鄭貫中</v>
          </cell>
          <cell r="F19073" t="str">
            <v>M250201C1</v>
          </cell>
          <cell r="J19073">
            <v>45777</v>
          </cell>
          <cell r="K19073">
            <v>4</v>
          </cell>
        </row>
        <row r="19074">
          <cell r="C19074" t="str">
            <v>鄭貫中</v>
          </cell>
          <cell r="J19074">
            <v>45778</v>
          </cell>
          <cell r="K19074">
            <v>8</v>
          </cell>
        </row>
        <row r="19075">
          <cell r="C19075" t="str">
            <v>鄭貫中</v>
          </cell>
          <cell r="F19075" t="str">
            <v>M240703R1</v>
          </cell>
          <cell r="J19075">
            <v>45779</v>
          </cell>
          <cell r="K19075">
            <v>1</v>
          </cell>
        </row>
        <row r="19076">
          <cell r="C19076" t="str">
            <v>鄭貫中</v>
          </cell>
          <cell r="F19076" t="str">
            <v>M250201C1</v>
          </cell>
          <cell r="J19076">
            <v>45779</v>
          </cell>
          <cell r="K19076">
            <v>7</v>
          </cell>
        </row>
        <row r="19077">
          <cell r="C19077" t="str">
            <v>鄭貫中</v>
          </cell>
          <cell r="J19077">
            <v>45782</v>
          </cell>
          <cell r="K19077">
            <v>3.5</v>
          </cell>
        </row>
        <row r="19078">
          <cell r="C19078" t="str">
            <v>鄭貫中</v>
          </cell>
          <cell r="F19078" t="str">
            <v>M240703R1</v>
          </cell>
          <cell r="J19078">
            <v>45782</v>
          </cell>
          <cell r="K19078">
            <v>1.5</v>
          </cell>
        </row>
        <row r="19079">
          <cell r="C19079" t="str">
            <v>鄭貫中</v>
          </cell>
          <cell r="F19079" t="str">
            <v>M250201C1</v>
          </cell>
          <cell r="J19079">
            <v>45782</v>
          </cell>
          <cell r="K19079">
            <v>3</v>
          </cell>
        </row>
        <row r="19080">
          <cell r="C19080" t="str">
            <v>鄭貫中</v>
          </cell>
          <cell r="J19080">
            <v>45783</v>
          </cell>
          <cell r="K19080">
            <v>8</v>
          </cell>
        </row>
        <row r="19081">
          <cell r="C19081" t="str">
            <v>鄭貫中</v>
          </cell>
          <cell r="J19081">
            <v>45784</v>
          </cell>
          <cell r="K19081">
            <v>1.5</v>
          </cell>
        </row>
        <row r="19082">
          <cell r="C19082" t="str">
            <v>鄭貫中</v>
          </cell>
          <cell r="F19082" t="str">
            <v>M240704R1</v>
          </cell>
          <cell r="J19082">
            <v>45784</v>
          </cell>
          <cell r="K19082">
            <v>5</v>
          </cell>
        </row>
        <row r="19083">
          <cell r="C19083" t="str">
            <v>鄭貫中</v>
          </cell>
          <cell r="F19083" t="str">
            <v>M250201C1</v>
          </cell>
          <cell r="J19083">
            <v>45784</v>
          </cell>
          <cell r="K19083">
            <v>1.5</v>
          </cell>
        </row>
        <row r="19084">
          <cell r="C19084" t="str">
            <v>鄭貫中</v>
          </cell>
          <cell r="J19084">
            <v>45785</v>
          </cell>
          <cell r="K19084">
            <v>1</v>
          </cell>
        </row>
        <row r="19085">
          <cell r="C19085" t="str">
            <v>鄭貫中</v>
          </cell>
          <cell r="J19085">
            <v>45785</v>
          </cell>
          <cell r="K19085">
            <v>3</v>
          </cell>
        </row>
        <row r="19086">
          <cell r="C19086" t="str">
            <v>鄭貫中</v>
          </cell>
          <cell r="F19086" t="str">
            <v>M240704R1</v>
          </cell>
          <cell r="J19086">
            <v>45785</v>
          </cell>
          <cell r="K19086">
            <v>4</v>
          </cell>
        </row>
        <row r="19087">
          <cell r="C19087" t="str">
            <v>鄭貫中</v>
          </cell>
          <cell r="F19087" t="str">
            <v>M240703R1</v>
          </cell>
          <cell r="J19087">
            <v>45786</v>
          </cell>
          <cell r="K19087">
            <v>2.5</v>
          </cell>
        </row>
        <row r="19088">
          <cell r="C19088" t="str">
            <v>鄭貫中</v>
          </cell>
          <cell r="F19088" t="str">
            <v>M240704R1</v>
          </cell>
          <cell r="J19088">
            <v>45786</v>
          </cell>
          <cell r="K19088">
            <v>6.5</v>
          </cell>
        </row>
        <row r="19089">
          <cell r="C19089" t="str">
            <v>鄭貫中</v>
          </cell>
          <cell r="J19089">
            <v>45789</v>
          </cell>
          <cell r="K19089">
            <v>3</v>
          </cell>
        </row>
        <row r="19090">
          <cell r="C19090" t="str">
            <v>鄭貫中</v>
          </cell>
          <cell r="F19090" t="str">
            <v>M250201C1</v>
          </cell>
          <cell r="J19090">
            <v>45789</v>
          </cell>
          <cell r="K19090">
            <v>5</v>
          </cell>
        </row>
        <row r="19091">
          <cell r="C19091" t="str">
            <v>鄭貫中</v>
          </cell>
          <cell r="F19091" t="str">
            <v>M240704R1</v>
          </cell>
          <cell r="J19091">
            <v>45790</v>
          </cell>
          <cell r="K19091">
            <v>1</v>
          </cell>
        </row>
        <row r="19092">
          <cell r="C19092" t="str">
            <v>鄭貫中</v>
          </cell>
          <cell r="F19092" t="str">
            <v>M250201C1</v>
          </cell>
          <cell r="J19092">
            <v>45790</v>
          </cell>
          <cell r="K19092">
            <v>7</v>
          </cell>
        </row>
        <row r="19093">
          <cell r="C19093" t="str">
            <v>鄭貫中</v>
          </cell>
          <cell r="J19093">
            <v>45791</v>
          </cell>
          <cell r="K19093">
            <v>6.5</v>
          </cell>
        </row>
        <row r="19094">
          <cell r="C19094" t="str">
            <v>鄭貫中</v>
          </cell>
          <cell r="F19094" t="str">
            <v>M240703R1</v>
          </cell>
          <cell r="J19094">
            <v>45791</v>
          </cell>
          <cell r="K19094">
            <v>2</v>
          </cell>
        </row>
        <row r="19095">
          <cell r="C19095" t="str">
            <v>鄭貫中</v>
          </cell>
          <cell r="J19095">
            <v>45792</v>
          </cell>
          <cell r="K19095">
            <v>5</v>
          </cell>
        </row>
        <row r="19096">
          <cell r="C19096" t="str">
            <v>鄭貫中</v>
          </cell>
          <cell r="J19096">
            <v>45792</v>
          </cell>
          <cell r="K19096">
            <v>0.5</v>
          </cell>
        </row>
        <row r="19097">
          <cell r="C19097" t="str">
            <v>鄭貫中</v>
          </cell>
          <cell r="F19097" t="str">
            <v>M240703R1</v>
          </cell>
          <cell r="J19097">
            <v>45792</v>
          </cell>
          <cell r="K19097">
            <v>2</v>
          </cell>
        </row>
        <row r="19098">
          <cell r="C19098" t="str">
            <v>鄭貫中</v>
          </cell>
          <cell r="F19098" t="str">
            <v>M250201C1</v>
          </cell>
          <cell r="J19098">
            <v>45792</v>
          </cell>
          <cell r="K19098">
            <v>1.5</v>
          </cell>
        </row>
        <row r="19099">
          <cell r="C19099" t="str">
            <v>鄭貫中</v>
          </cell>
          <cell r="J19099">
            <v>45793</v>
          </cell>
          <cell r="K19099">
            <v>6.5</v>
          </cell>
        </row>
        <row r="19100">
          <cell r="C19100" t="str">
            <v>鄭貫中</v>
          </cell>
          <cell r="F19100" t="str">
            <v>M240703R1</v>
          </cell>
          <cell r="J19100">
            <v>45793</v>
          </cell>
          <cell r="K19100">
            <v>2.5</v>
          </cell>
        </row>
        <row r="19101">
          <cell r="C19101" t="str">
            <v>鄭貫中</v>
          </cell>
          <cell r="J19101">
            <v>45796</v>
          </cell>
          <cell r="K19101">
            <v>5</v>
          </cell>
        </row>
        <row r="19102">
          <cell r="C19102" t="str">
            <v>鄭貫中</v>
          </cell>
          <cell r="F19102" t="str">
            <v>M240703R1</v>
          </cell>
          <cell r="J19102">
            <v>45796</v>
          </cell>
          <cell r="K19102">
            <v>2</v>
          </cell>
        </row>
        <row r="19103">
          <cell r="C19103" t="str">
            <v>鄭貫中</v>
          </cell>
          <cell r="F19103" t="str">
            <v>M240704R1</v>
          </cell>
          <cell r="J19103">
            <v>45796</v>
          </cell>
          <cell r="K19103">
            <v>1</v>
          </cell>
        </row>
        <row r="19104">
          <cell r="C19104" t="str">
            <v>鄭貫中</v>
          </cell>
          <cell r="J19104">
            <v>45797</v>
          </cell>
          <cell r="K19104">
            <v>6</v>
          </cell>
        </row>
        <row r="19105">
          <cell r="C19105" t="str">
            <v>鄭貫中</v>
          </cell>
          <cell r="F19105" t="str">
            <v>M240703R1</v>
          </cell>
          <cell r="J19105">
            <v>45797</v>
          </cell>
          <cell r="K19105">
            <v>2</v>
          </cell>
        </row>
        <row r="19106">
          <cell r="C19106" t="str">
            <v>鄭貫中</v>
          </cell>
          <cell r="J19106">
            <v>45798</v>
          </cell>
          <cell r="K19106">
            <v>5</v>
          </cell>
        </row>
        <row r="19107">
          <cell r="C19107" t="str">
            <v>鄭貫中</v>
          </cell>
          <cell r="F19107" t="str">
            <v>D250101R1</v>
          </cell>
          <cell r="J19107">
            <v>45798</v>
          </cell>
          <cell r="K19107">
            <v>1</v>
          </cell>
        </row>
        <row r="19108">
          <cell r="C19108" t="str">
            <v>鄭貫中</v>
          </cell>
          <cell r="F19108" t="str">
            <v>M250201C1</v>
          </cell>
          <cell r="J19108">
            <v>45798</v>
          </cell>
          <cell r="K19108">
            <v>2</v>
          </cell>
        </row>
        <row r="19109">
          <cell r="C19109" t="str">
            <v>鄭貫中</v>
          </cell>
          <cell r="J19109">
            <v>45799</v>
          </cell>
          <cell r="K19109">
            <v>1</v>
          </cell>
        </row>
        <row r="19110">
          <cell r="C19110" t="str">
            <v>鄭貫中</v>
          </cell>
          <cell r="F19110" t="str">
            <v>M240703R1</v>
          </cell>
          <cell r="J19110">
            <v>45799</v>
          </cell>
          <cell r="K19110">
            <v>1</v>
          </cell>
        </row>
        <row r="19111">
          <cell r="C19111" t="str">
            <v>鄭貫中</v>
          </cell>
          <cell r="F19111" t="str">
            <v>M250201C1</v>
          </cell>
          <cell r="J19111">
            <v>45799</v>
          </cell>
          <cell r="K19111">
            <v>6</v>
          </cell>
        </row>
        <row r="19112">
          <cell r="C19112" t="str">
            <v>鄭貫中</v>
          </cell>
          <cell r="F19112" t="str">
            <v>M240703R1</v>
          </cell>
          <cell r="J19112">
            <v>45800</v>
          </cell>
          <cell r="K19112">
            <v>4</v>
          </cell>
        </row>
        <row r="19113">
          <cell r="C19113" t="str">
            <v>鄭貫中</v>
          </cell>
          <cell r="F19113" t="str">
            <v>M250201C1</v>
          </cell>
          <cell r="J19113">
            <v>45800</v>
          </cell>
          <cell r="K19113">
            <v>4</v>
          </cell>
        </row>
        <row r="19114">
          <cell r="C19114" t="str">
            <v>鄭貫中</v>
          </cell>
          <cell r="J19114">
            <v>45803</v>
          </cell>
          <cell r="K19114">
            <v>1.5</v>
          </cell>
        </row>
        <row r="19115">
          <cell r="C19115" t="str">
            <v>鄭貫中</v>
          </cell>
          <cell r="J19115">
            <v>45803</v>
          </cell>
          <cell r="K19115">
            <v>2</v>
          </cell>
        </row>
        <row r="19116">
          <cell r="C19116" t="str">
            <v>鄭貫中</v>
          </cell>
          <cell r="F19116" t="str">
            <v>D250101R1</v>
          </cell>
          <cell r="J19116">
            <v>45803</v>
          </cell>
          <cell r="K19116">
            <v>1.5</v>
          </cell>
        </row>
        <row r="19117">
          <cell r="C19117" t="str">
            <v>鄭貫中</v>
          </cell>
          <cell r="F19117" t="str">
            <v>M250201C1</v>
          </cell>
          <cell r="J19117">
            <v>45803</v>
          </cell>
          <cell r="K19117">
            <v>3</v>
          </cell>
        </row>
        <row r="19118">
          <cell r="C19118" t="str">
            <v>鄭貫中</v>
          </cell>
          <cell r="J19118">
            <v>45804</v>
          </cell>
          <cell r="K19118">
            <v>1.5</v>
          </cell>
        </row>
        <row r="19119">
          <cell r="C19119" t="str">
            <v>鄭貫中</v>
          </cell>
          <cell r="F19119" t="str">
            <v>M250201C1</v>
          </cell>
          <cell r="J19119">
            <v>45804</v>
          </cell>
          <cell r="K19119">
            <v>6.5</v>
          </cell>
        </row>
        <row r="19120">
          <cell r="C19120" t="str">
            <v>鄭貫中</v>
          </cell>
          <cell r="F19120" t="str">
            <v>M250201C1</v>
          </cell>
          <cell r="J19120">
            <v>45805</v>
          </cell>
          <cell r="K19120">
            <v>8</v>
          </cell>
        </row>
        <row r="19121">
          <cell r="C19121" t="str">
            <v>鄭貫中</v>
          </cell>
          <cell r="J19121">
            <v>45806</v>
          </cell>
          <cell r="K19121">
            <v>1</v>
          </cell>
        </row>
        <row r="19122">
          <cell r="C19122" t="str">
            <v>鄭貫中</v>
          </cell>
          <cell r="F19122" t="str">
            <v>M250201C1</v>
          </cell>
          <cell r="J19122">
            <v>45806</v>
          </cell>
          <cell r="K19122">
            <v>4</v>
          </cell>
        </row>
        <row r="19123">
          <cell r="C19123" t="str">
            <v>鄭貫中</v>
          </cell>
          <cell r="F19123" t="str">
            <v>M240704R1</v>
          </cell>
          <cell r="J19123">
            <v>45806</v>
          </cell>
          <cell r="K19123">
            <v>3</v>
          </cell>
        </row>
        <row r="19124">
          <cell r="C19124" t="str">
            <v>鄭貫中</v>
          </cell>
          <cell r="F19124" t="str">
            <v>K250501R1</v>
          </cell>
          <cell r="J19124">
            <v>45810</v>
          </cell>
          <cell r="K19124">
            <v>4</v>
          </cell>
        </row>
        <row r="19125">
          <cell r="C19125" t="str">
            <v>鄭貫中</v>
          </cell>
          <cell r="F19125" t="str">
            <v>M250201C1</v>
          </cell>
          <cell r="J19125">
            <v>45810</v>
          </cell>
          <cell r="K19125">
            <v>4</v>
          </cell>
        </row>
        <row r="19126">
          <cell r="C19126" t="str">
            <v>鄭貫中</v>
          </cell>
          <cell r="F19126" t="str">
            <v>K250501R1</v>
          </cell>
          <cell r="J19126">
            <v>45811</v>
          </cell>
          <cell r="K19126">
            <v>4</v>
          </cell>
        </row>
        <row r="19127">
          <cell r="C19127" t="str">
            <v>鄭貫中</v>
          </cell>
          <cell r="F19127" t="str">
            <v>M250201C1</v>
          </cell>
          <cell r="J19127">
            <v>45811</v>
          </cell>
          <cell r="K19127">
            <v>4</v>
          </cell>
        </row>
        <row r="19128">
          <cell r="C19128" t="str">
            <v>鄭貫中</v>
          </cell>
          <cell r="F19128" t="str">
            <v>M250201C1</v>
          </cell>
          <cell r="J19128">
            <v>45812</v>
          </cell>
          <cell r="K19128">
            <v>8</v>
          </cell>
        </row>
        <row r="19129">
          <cell r="C19129" t="str">
            <v>鄭貫中</v>
          </cell>
          <cell r="J19129">
            <v>45813</v>
          </cell>
          <cell r="K19129">
            <v>1</v>
          </cell>
        </row>
        <row r="19130">
          <cell r="C19130" t="str">
            <v>鄭貫中</v>
          </cell>
          <cell r="F19130" t="str">
            <v>K250501R1</v>
          </cell>
          <cell r="J19130">
            <v>45813</v>
          </cell>
          <cell r="K19130">
            <v>5</v>
          </cell>
        </row>
        <row r="19131">
          <cell r="C19131" t="str">
            <v>鄭貫中</v>
          </cell>
          <cell r="F19131" t="str">
            <v>M250201C1</v>
          </cell>
          <cell r="J19131">
            <v>45813</v>
          </cell>
          <cell r="K19131">
            <v>2</v>
          </cell>
        </row>
        <row r="19132">
          <cell r="C19132" t="str">
            <v>鄭貫中</v>
          </cell>
          <cell r="F19132" t="str">
            <v>K250501R1</v>
          </cell>
          <cell r="J19132">
            <v>45814</v>
          </cell>
          <cell r="K19132">
            <v>3</v>
          </cell>
        </row>
        <row r="19133">
          <cell r="C19133" t="str">
            <v>鄭貫中</v>
          </cell>
          <cell r="F19133" t="str">
            <v>M240703R1</v>
          </cell>
          <cell r="J19133">
            <v>45814</v>
          </cell>
          <cell r="K19133">
            <v>4</v>
          </cell>
        </row>
        <row r="19134">
          <cell r="C19134" t="str">
            <v>鄭貫中</v>
          </cell>
          <cell r="F19134" t="str">
            <v>M250201C1</v>
          </cell>
          <cell r="J19134">
            <v>45814</v>
          </cell>
          <cell r="K19134">
            <v>1</v>
          </cell>
        </row>
        <row r="19135">
          <cell r="C19135" t="str">
            <v>鄭貫中</v>
          </cell>
          <cell r="J19135">
            <v>45817</v>
          </cell>
          <cell r="K19135">
            <v>3</v>
          </cell>
        </row>
        <row r="19136">
          <cell r="C19136" t="str">
            <v>鄭貫中</v>
          </cell>
          <cell r="F19136" t="str">
            <v>K250501R1</v>
          </cell>
          <cell r="J19136">
            <v>45817</v>
          </cell>
          <cell r="K19136">
            <v>4</v>
          </cell>
        </row>
        <row r="19137">
          <cell r="C19137" t="str">
            <v>鄭貫中</v>
          </cell>
          <cell r="F19137" t="str">
            <v>M250201C1</v>
          </cell>
          <cell r="J19137">
            <v>45817</v>
          </cell>
          <cell r="K19137">
            <v>2</v>
          </cell>
        </row>
        <row r="19138">
          <cell r="C19138" t="str">
            <v>鄭貫中</v>
          </cell>
          <cell r="F19138" t="str">
            <v>M240704R1</v>
          </cell>
          <cell r="J19138">
            <v>45818</v>
          </cell>
          <cell r="K19138">
            <v>5</v>
          </cell>
        </row>
        <row r="19139">
          <cell r="C19139" t="str">
            <v>鄭貫中</v>
          </cell>
          <cell r="F19139" t="str">
            <v>M250201C1</v>
          </cell>
          <cell r="J19139">
            <v>45818</v>
          </cell>
          <cell r="K19139">
            <v>1</v>
          </cell>
        </row>
        <row r="19140">
          <cell r="C19140" t="str">
            <v>鄭貫中</v>
          </cell>
          <cell r="F19140" t="str">
            <v>K250501R1</v>
          </cell>
          <cell r="J19140">
            <v>45818</v>
          </cell>
          <cell r="K19140">
            <v>3</v>
          </cell>
        </row>
        <row r="19141">
          <cell r="C19141" t="str">
            <v>鄭貫中</v>
          </cell>
          <cell r="F19141" t="str">
            <v>M240703R1</v>
          </cell>
          <cell r="J19141">
            <v>45819</v>
          </cell>
          <cell r="K19141">
            <v>2</v>
          </cell>
        </row>
        <row r="19142">
          <cell r="C19142" t="str">
            <v>鄭貫中</v>
          </cell>
          <cell r="F19142" t="str">
            <v>M250201C1</v>
          </cell>
          <cell r="J19142">
            <v>45819</v>
          </cell>
          <cell r="K19142">
            <v>5</v>
          </cell>
        </row>
        <row r="19143">
          <cell r="C19143" t="str">
            <v>鄭貫中</v>
          </cell>
          <cell r="F19143" t="str">
            <v>K250501R1</v>
          </cell>
          <cell r="J19143">
            <v>45819</v>
          </cell>
          <cell r="K19143">
            <v>2</v>
          </cell>
        </row>
        <row r="19144">
          <cell r="C19144" t="str">
            <v>鄭貫中</v>
          </cell>
          <cell r="J19144">
            <v>45820</v>
          </cell>
          <cell r="K19144">
            <v>1</v>
          </cell>
        </row>
        <row r="19145">
          <cell r="C19145" t="str">
            <v>鄭貫中</v>
          </cell>
          <cell r="F19145" t="str">
            <v>M250201C1</v>
          </cell>
          <cell r="J19145">
            <v>45820</v>
          </cell>
          <cell r="K19145">
            <v>5</v>
          </cell>
        </row>
        <row r="19146">
          <cell r="C19146" t="str">
            <v>鄭貫中</v>
          </cell>
          <cell r="F19146" t="str">
            <v>K250501R1</v>
          </cell>
          <cell r="J19146">
            <v>45820</v>
          </cell>
          <cell r="K19146">
            <v>3</v>
          </cell>
        </row>
        <row r="19147">
          <cell r="C19147" t="str">
            <v>鄭貫中</v>
          </cell>
          <cell r="F19147" t="str">
            <v>M240703R1</v>
          </cell>
          <cell r="J19147">
            <v>45821</v>
          </cell>
          <cell r="K19147">
            <v>1</v>
          </cell>
        </row>
        <row r="19148">
          <cell r="C19148" t="str">
            <v>鄭貫中</v>
          </cell>
          <cell r="F19148" t="str">
            <v>K250501R1</v>
          </cell>
          <cell r="J19148">
            <v>45821</v>
          </cell>
          <cell r="K19148">
            <v>7</v>
          </cell>
        </row>
        <row r="19149">
          <cell r="C19149" t="str">
            <v>鄭貫中</v>
          </cell>
          <cell r="J19149">
            <v>45824</v>
          </cell>
          <cell r="K19149">
            <v>2</v>
          </cell>
        </row>
        <row r="19150">
          <cell r="C19150" t="str">
            <v>鄭貫中</v>
          </cell>
          <cell r="F19150" t="str">
            <v>M250201C1</v>
          </cell>
          <cell r="J19150">
            <v>45824</v>
          </cell>
          <cell r="K19150">
            <v>1</v>
          </cell>
        </row>
        <row r="19151">
          <cell r="C19151" t="str">
            <v>鄭貫中</v>
          </cell>
          <cell r="F19151" t="str">
            <v>K250501R1</v>
          </cell>
          <cell r="J19151">
            <v>45824</v>
          </cell>
          <cell r="K19151">
            <v>6</v>
          </cell>
        </row>
        <row r="19152">
          <cell r="C19152" t="str">
            <v>鄭貫中</v>
          </cell>
          <cell r="F19152" t="str">
            <v>K250501R1</v>
          </cell>
          <cell r="J19152">
            <v>45825</v>
          </cell>
          <cell r="K19152">
            <v>5</v>
          </cell>
        </row>
        <row r="19153">
          <cell r="C19153" t="str">
            <v>鄭貫中</v>
          </cell>
          <cell r="F19153" t="str">
            <v>D250101R1</v>
          </cell>
          <cell r="J19153">
            <v>45825</v>
          </cell>
          <cell r="K19153">
            <v>3</v>
          </cell>
        </row>
        <row r="19154">
          <cell r="C19154" t="str">
            <v>鄭貫中</v>
          </cell>
          <cell r="J19154">
            <v>45826</v>
          </cell>
          <cell r="K19154">
            <v>2</v>
          </cell>
        </row>
        <row r="19155">
          <cell r="C19155" t="str">
            <v>鄭貫中</v>
          </cell>
          <cell r="F19155" t="str">
            <v>M250201C1</v>
          </cell>
          <cell r="J19155">
            <v>45826</v>
          </cell>
          <cell r="K19155">
            <v>6</v>
          </cell>
        </row>
        <row r="19156">
          <cell r="C19156" t="str">
            <v>鄭貫中</v>
          </cell>
          <cell r="J19156">
            <v>45827</v>
          </cell>
          <cell r="K19156">
            <v>2</v>
          </cell>
        </row>
        <row r="19157">
          <cell r="C19157" t="str">
            <v>鄭貫中</v>
          </cell>
          <cell r="J19157">
            <v>45827</v>
          </cell>
          <cell r="K19157">
            <v>1.5</v>
          </cell>
        </row>
        <row r="19158">
          <cell r="C19158" t="str">
            <v>鄭貫中</v>
          </cell>
          <cell r="F19158" t="str">
            <v>M240703R1</v>
          </cell>
          <cell r="J19158">
            <v>45827</v>
          </cell>
          <cell r="K19158">
            <v>1.5</v>
          </cell>
        </row>
        <row r="19159">
          <cell r="C19159" t="str">
            <v>鄭貫中</v>
          </cell>
          <cell r="F19159" t="str">
            <v>K250501R1</v>
          </cell>
          <cell r="J19159">
            <v>45827</v>
          </cell>
          <cell r="K19159">
            <v>3</v>
          </cell>
        </row>
        <row r="19160">
          <cell r="C19160" t="str">
            <v>鄭貫中</v>
          </cell>
          <cell r="J19160">
            <v>45828</v>
          </cell>
          <cell r="K19160">
            <v>2</v>
          </cell>
        </row>
        <row r="19161">
          <cell r="C19161" t="str">
            <v>鄭貫中</v>
          </cell>
          <cell r="J19161">
            <v>45828</v>
          </cell>
          <cell r="K19161">
            <v>1</v>
          </cell>
        </row>
        <row r="19162">
          <cell r="C19162" t="str">
            <v>鄭貫中</v>
          </cell>
          <cell r="F19162" t="str">
            <v>M250201C1</v>
          </cell>
          <cell r="J19162">
            <v>45828</v>
          </cell>
          <cell r="K19162">
            <v>6</v>
          </cell>
        </row>
        <row r="19163">
          <cell r="C19163" t="str">
            <v>鄭貫中</v>
          </cell>
          <cell r="J19163">
            <v>45831</v>
          </cell>
          <cell r="K19163">
            <v>2</v>
          </cell>
        </row>
        <row r="19164">
          <cell r="C19164" t="str">
            <v>鄭貫中</v>
          </cell>
          <cell r="J19164">
            <v>45831</v>
          </cell>
          <cell r="K19164">
            <v>3.5</v>
          </cell>
        </row>
        <row r="19165">
          <cell r="C19165" t="str">
            <v>鄭貫中</v>
          </cell>
          <cell r="F19165" t="str">
            <v>M250201C1</v>
          </cell>
          <cell r="J19165">
            <v>45831</v>
          </cell>
          <cell r="K19165">
            <v>3.5</v>
          </cell>
        </row>
        <row r="19166">
          <cell r="C19166" t="str">
            <v>鄭貫中</v>
          </cell>
          <cell r="F19166" t="str">
            <v>M240703R1</v>
          </cell>
          <cell r="J19166">
            <v>45832</v>
          </cell>
          <cell r="K19166">
            <v>2</v>
          </cell>
        </row>
        <row r="19167">
          <cell r="C19167" t="str">
            <v>鄭貫中</v>
          </cell>
          <cell r="F19167" t="str">
            <v>M250201C1</v>
          </cell>
          <cell r="J19167">
            <v>45832</v>
          </cell>
          <cell r="K19167">
            <v>5</v>
          </cell>
        </row>
        <row r="19168">
          <cell r="C19168" t="str">
            <v>鄭貫中</v>
          </cell>
          <cell r="F19168" t="str">
            <v>D250101R1</v>
          </cell>
          <cell r="J19168">
            <v>45832</v>
          </cell>
          <cell r="K19168">
            <v>1</v>
          </cell>
        </row>
        <row r="19169">
          <cell r="C19169" t="str">
            <v>鄭貫中</v>
          </cell>
          <cell r="F19169" t="str">
            <v>M250201C1</v>
          </cell>
          <cell r="J19169">
            <v>45833</v>
          </cell>
          <cell r="K19169">
            <v>3.5</v>
          </cell>
        </row>
        <row r="19170">
          <cell r="C19170" t="str">
            <v>鄭貫中</v>
          </cell>
          <cell r="F19170" t="str">
            <v>K250501R1</v>
          </cell>
          <cell r="J19170">
            <v>45833</v>
          </cell>
          <cell r="K19170">
            <v>1</v>
          </cell>
        </row>
        <row r="19171">
          <cell r="C19171" t="str">
            <v>鄭貫中</v>
          </cell>
          <cell r="F19171" t="str">
            <v>D250101R1</v>
          </cell>
          <cell r="J19171">
            <v>45833</v>
          </cell>
          <cell r="K19171">
            <v>4.5</v>
          </cell>
        </row>
        <row r="19172">
          <cell r="C19172" t="str">
            <v>鄭貫中</v>
          </cell>
          <cell r="J19172">
            <v>45834</v>
          </cell>
          <cell r="K19172">
            <v>1</v>
          </cell>
        </row>
        <row r="19173">
          <cell r="C19173" t="str">
            <v>鄭貫中</v>
          </cell>
          <cell r="F19173" t="str">
            <v>M240703R1</v>
          </cell>
          <cell r="J19173">
            <v>45834</v>
          </cell>
          <cell r="K19173">
            <v>3</v>
          </cell>
        </row>
        <row r="19174">
          <cell r="C19174" t="str">
            <v>鄭貫中</v>
          </cell>
          <cell r="F19174" t="str">
            <v>M250201C1</v>
          </cell>
          <cell r="J19174">
            <v>45834</v>
          </cell>
          <cell r="K19174">
            <v>5</v>
          </cell>
        </row>
        <row r="19175">
          <cell r="C19175" t="str">
            <v>鄭貫中</v>
          </cell>
          <cell r="F19175" t="str">
            <v>M240703R1</v>
          </cell>
          <cell r="J19175">
            <v>45835</v>
          </cell>
          <cell r="K19175">
            <v>3.5</v>
          </cell>
        </row>
        <row r="19176">
          <cell r="C19176" t="str">
            <v>鄭貫中</v>
          </cell>
          <cell r="F19176" t="str">
            <v>K250501R1</v>
          </cell>
          <cell r="J19176">
            <v>45835</v>
          </cell>
          <cell r="K19176">
            <v>3</v>
          </cell>
        </row>
        <row r="19177">
          <cell r="C19177" t="str">
            <v>鄭貫中</v>
          </cell>
          <cell r="F19177" t="str">
            <v>M250201C1</v>
          </cell>
          <cell r="J19177">
            <v>45835</v>
          </cell>
          <cell r="K19177">
            <v>2</v>
          </cell>
        </row>
        <row r="19178">
          <cell r="C19178" t="str">
            <v>鄭貫中</v>
          </cell>
          <cell r="J19178">
            <v>45838</v>
          </cell>
          <cell r="K19178">
            <v>3.5</v>
          </cell>
        </row>
        <row r="19179">
          <cell r="C19179" t="str">
            <v>鄭貫中</v>
          </cell>
          <cell r="J19179">
            <v>45838</v>
          </cell>
          <cell r="K19179">
            <v>2</v>
          </cell>
        </row>
        <row r="19180">
          <cell r="C19180" t="str">
            <v>鄭貫中</v>
          </cell>
          <cell r="F19180" t="str">
            <v>M250201C1</v>
          </cell>
          <cell r="J19180">
            <v>45838</v>
          </cell>
          <cell r="K19180">
            <v>2</v>
          </cell>
        </row>
        <row r="19181">
          <cell r="C19181" t="str">
            <v>鄭貫中</v>
          </cell>
          <cell r="F19181" t="str">
            <v>D250101R1</v>
          </cell>
          <cell r="J19181">
            <v>45838</v>
          </cell>
          <cell r="K19181">
            <v>2</v>
          </cell>
        </row>
        <row r="19182">
          <cell r="C19182" t="str">
            <v>鄭貫中</v>
          </cell>
          <cell r="J19182">
            <v>45839</v>
          </cell>
          <cell r="K19182">
            <v>1.5</v>
          </cell>
        </row>
        <row r="19183">
          <cell r="C19183" t="str">
            <v>鄭貫中</v>
          </cell>
          <cell r="F19183" t="str">
            <v>K250501R1</v>
          </cell>
          <cell r="J19183">
            <v>45839</v>
          </cell>
          <cell r="K19183">
            <v>2.5</v>
          </cell>
        </row>
        <row r="19184">
          <cell r="C19184" t="str">
            <v>鄭貫中</v>
          </cell>
          <cell r="F19184" t="str">
            <v>M250201C1</v>
          </cell>
          <cell r="J19184">
            <v>45839</v>
          </cell>
          <cell r="K19184">
            <v>4</v>
          </cell>
        </row>
        <row r="19185">
          <cell r="C19185" t="str">
            <v>鄭貫中</v>
          </cell>
          <cell r="F19185" t="str">
            <v>M240703R1</v>
          </cell>
          <cell r="J19185">
            <v>45840</v>
          </cell>
          <cell r="K19185">
            <v>6</v>
          </cell>
        </row>
        <row r="19186">
          <cell r="C19186" t="str">
            <v>鄭貫中</v>
          </cell>
          <cell r="F19186" t="str">
            <v>K250501R1</v>
          </cell>
          <cell r="J19186">
            <v>45840</v>
          </cell>
          <cell r="K19186">
            <v>3</v>
          </cell>
        </row>
        <row r="19187">
          <cell r="C19187" t="str">
            <v>鄭貫中</v>
          </cell>
          <cell r="J19187">
            <v>45841</v>
          </cell>
          <cell r="K19187">
            <v>1</v>
          </cell>
        </row>
        <row r="19188">
          <cell r="C19188" t="str">
            <v>鄭貫中</v>
          </cell>
          <cell r="F19188" t="str">
            <v>M240703R1</v>
          </cell>
          <cell r="J19188">
            <v>45841</v>
          </cell>
          <cell r="K19188">
            <v>3</v>
          </cell>
        </row>
        <row r="19189">
          <cell r="C19189" t="str">
            <v>鄭貫中</v>
          </cell>
          <cell r="F19189" t="str">
            <v>K250501R1</v>
          </cell>
          <cell r="J19189">
            <v>45841</v>
          </cell>
          <cell r="K19189">
            <v>5</v>
          </cell>
        </row>
        <row r="19190">
          <cell r="C19190" t="str">
            <v>鄭貫中</v>
          </cell>
          <cell r="F19190" t="str">
            <v>K250501R1</v>
          </cell>
          <cell r="J19190">
            <v>45842</v>
          </cell>
          <cell r="K19190">
            <v>8</v>
          </cell>
        </row>
        <row r="19191">
          <cell r="C19191" t="str">
            <v>鄭貫中</v>
          </cell>
          <cell r="J19191">
            <v>45845</v>
          </cell>
          <cell r="K19191">
            <v>3.5</v>
          </cell>
        </row>
        <row r="19192">
          <cell r="C19192" t="str">
            <v>鄭貫中</v>
          </cell>
          <cell r="J19192">
            <v>45845</v>
          </cell>
          <cell r="K19192">
            <v>1</v>
          </cell>
        </row>
        <row r="19193">
          <cell r="C19193" t="str">
            <v>鄭貫中</v>
          </cell>
          <cell r="F19193" t="str">
            <v>K250501R1</v>
          </cell>
          <cell r="J19193">
            <v>45845</v>
          </cell>
          <cell r="K19193">
            <v>1</v>
          </cell>
        </row>
        <row r="19194">
          <cell r="C19194" t="str">
            <v>鄭貫中</v>
          </cell>
          <cell r="F19194" t="str">
            <v>M250201C1</v>
          </cell>
          <cell r="J19194">
            <v>45845</v>
          </cell>
          <cell r="K19194">
            <v>4.5</v>
          </cell>
        </row>
        <row r="19195">
          <cell r="C19195" t="str">
            <v>鄭貫中</v>
          </cell>
          <cell r="J19195">
            <v>45846</v>
          </cell>
          <cell r="K19195">
            <v>8</v>
          </cell>
        </row>
        <row r="19196">
          <cell r="C19196" t="str">
            <v>鄭貫中</v>
          </cell>
          <cell r="J19196">
            <v>45847</v>
          </cell>
          <cell r="K19196">
            <v>6</v>
          </cell>
        </row>
        <row r="19197">
          <cell r="C19197" t="str">
            <v>鄭貫中</v>
          </cell>
          <cell r="F19197" t="str">
            <v>K250501R1</v>
          </cell>
          <cell r="J19197">
            <v>45847</v>
          </cell>
          <cell r="K19197">
            <v>2</v>
          </cell>
        </row>
        <row r="19198">
          <cell r="C19198" t="str">
            <v>鄭貫中</v>
          </cell>
          <cell r="J19198">
            <v>45848</v>
          </cell>
          <cell r="K19198">
            <v>1</v>
          </cell>
        </row>
        <row r="19199">
          <cell r="C19199" t="str">
            <v>鄭貫中</v>
          </cell>
          <cell r="J19199">
            <v>45848</v>
          </cell>
          <cell r="K19199">
            <v>3</v>
          </cell>
        </row>
        <row r="19200">
          <cell r="C19200" t="str">
            <v>鄭貫中</v>
          </cell>
          <cell r="F19200" t="str">
            <v>K250501R1</v>
          </cell>
          <cell r="J19200">
            <v>45848</v>
          </cell>
          <cell r="K19200">
            <v>2</v>
          </cell>
        </row>
        <row r="19201">
          <cell r="C19201" t="str">
            <v>鄭貫中</v>
          </cell>
          <cell r="F19201" t="str">
            <v>D250101R1</v>
          </cell>
          <cell r="J19201">
            <v>45848</v>
          </cell>
          <cell r="K19201">
            <v>2</v>
          </cell>
        </row>
        <row r="19202">
          <cell r="C19202" t="str">
            <v>鄭貫中</v>
          </cell>
          <cell r="J19202">
            <v>45849</v>
          </cell>
          <cell r="K19202">
            <v>4.5</v>
          </cell>
        </row>
        <row r="19203">
          <cell r="C19203" t="str">
            <v>鄭貫中</v>
          </cell>
          <cell r="F19203" t="str">
            <v>K250501R1</v>
          </cell>
          <cell r="J19203">
            <v>45849</v>
          </cell>
          <cell r="K19203">
            <v>2</v>
          </cell>
        </row>
        <row r="19204">
          <cell r="C19204" t="str">
            <v>鄭貫中</v>
          </cell>
          <cell r="F19204" t="str">
            <v>M250201C1</v>
          </cell>
          <cell r="J19204">
            <v>45849</v>
          </cell>
          <cell r="K19204">
            <v>1.5</v>
          </cell>
        </row>
        <row r="19205">
          <cell r="C19205" t="str">
            <v>鄭貫中</v>
          </cell>
          <cell r="J19205">
            <v>45852</v>
          </cell>
          <cell r="K19205">
            <v>1</v>
          </cell>
        </row>
        <row r="19206">
          <cell r="C19206" t="str">
            <v>鄭貫中</v>
          </cell>
          <cell r="J19206">
            <v>45852</v>
          </cell>
          <cell r="K19206">
            <v>2.5</v>
          </cell>
        </row>
        <row r="19207">
          <cell r="C19207" t="str">
            <v>鄭貫中</v>
          </cell>
          <cell r="F19207" t="str">
            <v>K250501R1</v>
          </cell>
          <cell r="J19207">
            <v>45852</v>
          </cell>
          <cell r="K19207">
            <v>2</v>
          </cell>
        </row>
        <row r="19208">
          <cell r="C19208" t="str">
            <v>鄭貫中</v>
          </cell>
          <cell r="F19208" t="str">
            <v>M240704R1</v>
          </cell>
          <cell r="J19208">
            <v>45852</v>
          </cell>
          <cell r="K19208">
            <v>3</v>
          </cell>
        </row>
        <row r="19209">
          <cell r="C19209" t="str">
            <v>鄭貫中</v>
          </cell>
          <cell r="J19209">
            <v>45853</v>
          </cell>
          <cell r="K19209">
            <v>3.5</v>
          </cell>
        </row>
        <row r="19210">
          <cell r="C19210" t="str">
            <v>鄭貫中</v>
          </cell>
          <cell r="F19210" t="str">
            <v>M240703R1</v>
          </cell>
          <cell r="J19210">
            <v>45853</v>
          </cell>
          <cell r="K19210">
            <v>2</v>
          </cell>
        </row>
        <row r="19211">
          <cell r="C19211" t="str">
            <v>鄭貫中</v>
          </cell>
          <cell r="F19211" t="str">
            <v>M240704R1</v>
          </cell>
          <cell r="J19211">
            <v>45853</v>
          </cell>
          <cell r="K19211">
            <v>2.5</v>
          </cell>
        </row>
        <row r="19212">
          <cell r="C19212" t="str">
            <v>鄭貫中</v>
          </cell>
          <cell r="J19212">
            <v>45854</v>
          </cell>
          <cell r="K19212">
            <v>5.5</v>
          </cell>
        </row>
        <row r="19213">
          <cell r="C19213" t="str">
            <v>鄭貫中</v>
          </cell>
          <cell r="F19213" t="str">
            <v>M240703R1</v>
          </cell>
          <cell r="J19213">
            <v>45854</v>
          </cell>
          <cell r="K19213">
            <v>3.5</v>
          </cell>
        </row>
        <row r="19214">
          <cell r="C19214" t="str">
            <v>鄭貫中</v>
          </cell>
          <cell r="J19214">
            <v>45855</v>
          </cell>
          <cell r="K19214">
            <v>1</v>
          </cell>
        </row>
        <row r="19215">
          <cell r="C19215" t="str">
            <v>鄭貫中</v>
          </cell>
          <cell r="J19215">
            <v>45855</v>
          </cell>
          <cell r="K19215">
            <v>1</v>
          </cell>
        </row>
        <row r="19216">
          <cell r="C19216" t="str">
            <v>鄭貫中</v>
          </cell>
          <cell r="F19216" t="str">
            <v>K250501R1</v>
          </cell>
          <cell r="J19216">
            <v>45855</v>
          </cell>
          <cell r="K19216">
            <v>3</v>
          </cell>
        </row>
        <row r="19217">
          <cell r="C19217" t="str">
            <v>鄭貫中</v>
          </cell>
          <cell r="F19217" t="str">
            <v>D250101R1</v>
          </cell>
          <cell r="J19217">
            <v>45855</v>
          </cell>
          <cell r="K19217">
            <v>3</v>
          </cell>
        </row>
        <row r="19218">
          <cell r="C19218" t="str">
            <v>鄭貫中</v>
          </cell>
          <cell r="F19218" t="str">
            <v>M240703R1</v>
          </cell>
          <cell r="J19218">
            <v>45856</v>
          </cell>
          <cell r="K19218">
            <v>6</v>
          </cell>
        </row>
        <row r="19219">
          <cell r="C19219" t="str">
            <v>鄭貫中</v>
          </cell>
          <cell r="F19219" t="str">
            <v>D250101R1</v>
          </cell>
          <cell r="J19219">
            <v>45856</v>
          </cell>
          <cell r="K19219">
            <v>2</v>
          </cell>
        </row>
        <row r="19220">
          <cell r="C19220" t="str">
            <v>鄭貫中</v>
          </cell>
          <cell r="J19220">
            <v>45859</v>
          </cell>
          <cell r="K19220">
            <v>1</v>
          </cell>
        </row>
        <row r="19221">
          <cell r="C19221" t="str">
            <v>鄭貫中</v>
          </cell>
          <cell r="F19221" t="str">
            <v>K250501R1</v>
          </cell>
          <cell r="J19221">
            <v>45859</v>
          </cell>
          <cell r="K19221">
            <v>4</v>
          </cell>
        </row>
        <row r="19222">
          <cell r="C19222" t="str">
            <v>鄭貫中</v>
          </cell>
          <cell r="F19222" t="str">
            <v>M250201C1</v>
          </cell>
          <cell r="J19222">
            <v>45859</v>
          </cell>
          <cell r="K19222">
            <v>4</v>
          </cell>
        </row>
        <row r="19223">
          <cell r="C19223" t="str">
            <v>鄭貫中</v>
          </cell>
          <cell r="J19223">
            <v>45860</v>
          </cell>
          <cell r="K19223">
            <v>2</v>
          </cell>
        </row>
        <row r="19224">
          <cell r="C19224" t="str">
            <v>鄭貫中</v>
          </cell>
          <cell r="F19224" t="str">
            <v>K250501R1</v>
          </cell>
          <cell r="J19224">
            <v>45860</v>
          </cell>
          <cell r="K19224">
            <v>3</v>
          </cell>
        </row>
        <row r="19225">
          <cell r="C19225" t="str">
            <v>鄭貫中</v>
          </cell>
          <cell r="F19225" t="str">
            <v>M240703R1</v>
          </cell>
          <cell r="J19225">
            <v>45860</v>
          </cell>
          <cell r="K19225">
            <v>1</v>
          </cell>
        </row>
        <row r="19226">
          <cell r="C19226" t="str">
            <v>鄭貫中</v>
          </cell>
          <cell r="F19226" t="str">
            <v>D250101R1</v>
          </cell>
          <cell r="J19226">
            <v>45860</v>
          </cell>
          <cell r="K19226">
            <v>2</v>
          </cell>
        </row>
        <row r="19227">
          <cell r="C19227" t="str">
            <v>鄭貫中</v>
          </cell>
          <cell r="J19227">
            <v>45861</v>
          </cell>
          <cell r="K19227">
            <v>1.5</v>
          </cell>
        </row>
        <row r="19228">
          <cell r="C19228" t="str">
            <v>鄭貫中</v>
          </cell>
          <cell r="F19228" t="str">
            <v>M240703R1</v>
          </cell>
          <cell r="J19228">
            <v>45861</v>
          </cell>
          <cell r="K19228">
            <v>7.5</v>
          </cell>
        </row>
        <row r="19229">
          <cell r="C19229" t="str">
            <v>鄭貫中</v>
          </cell>
          <cell r="J19229">
            <v>45862</v>
          </cell>
          <cell r="K19229">
            <v>2</v>
          </cell>
        </row>
        <row r="19230">
          <cell r="C19230" t="str">
            <v>鄭貫中</v>
          </cell>
          <cell r="J19230">
            <v>45862</v>
          </cell>
          <cell r="K19230">
            <v>2</v>
          </cell>
        </row>
        <row r="19231">
          <cell r="C19231" t="str">
            <v>鄭貫中</v>
          </cell>
          <cell r="F19231" t="str">
            <v>K250501R1</v>
          </cell>
          <cell r="J19231">
            <v>45862</v>
          </cell>
          <cell r="K19231">
            <v>2.5</v>
          </cell>
        </row>
        <row r="19232">
          <cell r="C19232" t="str">
            <v>鄭貫中</v>
          </cell>
          <cell r="F19232" t="str">
            <v>M240703R1</v>
          </cell>
          <cell r="J19232">
            <v>45862</v>
          </cell>
          <cell r="K19232">
            <v>2</v>
          </cell>
        </row>
        <row r="19233">
          <cell r="C19233" t="str">
            <v>鄭貫中</v>
          </cell>
          <cell r="J19233">
            <v>45863</v>
          </cell>
          <cell r="K19233">
            <v>3</v>
          </cell>
        </row>
        <row r="19234">
          <cell r="C19234" t="str">
            <v>鄭貫中</v>
          </cell>
          <cell r="F19234" t="str">
            <v>K250501R1</v>
          </cell>
          <cell r="J19234">
            <v>45863</v>
          </cell>
          <cell r="K19234">
            <v>4.5</v>
          </cell>
        </row>
        <row r="19235">
          <cell r="C19235" t="str">
            <v>鄭貫中</v>
          </cell>
          <cell r="F19235" t="str">
            <v>K250501R1</v>
          </cell>
          <cell r="J19235">
            <v>45863</v>
          </cell>
          <cell r="K19235">
            <v>1.5</v>
          </cell>
        </row>
        <row r="19236">
          <cell r="C19236" t="str">
            <v>鄭貫中</v>
          </cell>
          <cell r="J19236">
            <v>45866</v>
          </cell>
          <cell r="K19236">
            <v>2</v>
          </cell>
        </row>
        <row r="19237">
          <cell r="C19237" t="str">
            <v>鄭貫中</v>
          </cell>
          <cell r="F19237" t="str">
            <v>M240703R1</v>
          </cell>
          <cell r="J19237">
            <v>45866</v>
          </cell>
          <cell r="K19237">
            <v>2</v>
          </cell>
        </row>
        <row r="19238">
          <cell r="C19238" t="str">
            <v>鄭貫中</v>
          </cell>
          <cell r="F19238" t="str">
            <v>K250501R1</v>
          </cell>
          <cell r="J19238">
            <v>45866</v>
          </cell>
          <cell r="K19238">
            <v>2</v>
          </cell>
        </row>
        <row r="19239">
          <cell r="C19239" t="str">
            <v>鄭貫中</v>
          </cell>
          <cell r="F19239" t="str">
            <v>M250201C1</v>
          </cell>
          <cell r="J19239">
            <v>45866</v>
          </cell>
          <cell r="K19239">
            <v>2</v>
          </cell>
        </row>
        <row r="19240">
          <cell r="C19240" t="str">
            <v>鄭貫中</v>
          </cell>
          <cell r="F19240" t="str">
            <v>K250501R1</v>
          </cell>
          <cell r="J19240">
            <v>45867</v>
          </cell>
          <cell r="K19240">
            <v>2</v>
          </cell>
        </row>
        <row r="19241">
          <cell r="C19241" t="str">
            <v>鄭貫中</v>
          </cell>
          <cell r="F19241" t="str">
            <v>M240703R1</v>
          </cell>
          <cell r="J19241">
            <v>45867</v>
          </cell>
          <cell r="K19241">
            <v>3.5</v>
          </cell>
        </row>
        <row r="19242">
          <cell r="C19242" t="str">
            <v>鄭貫中</v>
          </cell>
          <cell r="F19242" t="str">
            <v>M250201C1</v>
          </cell>
          <cell r="J19242">
            <v>45867</v>
          </cell>
          <cell r="K19242">
            <v>2.5</v>
          </cell>
        </row>
        <row r="19243">
          <cell r="C19243" t="str">
            <v>鄭貫中</v>
          </cell>
          <cell r="J19243">
            <v>45868</v>
          </cell>
          <cell r="K19243">
            <v>2</v>
          </cell>
        </row>
        <row r="19244">
          <cell r="C19244" t="str">
            <v>鄭貫中</v>
          </cell>
          <cell r="J19244">
            <v>45868</v>
          </cell>
          <cell r="K19244">
            <v>1</v>
          </cell>
        </row>
        <row r="19245">
          <cell r="C19245" t="str">
            <v>鄭貫中</v>
          </cell>
          <cell r="F19245" t="str">
            <v>K250501R1</v>
          </cell>
          <cell r="J19245">
            <v>45868</v>
          </cell>
          <cell r="K19245">
            <v>2</v>
          </cell>
        </row>
        <row r="19246">
          <cell r="C19246" t="str">
            <v>鄭貫中</v>
          </cell>
          <cell r="F19246" t="str">
            <v>M250201C1</v>
          </cell>
          <cell r="J19246">
            <v>45868</v>
          </cell>
          <cell r="K19246">
            <v>4</v>
          </cell>
        </row>
        <row r="19247">
          <cell r="C19247" t="str">
            <v>鄭貫中</v>
          </cell>
          <cell r="J19247">
            <v>45869</v>
          </cell>
          <cell r="K19247">
            <v>1</v>
          </cell>
        </row>
        <row r="19248">
          <cell r="C19248" t="str">
            <v>鄭貫中</v>
          </cell>
          <cell r="J19248">
            <v>45869</v>
          </cell>
          <cell r="K19248">
            <v>1.5</v>
          </cell>
        </row>
        <row r="19249">
          <cell r="C19249" t="str">
            <v>鄭貫中</v>
          </cell>
          <cell r="F19249" t="str">
            <v>K250501R1</v>
          </cell>
          <cell r="J19249">
            <v>45869</v>
          </cell>
          <cell r="K19249">
            <v>1.5</v>
          </cell>
        </row>
        <row r="19250">
          <cell r="C19250" t="str">
            <v>鄭貫中</v>
          </cell>
          <cell r="F19250" t="str">
            <v>M250201C1</v>
          </cell>
          <cell r="J19250">
            <v>45869</v>
          </cell>
          <cell r="K19250">
            <v>4.5</v>
          </cell>
        </row>
        <row r="19251">
          <cell r="C19251" t="str">
            <v>鄭貫中</v>
          </cell>
          <cell r="J19251">
            <v>45870</v>
          </cell>
          <cell r="K19251">
            <v>2</v>
          </cell>
        </row>
        <row r="19252">
          <cell r="C19252" t="str">
            <v>鄭貫中</v>
          </cell>
          <cell r="F19252" t="str">
            <v>K250501R1</v>
          </cell>
          <cell r="J19252">
            <v>45870</v>
          </cell>
          <cell r="K19252">
            <v>2</v>
          </cell>
        </row>
        <row r="19253">
          <cell r="C19253" t="str">
            <v>鄭貫中</v>
          </cell>
          <cell r="F19253" t="str">
            <v>M250201C1</v>
          </cell>
          <cell r="J19253">
            <v>45870</v>
          </cell>
          <cell r="K19253">
            <v>4</v>
          </cell>
        </row>
        <row r="19254">
          <cell r="C19254" t="str">
            <v>鄭貫中</v>
          </cell>
          <cell r="J19254">
            <v>45873</v>
          </cell>
          <cell r="K19254">
            <v>1</v>
          </cell>
        </row>
        <row r="19255">
          <cell r="C19255" t="str">
            <v>鄭貫中</v>
          </cell>
          <cell r="J19255">
            <v>45873</v>
          </cell>
          <cell r="K19255">
            <v>2.5</v>
          </cell>
        </row>
        <row r="19256">
          <cell r="C19256" t="str">
            <v>鄭貫中</v>
          </cell>
          <cell r="F19256" t="str">
            <v>K250501R1</v>
          </cell>
          <cell r="J19256">
            <v>45873</v>
          </cell>
          <cell r="K19256">
            <v>4.5</v>
          </cell>
        </row>
        <row r="19257">
          <cell r="C19257" t="str">
            <v>鄭貫中</v>
          </cell>
          <cell r="F19257" t="str">
            <v>K250501R1</v>
          </cell>
          <cell r="J19257">
            <v>45874</v>
          </cell>
          <cell r="K19257">
            <v>6</v>
          </cell>
        </row>
        <row r="19258">
          <cell r="C19258" t="str">
            <v>鄭貫中</v>
          </cell>
          <cell r="F19258" t="str">
            <v>M240703R1</v>
          </cell>
          <cell r="J19258">
            <v>45874</v>
          </cell>
          <cell r="K19258">
            <v>2</v>
          </cell>
        </row>
        <row r="19259">
          <cell r="C19259" t="str">
            <v>鄭貫中</v>
          </cell>
          <cell r="F19259" t="str">
            <v>K250501R1</v>
          </cell>
          <cell r="J19259">
            <v>45875</v>
          </cell>
          <cell r="K19259">
            <v>8</v>
          </cell>
        </row>
        <row r="19260">
          <cell r="C19260" t="str">
            <v>鄭貫中</v>
          </cell>
          <cell r="J19260">
            <v>45876</v>
          </cell>
          <cell r="K19260">
            <v>4</v>
          </cell>
        </row>
        <row r="19261">
          <cell r="C19261" t="str">
            <v>鄭貫中</v>
          </cell>
          <cell r="J19261">
            <v>45876</v>
          </cell>
          <cell r="K19261">
            <v>1</v>
          </cell>
        </row>
        <row r="19262">
          <cell r="C19262" t="str">
            <v>鄭貫中</v>
          </cell>
          <cell r="F19262" t="str">
            <v>K250501R1</v>
          </cell>
          <cell r="J19262">
            <v>45876</v>
          </cell>
          <cell r="K19262">
            <v>3</v>
          </cell>
        </row>
        <row r="19263">
          <cell r="C19263" t="str">
            <v>鄭貫中</v>
          </cell>
          <cell r="J19263">
            <v>45877</v>
          </cell>
          <cell r="K19263">
            <v>8</v>
          </cell>
        </row>
        <row r="19264">
          <cell r="C19264" t="str">
            <v>鄭貫中</v>
          </cell>
          <cell r="J19264">
            <v>45880</v>
          </cell>
          <cell r="K19264">
            <v>2</v>
          </cell>
        </row>
        <row r="19265">
          <cell r="C19265" t="str">
            <v>鄭貫中</v>
          </cell>
          <cell r="F19265" t="str">
            <v>M240703R1</v>
          </cell>
          <cell r="J19265">
            <v>45880</v>
          </cell>
          <cell r="K19265">
            <v>2</v>
          </cell>
        </row>
        <row r="19266">
          <cell r="C19266" t="str">
            <v>鄭貫中</v>
          </cell>
          <cell r="F19266" t="str">
            <v>M250201C1</v>
          </cell>
          <cell r="J19266">
            <v>45880</v>
          </cell>
          <cell r="K19266">
            <v>1.5</v>
          </cell>
        </row>
        <row r="19267">
          <cell r="C19267" t="str">
            <v>鄭貫中</v>
          </cell>
          <cell r="F19267" t="str">
            <v>K250501R1</v>
          </cell>
          <cell r="J19267">
            <v>45880</v>
          </cell>
          <cell r="K19267">
            <v>3.5</v>
          </cell>
        </row>
        <row r="19268">
          <cell r="C19268" t="str">
            <v>鄭貫中</v>
          </cell>
          <cell r="J19268">
            <v>45881</v>
          </cell>
          <cell r="K19268">
            <v>3</v>
          </cell>
        </row>
        <row r="19269">
          <cell r="C19269" t="str">
            <v>鄭貫中</v>
          </cell>
          <cell r="F19269" t="str">
            <v>M240703R1</v>
          </cell>
          <cell r="J19269">
            <v>45881</v>
          </cell>
          <cell r="K19269">
            <v>2</v>
          </cell>
        </row>
        <row r="19270">
          <cell r="C19270" t="str">
            <v>鄭貫中</v>
          </cell>
          <cell r="F19270" t="str">
            <v>M250201C1</v>
          </cell>
          <cell r="J19270">
            <v>45881</v>
          </cell>
          <cell r="K19270">
            <v>1.5</v>
          </cell>
        </row>
        <row r="19271">
          <cell r="C19271" t="str">
            <v>鄭貫中</v>
          </cell>
          <cell r="F19271" t="str">
            <v>D250101R1</v>
          </cell>
          <cell r="J19271">
            <v>45881</v>
          </cell>
          <cell r="K19271">
            <v>1.5</v>
          </cell>
        </row>
        <row r="19272">
          <cell r="C19272" t="str">
            <v>鄭貫中</v>
          </cell>
          <cell r="J19272">
            <v>45882</v>
          </cell>
          <cell r="K19272">
            <v>3</v>
          </cell>
        </row>
        <row r="19273">
          <cell r="C19273" t="str">
            <v>鄭貫中</v>
          </cell>
          <cell r="F19273" t="str">
            <v>M240703R1</v>
          </cell>
          <cell r="J19273">
            <v>45882</v>
          </cell>
          <cell r="K19273">
            <v>4.5</v>
          </cell>
        </row>
        <row r="19274">
          <cell r="C19274" t="str">
            <v>鄭貫中</v>
          </cell>
          <cell r="F19274" t="str">
            <v>M240703R1</v>
          </cell>
          <cell r="J19274">
            <v>45882</v>
          </cell>
          <cell r="K19274">
            <v>1</v>
          </cell>
        </row>
        <row r="19275">
          <cell r="C19275" t="str">
            <v>鄭貫中</v>
          </cell>
          <cell r="F19275" t="str">
            <v>D250101R1</v>
          </cell>
          <cell r="J19275">
            <v>45882</v>
          </cell>
          <cell r="K19275">
            <v>2.5</v>
          </cell>
        </row>
        <row r="19276">
          <cell r="C19276" t="str">
            <v>鄭貫中</v>
          </cell>
          <cell r="F19276" t="str">
            <v>M250201C1</v>
          </cell>
          <cell r="J19276">
            <v>45882</v>
          </cell>
          <cell r="K19276">
            <v>2</v>
          </cell>
        </row>
        <row r="19277">
          <cell r="C19277" t="str">
            <v>鄭貫中</v>
          </cell>
          <cell r="J19277">
            <v>45883</v>
          </cell>
          <cell r="K19277">
            <v>1</v>
          </cell>
        </row>
        <row r="19278">
          <cell r="C19278" t="str">
            <v>鄭貫中</v>
          </cell>
          <cell r="J19278">
            <v>45883</v>
          </cell>
          <cell r="K19278">
            <v>2.5</v>
          </cell>
        </row>
        <row r="19279">
          <cell r="C19279" t="str">
            <v>鄭貫中</v>
          </cell>
          <cell r="F19279" t="str">
            <v>K250501R1</v>
          </cell>
          <cell r="J19279">
            <v>45883</v>
          </cell>
          <cell r="K19279">
            <v>3</v>
          </cell>
        </row>
        <row r="19280">
          <cell r="C19280" t="str">
            <v>鄭貫中</v>
          </cell>
          <cell r="F19280" t="str">
            <v>M250201C1</v>
          </cell>
          <cell r="J19280">
            <v>45883</v>
          </cell>
          <cell r="K19280">
            <v>1.5</v>
          </cell>
        </row>
        <row r="19281">
          <cell r="C19281" t="str">
            <v>鄭貫中</v>
          </cell>
          <cell r="F19281" t="str">
            <v>M250201C1</v>
          </cell>
          <cell r="J19281">
            <v>45884</v>
          </cell>
          <cell r="K19281">
            <v>3.5</v>
          </cell>
        </row>
        <row r="19282">
          <cell r="C19282" t="str">
            <v>鄭貫中</v>
          </cell>
          <cell r="J19282">
            <v>45887</v>
          </cell>
          <cell r="K19282">
            <v>2.5</v>
          </cell>
        </row>
        <row r="19283">
          <cell r="C19283" t="str">
            <v>鄭貫中</v>
          </cell>
          <cell r="J19283">
            <v>45887</v>
          </cell>
          <cell r="K19283">
            <v>1.5</v>
          </cell>
        </row>
        <row r="19284">
          <cell r="C19284" t="str">
            <v>鄭貫中</v>
          </cell>
          <cell r="F19284" t="str">
            <v>D250101R1</v>
          </cell>
          <cell r="J19284">
            <v>45887</v>
          </cell>
          <cell r="K19284">
            <v>1</v>
          </cell>
        </row>
        <row r="19285">
          <cell r="C19285" t="str">
            <v>鄭貫中</v>
          </cell>
          <cell r="F19285" t="str">
            <v>M250201C1</v>
          </cell>
          <cell r="J19285">
            <v>45887</v>
          </cell>
          <cell r="K19285">
            <v>3</v>
          </cell>
        </row>
        <row r="19286">
          <cell r="C19286" t="str">
            <v>鄭貫中</v>
          </cell>
          <cell r="J19286">
            <v>45888</v>
          </cell>
          <cell r="K19286">
            <v>2</v>
          </cell>
        </row>
        <row r="19287">
          <cell r="C19287" t="str">
            <v>鄭貫中</v>
          </cell>
          <cell r="J19287">
            <v>45888</v>
          </cell>
          <cell r="K19287">
            <v>1</v>
          </cell>
        </row>
        <row r="19288">
          <cell r="C19288" t="str">
            <v>鄭貫中</v>
          </cell>
          <cell r="F19288" t="str">
            <v>M250201C1</v>
          </cell>
          <cell r="J19288">
            <v>45888</v>
          </cell>
          <cell r="K19288">
            <v>2</v>
          </cell>
        </row>
        <row r="19289">
          <cell r="C19289" t="str">
            <v>鄭貫中</v>
          </cell>
          <cell r="F19289" t="str">
            <v>M250201C1</v>
          </cell>
          <cell r="J19289">
            <v>45888</v>
          </cell>
          <cell r="K19289">
            <v>3.5</v>
          </cell>
        </row>
        <row r="19290">
          <cell r="C19290" t="str">
            <v>鄭貫中</v>
          </cell>
          <cell r="F19290" t="str">
            <v>M240703R1</v>
          </cell>
          <cell r="J19290">
            <v>45889</v>
          </cell>
          <cell r="K19290">
            <v>3</v>
          </cell>
        </row>
        <row r="19291">
          <cell r="C19291" t="str">
            <v>鄭貫中</v>
          </cell>
          <cell r="F19291" t="str">
            <v>M250201C1</v>
          </cell>
          <cell r="J19291">
            <v>45889</v>
          </cell>
          <cell r="K19291">
            <v>6</v>
          </cell>
        </row>
        <row r="19292">
          <cell r="C19292" t="str">
            <v>鄭貫中</v>
          </cell>
          <cell r="J19292">
            <v>45890</v>
          </cell>
          <cell r="K19292">
            <v>1</v>
          </cell>
        </row>
        <row r="19293">
          <cell r="C19293" t="str">
            <v>鄭貫中</v>
          </cell>
          <cell r="J19293">
            <v>45890</v>
          </cell>
          <cell r="K19293">
            <v>1.5</v>
          </cell>
        </row>
        <row r="19294">
          <cell r="C19294" t="str">
            <v>鄭貫中</v>
          </cell>
          <cell r="F19294" t="str">
            <v>M240703R1</v>
          </cell>
          <cell r="J19294">
            <v>45890</v>
          </cell>
          <cell r="K19294">
            <v>3</v>
          </cell>
        </row>
        <row r="19295">
          <cell r="C19295" t="str">
            <v>鄭貫中</v>
          </cell>
          <cell r="F19295" t="str">
            <v>M250201C1</v>
          </cell>
          <cell r="J19295">
            <v>45890</v>
          </cell>
          <cell r="K19295">
            <v>3</v>
          </cell>
        </row>
        <row r="19296">
          <cell r="C19296" t="str">
            <v>鄭貫中</v>
          </cell>
          <cell r="F19296" t="str">
            <v>M240703R1</v>
          </cell>
          <cell r="J19296">
            <v>45891</v>
          </cell>
          <cell r="K19296">
            <v>3</v>
          </cell>
        </row>
        <row r="19297">
          <cell r="C19297" t="str">
            <v>鄭貫中</v>
          </cell>
          <cell r="F19297" t="str">
            <v>K250501R1</v>
          </cell>
          <cell r="J19297">
            <v>45891</v>
          </cell>
          <cell r="K19297">
            <v>2.5</v>
          </cell>
        </row>
        <row r="19298">
          <cell r="C19298" t="str">
            <v>鄭貫中</v>
          </cell>
          <cell r="F19298" t="str">
            <v>M250201C1</v>
          </cell>
          <cell r="J19298">
            <v>45891</v>
          </cell>
          <cell r="K19298">
            <v>3</v>
          </cell>
        </row>
        <row r="19299">
          <cell r="C19299" t="str">
            <v>鄭貫中</v>
          </cell>
          <cell r="J19299">
            <v>45894</v>
          </cell>
          <cell r="K19299">
            <v>1</v>
          </cell>
        </row>
        <row r="19300">
          <cell r="C19300" t="str">
            <v>鄭貫中</v>
          </cell>
          <cell r="J19300">
            <v>45894</v>
          </cell>
          <cell r="K19300">
            <v>3</v>
          </cell>
        </row>
        <row r="19301">
          <cell r="C19301" t="str">
            <v>鄭貫中</v>
          </cell>
          <cell r="F19301" t="str">
            <v>M250201C1</v>
          </cell>
          <cell r="J19301">
            <v>45894</v>
          </cell>
          <cell r="K19301">
            <v>3.5</v>
          </cell>
        </row>
        <row r="19302">
          <cell r="C19302" t="str">
            <v>鄭貫中</v>
          </cell>
          <cell r="F19302" t="str">
            <v>D250101R1</v>
          </cell>
          <cell r="J19302">
            <v>45894</v>
          </cell>
          <cell r="K19302">
            <v>1</v>
          </cell>
        </row>
        <row r="19303">
          <cell r="C19303" t="str">
            <v>鄭貫中</v>
          </cell>
          <cell r="J19303">
            <v>45895</v>
          </cell>
          <cell r="K19303">
            <v>2</v>
          </cell>
        </row>
        <row r="19304">
          <cell r="C19304" t="str">
            <v>鄭貫中</v>
          </cell>
          <cell r="F19304" t="str">
            <v>M250201C1</v>
          </cell>
          <cell r="J19304">
            <v>45895</v>
          </cell>
          <cell r="K19304">
            <v>4</v>
          </cell>
        </row>
        <row r="19305">
          <cell r="C19305" t="str">
            <v>鄭貫中</v>
          </cell>
          <cell r="F19305" t="str">
            <v>M240703R1</v>
          </cell>
          <cell r="J19305">
            <v>45895</v>
          </cell>
          <cell r="K19305">
            <v>2</v>
          </cell>
        </row>
        <row r="19306">
          <cell r="C19306" t="str">
            <v>鄭貫中</v>
          </cell>
          <cell r="J19306">
            <v>45896</v>
          </cell>
          <cell r="K19306">
            <v>5</v>
          </cell>
        </row>
        <row r="19307">
          <cell r="C19307" t="str">
            <v>鄭貫中</v>
          </cell>
          <cell r="F19307" t="str">
            <v>M240703R1</v>
          </cell>
          <cell r="J19307">
            <v>45896</v>
          </cell>
          <cell r="K19307">
            <v>4.5</v>
          </cell>
        </row>
        <row r="19308">
          <cell r="C19308" t="str">
            <v>鄭貫中</v>
          </cell>
          <cell r="J19308">
            <v>45897</v>
          </cell>
          <cell r="K19308">
            <v>3</v>
          </cell>
        </row>
        <row r="19309">
          <cell r="C19309" t="str">
            <v>鄭貫中</v>
          </cell>
          <cell r="J19309">
            <v>45897</v>
          </cell>
          <cell r="K19309">
            <v>1</v>
          </cell>
        </row>
        <row r="19310">
          <cell r="C19310" t="str">
            <v>鄭貫中</v>
          </cell>
          <cell r="F19310" t="str">
            <v>M240703R1</v>
          </cell>
          <cell r="J19310">
            <v>45897</v>
          </cell>
          <cell r="K19310">
            <v>4.5</v>
          </cell>
        </row>
        <row r="19311">
          <cell r="C19311" t="str">
            <v>鄭貫中</v>
          </cell>
          <cell r="J19311">
            <v>45898</v>
          </cell>
          <cell r="K19311">
            <v>3</v>
          </cell>
        </row>
        <row r="19312">
          <cell r="C19312" t="str">
            <v>鄭貫中</v>
          </cell>
          <cell r="F19312" t="str">
            <v>M240703R1</v>
          </cell>
          <cell r="J19312">
            <v>45898</v>
          </cell>
          <cell r="K19312">
            <v>4.5</v>
          </cell>
        </row>
        <row r="19313">
          <cell r="C19313" t="str">
            <v>鄭貫中</v>
          </cell>
          <cell r="F19313" t="str">
            <v>K250501R1</v>
          </cell>
          <cell r="J19313">
            <v>45898</v>
          </cell>
          <cell r="K19313">
            <v>1</v>
          </cell>
        </row>
        <row r="19314">
          <cell r="C19314" t="str">
            <v>鄭貫中</v>
          </cell>
          <cell r="J19314">
            <v>45901</v>
          </cell>
          <cell r="K19314">
            <v>2.5</v>
          </cell>
        </row>
        <row r="19315">
          <cell r="C19315" t="str">
            <v>鄭貫中</v>
          </cell>
          <cell r="F19315" t="str">
            <v>M250201C1</v>
          </cell>
          <cell r="J19315">
            <v>45901</v>
          </cell>
          <cell r="K19315">
            <v>3</v>
          </cell>
        </row>
        <row r="19316">
          <cell r="C19316" t="str">
            <v>鄭貫中</v>
          </cell>
          <cell r="F19316" t="str">
            <v>K250501R1</v>
          </cell>
          <cell r="J19316">
            <v>45901</v>
          </cell>
          <cell r="K19316">
            <v>2.5</v>
          </cell>
        </row>
        <row r="19317">
          <cell r="C19317" t="str">
            <v>鄭貫中</v>
          </cell>
          <cell r="F19317" t="str">
            <v>D250101R1</v>
          </cell>
          <cell r="J19317">
            <v>45901</v>
          </cell>
          <cell r="K19317">
            <v>0.5</v>
          </cell>
        </row>
        <row r="19318">
          <cell r="C19318" t="str">
            <v>鄭貫中</v>
          </cell>
          <cell r="F19318" t="str">
            <v>M250201C1</v>
          </cell>
          <cell r="J19318">
            <v>45902</v>
          </cell>
          <cell r="K19318">
            <v>8.5</v>
          </cell>
        </row>
        <row r="19319">
          <cell r="C19319" t="str">
            <v>鄭貫中</v>
          </cell>
          <cell r="J19319">
            <v>45903</v>
          </cell>
          <cell r="K19319">
            <v>5.5</v>
          </cell>
        </row>
        <row r="19320">
          <cell r="C19320" t="str">
            <v>鄭貫中</v>
          </cell>
          <cell r="F19320" t="str">
            <v>M250201C1</v>
          </cell>
          <cell r="J19320">
            <v>45903</v>
          </cell>
          <cell r="K19320">
            <v>3.5</v>
          </cell>
        </row>
        <row r="19321">
          <cell r="C19321" t="str">
            <v>鄭貫中</v>
          </cell>
          <cell r="J19321">
            <v>45904</v>
          </cell>
          <cell r="K19321">
            <v>3.5</v>
          </cell>
        </row>
        <row r="19322">
          <cell r="C19322" t="str">
            <v>鄭貫中</v>
          </cell>
          <cell r="J19322">
            <v>45904</v>
          </cell>
          <cell r="K19322">
            <v>1</v>
          </cell>
        </row>
        <row r="19323">
          <cell r="C19323" t="str">
            <v>鄭貫中</v>
          </cell>
          <cell r="F19323" t="str">
            <v>K250501R1</v>
          </cell>
          <cell r="J19323">
            <v>45904</v>
          </cell>
          <cell r="K19323">
            <v>1.5</v>
          </cell>
        </row>
        <row r="19324">
          <cell r="C19324" t="str">
            <v>鄭貫中</v>
          </cell>
          <cell r="F19324" t="str">
            <v>M250201C1</v>
          </cell>
          <cell r="J19324">
            <v>45904</v>
          </cell>
          <cell r="K19324">
            <v>2.5</v>
          </cell>
        </row>
        <row r="19325">
          <cell r="C19325" t="str">
            <v>鄭貫中</v>
          </cell>
          <cell r="J19325">
            <v>45905</v>
          </cell>
          <cell r="K19325">
            <v>5</v>
          </cell>
        </row>
        <row r="19326">
          <cell r="C19326" t="str">
            <v>鄭貫中</v>
          </cell>
          <cell r="F19326" t="str">
            <v>M250201C1</v>
          </cell>
          <cell r="J19326">
            <v>45905</v>
          </cell>
          <cell r="K19326">
            <v>3.5</v>
          </cell>
        </row>
        <row r="19327">
          <cell r="C19327" t="str">
            <v>鄭貫中</v>
          </cell>
          <cell r="J19327">
            <v>45908</v>
          </cell>
          <cell r="K19327">
            <v>1.5</v>
          </cell>
        </row>
        <row r="19328">
          <cell r="C19328" t="str">
            <v>鄭貫中</v>
          </cell>
          <cell r="J19328">
            <v>45908</v>
          </cell>
          <cell r="K19328">
            <v>1</v>
          </cell>
        </row>
        <row r="19329">
          <cell r="C19329" t="str">
            <v>鄭貫中</v>
          </cell>
          <cell r="F19329" t="str">
            <v>M240703R1</v>
          </cell>
          <cell r="J19329">
            <v>45908</v>
          </cell>
          <cell r="K19329">
            <v>4</v>
          </cell>
        </row>
        <row r="19330">
          <cell r="C19330" t="str">
            <v>鄭貫中</v>
          </cell>
          <cell r="F19330" t="str">
            <v>M250201C1</v>
          </cell>
          <cell r="J19330">
            <v>45908</v>
          </cell>
          <cell r="K19330">
            <v>2</v>
          </cell>
        </row>
        <row r="19331">
          <cell r="C19331" t="str">
            <v>鄭貫中</v>
          </cell>
          <cell r="J19331">
            <v>45909</v>
          </cell>
          <cell r="K19331">
            <v>1</v>
          </cell>
        </row>
        <row r="19332">
          <cell r="C19332" t="str">
            <v>鄭貫中</v>
          </cell>
          <cell r="F19332" t="str">
            <v>M240703R1</v>
          </cell>
          <cell r="J19332">
            <v>45909</v>
          </cell>
          <cell r="K19332">
            <v>6.5</v>
          </cell>
        </row>
        <row r="19333">
          <cell r="C19333" t="str">
            <v>鄭貫中</v>
          </cell>
          <cell r="F19333" t="str">
            <v>M250201C1</v>
          </cell>
          <cell r="J19333">
            <v>45909</v>
          </cell>
          <cell r="K19333">
            <v>2</v>
          </cell>
        </row>
        <row r="19334">
          <cell r="C19334" t="str">
            <v>鄭貫中</v>
          </cell>
          <cell r="J19334">
            <v>45910</v>
          </cell>
          <cell r="K19334">
            <v>6</v>
          </cell>
        </row>
        <row r="19335">
          <cell r="C19335" t="str">
            <v>鄭貫中</v>
          </cell>
          <cell r="J19335">
            <v>45910</v>
          </cell>
          <cell r="K19335">
            <v>1</v>
          </cell>
        </row>
        <row r="19336">
          <cell r="C19336" t="str">
            <v>鄭貫中</v>
          </cell>
          <cell r="F19336" t="str">
            <v>M250201C1</v>
          </cell>
          <cell r="J19336">
            <v>45910</v>
          </cell>
          <cell r="K19336">
            <v>2</v>
          </cell>
        </row>
        <row r="19337">
          <cell r="C19337" t="str">
            <v>鄭貫中</v>
          </cell>
          <cell r="J19337">
            <v>45911</v>
          </cell>
          <cell r="K19337">
            <v>6.5</v>
          </cell>
        </row>
        <row r="19338">
          <cell r="C19338" t="str">
            <v>鄭貫中</v>
          </cell>
          <cell r="F19338" t="str">
            <v>M250201C1</v>
          </cell>
          <cell r="J19338">
            <v>45911</v>
          </cell>
          <cell r="K19338">
            <v>2.5</v>
          </cell>
        </row>
        <row r="19339">
          <cell r="C19339" t="str">
            <v>鄭貫中</v>
          </cell>
          <cell r="J19339">
            <v>45912</v>
          </cell>
          <cell r="K19339">
            <v>2</v>
          </cell>
        </row>
        <row r="19340">
          <cell r="C19340" t="str">
            <v>鄭貫中</v>
          </cell>
          <cell r="J19340">
            <v>45912</v>
          </cell>
          <cell r="K19340">
            <v>5</v>
          </cell>
        </row>
        <row r="19341">
          <cell r="C19341" t="str">
            <v>鄭貫中</v>
          </cell>
          <cell r="F19341" t="str">
            <v>M240703R1</v>
          </cell>
          <cell r="J19341">
            <v>45912</v>
          </cell>
          <cell r="K19341">
            <v>1.5</v>
          </cell>
        </row>
        <row r="19342">
          <cell r="C19342" t="str">
            <v>鄭貫中</v>
          </cell>
          <cell r="J19342">
            <v>45915</v>
          </cell>
          <cell r="K19342">
            <v>6</v>
          </cell>
        </row>
        <row r="19343">
          <cell r="C19343" t="str">
            <v>鄭貫中</v>
          </cell>
          <cell r="J19343">
            <v>45915</v>
          </cell>
          <cell r="K19343">
            <v>1.5</v>
          </cell>
        </row>
        <row r="19344">
          <cell r="C19344" t="str">
            <v>鄭貫中</v>
          </cell>
          <cell r="F19344" t="str">
            <v>M250201C1</v>
          </cell>
          <cell r="J19344">
            <v>45915</v>
          </cell>
          <cell r="K19344">
            <v>2</v>
          </cell>
        </row>
        <row r="19345">
          <cell r="C19345" t="str">
            <v>鄭貫中</v>
          </cell>
          <cell r="J19345">
            <v>45916</v>
          </cell>
          <cell r="K19345">
            <v>4</v>
          </cell>
        </row>
        <row r="19346">
          <cell r="C19346" t="str">
            <v>鄭貫中</v>
          </cell>
          <cell r="J19346">
            <v>45916</v>
          </cell>
          <cell r="K19346">
            <v>2</v>
          </cell>
        </row>
        <row r="19347">
          <cell r="C19347" t="str">
            <v>鄭貫中</v>
          </cell>
          <cell r="F19347" t="str">
            <v>M240703R1</v>
          </cell>
          <cell r="J19347">
            <v>45916</v>
          </cell>
          <cell r="K19347">
            <v>2</v>
          </cell>
        </row>
        <row r="19348">
          <cell r="C19348" t="str">
            <v>鄭貫中</v>
          </cell>
          <cell r="J19348">
            <v>45917</v>
          </cell>
          <cell r="K19348">
            <v>4</v>
          </cell>
        </row>
        <row r="19349">
          <cell r="C19349" t="str">
            <v>鄭貫中</v>
          </cell>
          <cell r="F19349" t="str">
            <v>K250501R1</v>
          </cell>
          <cell r="J19349">
            <v>45917</v>
          </cell>
          <cell r="K19349">
            <v>3</v>
          </cell>
        </row>
        <row r="19350">
          <cell r="C19350" t="str">
            <v>鄭貫中</v>
          </cell>
          <cell r="F19350" t="str">
            <v>M250201C1</v>
          </cell>
          <cell r="J19350">
            <v>45917</v>
          </cell>
          <cell r="K19350">
            <v>2</v>
          </cell>
        </row>
        <row r="19351">
          <cell r="C19351" t="str">
            <v>鄭貫中</v>
          </cell>
          <cell r="J19351">
            <v>45918</v>
          </cell>
          <cell r="K19351">
            <v>1</v>
          </cell>
        </row>
        <row r="19352">
          <cell r="C19352" t="str">
            <v>鄭貫中</v>
          </cell>
          <cell r="F19352" t="str">
            <v>M240703R1</v>
          </cell>
          <cell r="J19352">
            <v>45918</v>
          </cell>
          <cell r="K19352">
            <v>2.5</v>
          </cell>
        </row>
        <row r="19353">
          <cell r="C19353" t="str">
            <v>鄭貫中</v>
          </cell>
          <cell r="F19353" t="str">
            <v>M250201C1</v>
          </cell>
          <cell r="J19353">
            <v>45918</v>
          </cell>
          <cell r="K19353">
            <v>4.5</v>
          </cell>
        </row>
        <row r="19354">
          <cell r="C19354" t="str">
            <v>鄭貫中</v>
          </cell>
          <cell r="J19354">
            <v>45919</v>
          </cell>
          <cell r="K19354">
            <v>7</v>
          </cell>
        </row>
        <row r="19355">
          <cell r="C19355" t="str">
            <v>鄭貫中</v>
          </cell>
          <cell r="F19355" t="str">
            <v>M250201C1</v>
          </cell>
          <cell r="J19355">
            <v>45919</v>
          </cell>
          <cell r="K19355">
            <v>2</v>
          </cell>
        </row>
        <row r="19356">
          <cell r="C19356" t="str">
            <v>鄭貫中</v>
          </cell>
          <cell r="J19356">
            <v>45922</v>
          </cell>
          <cell r="K19356">
            <v>4.5</v>
          </cell>
        </row>
        <row r="19357">
          <cell r="C19357" t="str">
            <v>鄭貫中</v>
          </cell>
          <cell r="J19357">
            <v>45922</v>
          </cell>
          <cell r="K19357">
            <v>1.5</v>
          </cell>
        </row>
        <row r="19358">
          <cell r="C19358" t="str">
            <v>鄭貫中</v>
          </cell>
          <cell r="F19358" t="str">
            <v>M250201C1</v>
          </cell>
          <cell r="J19358">
            <v>45922</v>
          </cell>
          <cell r="K19358">
            <v>2</v>
          </cell>
        </row>
        <row r="19359">
          <cell r="C19359" t="str">
            <v>鄭貫中</v>
          </cell>
          <cell r="J19359">
            <v>45923</v>
          </cell>
          <cell r="K19359">
            <v>4</v>
          </cell>
        </row>
        <row r="19360">
          <cell r="C19360" t="str">
            <v>鄭貫中</v>
          </cell>
          <cell r="F19360" t="str">
            <v>M250201C1</v>
          </cell>
          <cell r="J19360">
            <v>45923</v>
          </cell>
          <cell r="K19360">
            <v>2.5</v>
          </cell>
        </row>
        <row r="19361">
          <cell r="C19361" t="str">
            <v>鄭貫中</v>
          </cell>
          <cell r="F19361" t="str">
            <v>M250201C1</v>
          </cell>
          <cell r="J19361">
            <v>45923</v>
          </cell>
          <cell r="K19361">
            <v>2.5</v>
          </cell>
        </row>
        <row r="19362">
          <cell r="C19362" t="str">
            <v>鄭貫中</v>
          </cell>
          <cell r="J19362">
            <v>45924</v>
          </cell>
          <cell r="K19362">
            <v>1</v>
          </cell>
        </row>
        <row r="19363">
          <cell r="C19363" t="str">
            <v>鄭貫中</v>
          </cell>
          <cell r="F19363" t="str">
            <v>M250201C1</v>
          </cell>
          <cell r="J19363">
            <v>45924</v>
          </cell>
          <cell r="K19363">
            <v>3.5</v>
          </cell>
        </row>
        <row r="19364">
          <cell r="C19364" t="str">
            <v>鄭貫中</v>
          </cell>
          <cell r="F19364" t="str">
            <v>K250501R1</v>
          </cell>
          <cell r="J19364">
            <v>45924</v>
          </cell>
          <cell r="K19364">
            <v>2.5</v>
          </cell>
        </row>
        <row r="19365">
          <cell r="C19365" t="str">
            <v>鄭貫中</v>
          </cell>
          <cell r="F19365" t="str">
            <v>M250201C1</v>
          </cell>
          <cell r="J19365">
            <v>45924</v>
          </cell>
          <cell r="K19365">
            <v>1</v>
          </cell>
        </row>
        <row r="19366">
          <cell r="C19366" t="str">
            <v>鄭貫中</v>
          </cell>
          <cell r="J19366">
            <v>45925</v>
          </cell>
          <cell r="K19366">
            <v>1.5</v>
          </cell>
        </row>
        <row r="19367">
          <cell r="C19367" t="str">
            <v>鄭貫中</v>
          </cell>
          <cell r="J19367">
            <v>45925</v>
          </cell>
          <cell r="K19367">
            <v>0.5</v>
          </cell>
        </row>
        <row r="19368">
          <cell r="C19368" t="str">
            <v>鄭貫中</v>
          </cell>
          <cell r="F19368" t="str">
            <v>M240703R1</v>
          </cell>
          <cell r="J19368">
            <v>45925</v>
          </cell>
          <cell r="K19368">
            <v>2.5</v>
          </cell>
        </row>
        <row r="19369">
          <cell r="C19369" t="str">
            <v>鄭貫中</v>
          </cell>
          <cell r="F19369" t="str">
            <v>M250201C1</v>
          </cell>
          <cell r="J19369">
            <v>45925</v>
          </cell>
          <cell r="K19369">
            <v>2.5</v>
          </cell>
        </row>
        <row r="19370">
          <cell r="C19370" t="str">
            <v>鄭貫中</v>
          </cell>
          <cell r="F19370" t="str">
            <v>M250201C1</v>
          </cell>
          <cell r="J19370">
            <v>45925</v>
          </cell>
          <cell r="K19370">
            <v>2</v>
          </cell>
        </row>
        <row r="19371">
          <cell r="C19371" t="str">
            <v>鄭貫中</v>
          </cell>
          <cell r="J19371">
            <v>45926</v>
          </cell>
          <cell r="K19371">
            <v>1</v>
          </cell>
        </row>
        <row r="19372">
          <cell r="C19372" t="str">
            <v>鄭貫中</v>
          </cell>
          <cell r="F19372" t="str">
            <v>M250201C1</v>
          </cell>
          <cell r="J19372">
            <v>45926</v>
          </cell>
          <cell r="K19372">
            <v>5</v>
          </cell>
        </row>
        <row r="19373">
          <cell r="C19373" t="str">
            <v>鄭貫中</v>
          </cell>
          <cell r="F19373" t="str">
            <v>M250201C1</v>
          </cell>
          <cell r="J19373">
            <v>45926</v>
          </cell>
          <cell r="K19373">
            <v>3.5</v>
          </cell>
        </row>
        <row r="19374">
          <cell r="C19374" t="str">
            <v>鄭貫中</v>
          </cell>
          <cell r="J19374">
            <v>45929</v>
          </cell>
          <cell r="K19374">
            <v>8</v>
          </cell>
        </row>
        <row r="19375">
          <cell r="C19375" t="str">
            <v>鄭貫中</v>
          </cell>
          <cell r="J19375">
            <v>45930</v>
          </cell>
          <cell r="K19375">
            <v>1.5</v>
          </cell>
        </row>
        <row r="19376">
          <cell r="C19376" t="str">
            <v>鄭貫中</v>
          </cell>
          <cell r="F19376" t="str">
            <v>M250201C1</v>
          </cell>
          <cell r="J19376">
            <v>45930</v>
          </cell>
          <cell r="K19376">
            <v>6.5</v>
          </cell>
        </row>
        <row r="19377">
          <cell r="C19377" t="str">
            <v>鄭貫中</v>
          </cell>
          <cell r="J19377">
            <v>45931</v>
          </cell>
          <cell r="K19377">
            <v>2</v>
          </cell>
        </row>
        <row r="19378">
          <cell r="C19378" t="str">
            <v>鄭貫中</v>
          </cell>
          <cell r="F19378" t="str">
            <v>D250101R1</v>
          </cell>
          <cell r="J19378">
            <v>45931</v>
          </cell>
          <cell r="K19378">
            <v>1.5</v>
          </cell>
        </row>
        <row r="19379">
          <cell r="C19379" t="str">
            <v>鄭貫中</v>
          </cell>
          <cell r="F19379" t="str">
            <v>M250201C1</v>
          </cell>
          <cell r="J19379">
            <v>45931</v>
          </cell>
          <cell r="K19379">
            <v>5.5</v>
          </cell>
        </row>
        <row r="19380">
          <cell r="C19380" t="str">
            <v>鄭貫中</v>
          </cell>
          <cell r="J19380">
            <v>45932</v>
          </cell>
          <cell r="K19380">
            <v>4</v>
          </cell>
        </row>
        <row r="19381">
          <cell r="C19381" t="str">
            <v>鄭貫中</v>
          </cell>
          <cell r="F19381" t="str">
            <v>D250101R1</v>
          </cell>
          <cell r="J19381">
            <v>45932</v>
          </cell>
          <cell r="K19381">
            <v>1.5</v>
          </cell>
        </row>
        <row r="19382">
          <cell r="C19382" t="str">
            <v>鄭貫中</v>
          </cell>
          <cell r="F19382" t="str">
            <v>M250201C1</v>
          </cell>
          <cell r="J19382">
            <v>45932</v>
          </cell>
          <cell r="K19382">
            <v>4</v>
          </cell>
        </row>
        <row r="19383">
          <cell r="C19383" t="str">
            <v>鄭貫中</v>
          </cell>
          <cell r="J19383">
            <v>45933</v>
          </cell>
          <cell r="K19383">
            <v>1</v>
          </cell>
        </row>
        <row r="19384">
          <cell r="C19384" t="str">
            <v>鄭貫中</v>
          </cell>
          <cell r="J19384">
            <v>45933</v>
          </cell>
          <cell r="K19384">
            <v>4</v>
          </cell>
        </row>
        <row r="19385">
          <cell r="C19385" t="str">
            <v>鄭貫中</v>
          </cell>
          <cell r="F19385" t="str">
            <v>M250201C1</v>
          </cell>
          <cell r="J19385">
            <v>45933</v>
          </cell>
          <cell r="K19385">
            <v>3</v>
          </cell>
        </row>
        <row r="19386">
          <cell r="C19386" t="str">
            <v>鄭貫中</v>
          </cell>
          <cell r="J19386">
            <v>45936</v>
          </cell>
          <cell r="K19386">
            <v>8</v>
          </cell>
        </row>
        <row r="19387">
          <cell r="C19387" t="str">
            <v>鄭貫中</v>
          </cell>
          <cell r="J19387">
            <v>45937</v>
          </cell>
          <cell r="K19387">
            <v>2.5</v>
          </cell>
        </row>
        <row r="19388">
          <cell r="C19388" t="str">
            <v>鄭貫中</v>
          </cell>
          <cell r="F19388" t="str">
            <v>M250201C1</v>
          </cell>
          <cell r="J19388">
            <v>45937</v>
          </cell>
          <cell r="K19388">
            <v>2.5</v>
          </cell>
        </row>
        <row r="19389">
          <cell r="C19389" t="str">
            <v>鄭貫中</v>
          </cell>
          <cell r="F19389" t="str">
            <v>K250501R1</v>
          </cell>
          <cell r="J19389">
            <v>45937</v>
          </cell>
          <cell r="K19389">
            <v>3</v>
          </cell>
        </row>
        <row r="19390">
          <cell r="C19390" t="str">
            <v>鄭貫中</v>
          </cell>
          <cell r="F19390" t="str">
            <v>M250201C1</v>
          </cell>
          <cell r="J19390">
            <v>45938</v>
          </cell>
          <cell r="K19390">
            <v>8.5</v>
          </cell>
        </row>
        <row r="19391">
          <cell r="C19391" t="str">
            <v>鄭貫中</v>
          </cell>
          <cell r="F19391" t="str">
            <v>M240703R1</v>
          </cell>
          <cell r="J19391">
            <v>45939</v>
          </cell>
          <cell r="K19391">
            <v>3</v>
          </cell>
        </row>
        <row r="19392">
          <cell r="C19392" t="str">
            <v>鄭貫中</v>
          </cell>
          <cell r="F19392" t="str">
            <v>D250101R1</v>
          </cell>
          <cell r="J19392">
            <v>45939</v>
          </cell>
          <cell r="K19392">
            <v>1.5</v>
          </cell>
        </row>
        <row r="19393">
          <cell r="C19393" t="str">
            <v>鄭貫中</v>
          </cell>
          <cell r="F19393" t="str">
            <v>M250201C1</v>
          </cell>
          <cell r="J19393">
            <v>45939</v>
          </cell>
          <cell r="K19393">
            <v>4</v>
          </cell>
        </row>
        <row r="19394">
          <cell r="C19394" t="str">
            <v>鄭貫中</v>
          </cell>
          <cell r="J19394">
            <v>45940</v>
          </cell>
          <cell r="K19394">
            <v>8</v>
          </cell>
        </row>
        <row r="19395">
          <cell r="C19395" t="str">
            <v>鄭貫中</v>
          </cell>
          <cell r="J19395">
            <v>45943</v>
          </cell>
          <cell r="K19395">
            <v>2</v>
          </cell>
        </row>
        <row r="19396">
          <cell r="C19396" t="str">
            <v>鄭貫中</v>
          </cell>
          <cell r="F19396" t="str">
            <v>M240703R1</v>
          </cell>
          <cell r="J19396">
            <v>45943</v>
          </cell>
          <cell r="K19396">
            <v>3</v>
          </cell>
        </row>
        <row r="19397">
          <cell r="C19397" t="str">
            <v>鄭貫中</v>
          </cell>
          <cell r="F19397" t="str">
            <v>D250101R1</v>
          </cell>
          <cell r="J19397">
            <v>45943</v>
          </cell>
          <cell r="K19397">
            <v>1</v>
          </cell>
        </row>
        <row r="19398">
          <cell r="C19398" t="str">
            <v>鄭貫中</v>
          </cell>
          <cell r="F19398" t="str">
            <v>K250501R1</v>
          </cell>
          <cell r="J19398">
            <v>45943</v>
          </cell>
          <cell r="K19398">
            <v>0.5</v>
          </cell>
        </row>
        <row r="19399">
          <cell r="C19399" t="str">
            <v>鄭貫中</v>
          </cell>
          <cell r="F19399" t="str">
            <v>K201002P2</v>
          </cell>
          <cell r="J19399">
            <v>45943</v>
          </cell>
          <cell r="K19399">
            <v>1.5</v>
          </cell>
        </row>
        <row r="19400">
          <cell r="C19400" t="str">
            <v>鄭貫中</v>
          </cell>
          <cell r="F19400" t="str">
            <v>M240703R1</v>
          </cell>
          <cell r="J19400">
            <v>45944</v>
          </cell>
          <cell r="K19400">
            <v>3</v>
          </cell>
        </row>
        <row r="19401">
          <cell r="C19401" t="str">
            <v>鄭貫中</v>
          </cell>
          <cell r="F19401" t="str">
            <v>M240703R1</v>
          </cell>
          <cell r="J19401">
            <v>45944</v>
          </cell>
          <cell r="K19401">
            <v>5.5</v>
          </cell>
        </row>
        <row r="19402">
          <cell r="C19402" t="str">
            <v>鄭貫中</v>
          </cell>
          <cell r="F19402" t="str">
            <v>M250201C1</v>
          </cell>
          <cell r="J19402">
            <v>45944</v>
          </cell>
          <cell r="K19402">
            <v>1.5</v>
          </cell>
        </row>
        <row r="19403">
          <cell r="C19403" t="str">
            <v>鄭貫中</v>
          </cell>
          <cell r="F19403" t="str">
            <v>M240703R1</v>
          </cell>
          <cell r="J19403">
            <v>45945</v>
          </cell>
          <cell r="K19403">
            <v>4</v>
          </cell>
        </row>
        <row r="19404">
          <cell r="C19404" t="str">
            <v>鄭貫中</v>
          </cell>
          <cell r="F19404" t="str">
            <v>K250501R1</v>
          </cell>
          <cell r="J19404">
            <v>45945</v>
          </cell>
          <cell r="K19404">
            <v>2.5</v>
          </cell>
        </row>
        <row r="19405">
          <cell r="C19405" t="str">
            <v>鄭貫中</v>
          </cell>
          <cell r="F19405" t="str">
            <v>M250201C1</v>
          </cell>
          <cell r="J19405">
            <v>45945</v>
          </cell>
          <cell r="K19405">
            <v>2</v>
          </cell>
        </row>
        <row r="19406">
          <cell r="C19406" t="str">
            <v>鄭貫中</v>
          </cell>
          <cell r="J19406">
            <v>45946</v>
          </cell>
          <cell r="K19406">
            <v>1</v>
          </cell>
        </row>
        <row r="19407">
          <cell r="C19407" t="str">
            <v>鄭貫中</v>
          </cell>
          <cell r="F19407" t="str">
            <v>M240703R1</v>
          </cell>
          <cell r="J19407">
            <v>45946</v>
          </cell>
          <cell r="K19407">
            <v>2.5</v>
          </cell>
        </row>
        <row r="19408">
          <cell r="C19408" t="str">
            <v>鄭貫中</v>
          </cell>
          <cell r="F19408" t="str">
            <v>K250501R1</v>
          </cell>
          <cell r="J19408">
            <v>45946</v>
          </cell>
          <cell r="K19408">
            <v>3.5</v>
          </cell>
        </row>
        <row r="19409">
          <cell r="C19409" t="str">
            <v>鄭貫中</v>
          </cell>
          <cell r="F19409" t="str">
            <v>M250201C1</v>
          </cell>
          <cell r="J19409">
            <v>45946</v>
          </cell>
          <cell r="K19409">
            <v>2</v>
          </cell>
        </row>
        <row r="19410">
          <cell r="C19410" t="str">
            <v>鄭貫中</v>
          </cell>
          <cell r="F19410" t="str">
            <v>M240703R1</v>
          </cell>
          <cell r="J19410">
            <v>45947</v>
          </cell>
          <cell r="K19410">
            <v>3</v>
          </cell>
        </row>
        <row r="19411">
          <cell r="C19411" t="str">
            <v>鄭貫中</v>
          </cell>
          <cell r="F19411" t="str">
            <v>K250501R1</v>
          </cell>
          <cell r="J19411">
            <v>45947</v>
          </cell>
          <cell r="K19411">
            <v>3.5</v>
          </cell>
        </row>
        <row r="19412">
          <cell r="C19412" t="str">
            <v>鄭貫中</v>
          </cell>
          <cell r="F19412" t="str">
            <v>M250201C1</v>
          </cell>
          <cell r="J19412">
            <v>45947</v>
          </cell>
          <cell r="K19412">
            <v>1.5</v>
          </cell>
        </row>
        <row r="19413">
          <cell r="C19413" t="str">
            <v>鄭貫中</v>
          </cell>
          <cell r="J19413">
            <v>45950</v>
          </cell>
          <cell r="K19413">
            <v>2</v>
          </cell>
        </row>
        <row r="19414">
          <cell r="C19414" t="str">
            <v>鄭貫中</v>
          </cell>
          <cell r="J19414">
            <v>45950</v>
          </cell>
          <cell r="K19414">
            <v>1</v>
          </cell>
        </row>
        <row r="19415">
          <cell r="C19415" t="str">
            <v>鄭貫中</v>
          </cell>
          <cell r="F19415" t="str">
            <v>M240703R1</v>
          </cell>
          <cell r="J19415">
            <v>45950</v>
          </cell>
          <cell r="K19415">
            <v>2.5</v>
          </cell>
        </row>
        <row r="19416">
          <cell r="C19416" t="str">
            <v>鄭貫中</v>
          </cell>
          <cell r="F19416" t="str">
            <v>K250501R1</v>
          </cell>
          <cell r="J19416">
            <v>45950</v>
          </cell>
          <cell r="K19416">
            <v>3</v>
          </cell>
        </row>
        <row r="19417">
          <cell r="C19417" t="str">
            <v>鄭貫中</v>
          </cell>
          <cell r="J19417">
            <v>45951</v>
          </cell>
          <cell r="K19417">
            <v>8</v>
          </cell>
        </row>
        <row r="19418">
          <cell r="C19418" t="str">
            <v>鄭貫中</v>
          </cell>
          <cell r="J19418">
            <v>45952</v>
          </cell>
          <cell r="K19418">
            <v>2</v>
          </cell>
        </row>
        <row r="19419">
          <cell r="C19419" t="str">
            <v>鄭貫中</v>
          </cell>
          <cell r="F19419" t="str">
            <v>K250501R1</v>
          </cell>
          <cell r="J19419">
            <v>45952</v>
          </cell>
          <cell r="K19419">
            <v>4</v>
          </cell>
        </row>
        <row r="19420">
          <cell r="C19420" t="str">
            <v>鄭貫中</v>
          </cell>
          <cell r="F19420" t="str">
            <v>M250201C1</v>
          </cell>
          <cell r="J19420">
            <v>45952</v>
          </cell>
          <cell r="K19420">
            <v>1</v>
          </cell>
        </row>
        <row r="19421">
          <cell r="C19421" t="str">
            <v>鄭貫中</v>
          </cell>
          <cell r="F19421" t="str">
            <v>K201002P2</v>
          </cell>
          <cell r="J19421">
            <v>45952</v>
          </cell>
          <cell r="K19421">
            <v>1.5</v>
          </cell>
        </row>
        <row r="19422">
          <cell r="C19422" t="str">
            <v>鄭貫中</v>
          </cell>
          <cell r="J19422">
            <v>45953</v>
          </cell>
          <cell r="K19422">
            <v>1</v>
          </cell>
        </row>
        <row r="19423">
          <cell r="C19423" t="str">
            <v>鄭貫中</v>
          </cell>
          <cell r="J19423">
            <v>45953</v>
          </cell>
          <cell r="K19423">
            <v>3.5</v>
          </cell>
        </row>
        <row r="19424">
          <cell r="C19424" t="str">
            <v>鄭貫中</v>
          </cell>
          <cell r="F19424" t="str">
            <v>M240703R1</v>
          </cell>
          <cell r="J19424">
            <v>45953</v>
          </cell>
          <cell r="K19424">
            <v>1.5</v>
          </cell>
        </row>
        <row r="19425">
          <cell r="C19425" t="str">
            <v>鄭貫中</v>
          </cell>
          <cell r="F19425" t="str">
            <v>K250501R1</v>
          </cell>
          <cell r="J19425">
            <v>45953</v>
          </cell>
          <cell r="K19425">
            <v>2.5</v>
          </cell>
        </row>
        <row r="19426">
          <cell r="C19426" t="str">
            <v>鄭貫中</v>
          </cell>
          <cell r="J19426">
            <v>45957</v>
          </cell>
          <cell r="K19426">
            <v>1.5</v>
          </cell>
        </row>
        <row r="19427">
          <cell r="C19427" t="str">
            <v>鄭貫中</v>
          </cell>
          <cell r="F19427" t="str">
            <v>M240703R1</v>
          </cell>
          <cell r="J19427">
            <v>45957</v>
          </cell>
          <cell r="K19427">
            <v>3.5</v>
          </cell>
        </row>
        <row r="19428">
          <cell r="C19428" t="str">
            <v>鄭貫中</v>
          </cell>
          <cell r="F19428" t="str">
            <v>K250501R1</v>
          </cell>
          <cell r="J19428">
            <v>45957</v>
          </cell>
          <cell r="K19428">
            <v>3</v>
          </cell>
        </row>
        <row r="19429">
          <cell r="C19429" t="str">
            <v>鄭貫中</v>
          </cell>
          <cell r="F19429" t="str">
            <v>K201002P2</v>
          </cell>
          <cell r="J19429">
            <v>45957</v>
          </cell>
          <cell r="K19429">
            <v>1</v>
          </cell>
        </row>
        <row r="19430">
          <cell r="C19430" t="str">
            <v>鄭貫中</v>
          </cell>
          <cell r="F19430" t="str">
            <v>M240703R1</v>
          </cell>
          <cell r="J19430">
            <v>45958</v>
          </cell>
          <cell r="K19430">
            <v>2</v>
          </cell>
        </row>
        <row r="19431">
          <cell r="C19431" t="str">
            <v>鄭貫中</v>
          </cell>
          <cell r="F19431" t="str">
            <v>K250501R1</v>
          </cell>
          <cell r="J19431">
            <v>45958</v>
          </cell>
          <cell r="K19431">
            <v>4</v>
          </cell>
        </row>
        <row r="19432">
          <cell r="C19432" t="str">
            <v>鄭貫中</v>
          </cell>
          <cell r="F19432" t="str">
            <v>K201002P2</v>
          </cell>
          <cell r="J19432">
            <v>45958</v>
          </cell>
          <cell r="K19432">
            <v>2</v>
          </cell>
        </row>
        <row r="19433">
          <cell r="C19433" t="str">
            <v>鄭貫中</v>
          </cell>
          <cell r="F19433" t="str">
            <v>M240703R1</v>
          </cell>
          <cell r="J19433">
            <v>45959</v>
          </cell>
          <cell r="K19433">
            <v>3.5</v>
          </cell>
        </row>
        <row r="19434">
          <cell r="C19434" t="str">
            <v>鄭貫中</v>
          </cell>
          <cell r="F19434" t="str">
            <v>K250501R1</v>
          </cell>
          <cell r="J19434">
            <v>45959</v>
          </cell>
          <cell r="K19434">
            <v>2</v>
          </cell>
        </row>
        <row r="19435">
          <cell r="C19435" t="str">
            <v>鄭貫中</v>
          </cell>
          <cell r="F19435" t="str">
            <v>M250201C1</v>
          </cell>
          <cell r="J19435">
            <v>45959</v>
          </cell>
          <cell r="K19435">
            <v>2.5</v>
          </cell>
        </row>
        <row r="19436">
          <cell r="C19436" t="str">
            <v>鄭貫中</v>
          </cell>
          <cell r="J19436">
            <v>45960</v>
          </cell>
          <cell r="K19436">
            <v>1.5</v>
          </cell>
        </row>
        <row r="19437">
          <cell r="C19437" t="str">
            <v>鄭貫中</v>
          </cell>
          <cell r="J19437">
            <v>45960</v>
          </cell>
          <cell r="K19437">
            <v>1.5</v>
          </cell>
        </row>
        <row r="19438">
          <cell r="C19438" t="str">
            <v>鄭貫中</v>
          </cell>
          <cell r="F19438" t="str">
            <v>D250101R1</v>
          </cell>
          <cell r="J19438">
            <v>45960</v>
          </cell>
          <cell r="K19438">
            <v>3</v>
          </cell>
        </row>
        <row r="19439">
          <cell r="C19439" t="str">
            <v>鄭貫中</v>
          </cell>
          <cell r="F19439" t="str">
            <v>K201002P2</v>
          </cell>
          <cell r="J19439">
            <v>45960</v>
          </cell>
          <cell r="K19439">
            <v>2</v>
          </cell>
        </row>
        <row r="19440">
          <cell r="C19440" t="str">
            <v>鄭貫中</v>
          </cell>
          <cell r="F19440" t="str">
            <v>M240703R1</v>
          </cell>
          <cell r="J19440">
            <v>45961</v>
          </cell>
          <cell r="K19440">
            <v>5.5</v>
          </cell>
        </row>
        <row r="19441">
          <cell r="C19441" t="str">
            <v>鄭貫中</v>
          </cell>
          <cell r="F19441" t="str">
            <v>K250501R1</v>
          </cell>
          <cell r="J19441">
            <v>45961</v>
          </cell>
          <cell r="K19441">
            <v>0.5</v>
          </cell>
        </row>
        <row r="19442">
          <cell r="C19442" t="str">
            <v>鄭貫中</v>
          </cell>
          <cell r="F19442" t="str">
            <v>M250201C1</v>
          </cell>
          <cell r="J19442">
            <v>45961</v>
          </cell>
          <cell r="K19442">
            <v>2</v>
          </cell>
        </row>
        <row r="19443">
          <cell r="C19443" t="str">
            <v>鄭貫中</v>
          </cell>
          <cell r="F19443" t="str">
            <v>D250101R1</v>
          </cell>
          <cell r="J19443">
            <v>45964</v>
          </cell>
          <cell r="K19443">
            <v>2</v>
          </cell>
        </row>
        <row r="19444">
          <cell r="C19444" t="str">
            <v>鄭貫中</v>
          </cell>
          <cell r="F19444" t="str">
            <v>M250201C1</v>
          </cell>
          <cell r="J19444">
            <v>45964</v>
          </cell>
          <cell r="K19444">
            <v>3.5</v>
          </cell>
        </row>
        <row r="19445">
          <cell r="C19445" t="str">
            <v>鄭貫中</v>
          </cell>
          <cell r="F19445" t="str">
            <v>K201002P2</v>
          </cell>
          <cell r="J19445">
            <v>45964</v>
          </cell>
          <cell r="K19445">
            <v>2.5</v>
          </cell>
        </row>
        <row r="19446">
          <cell r="C19446" t="str">
            <v>鄭貫中</v>
          </cell>
          <cell r="J19446">
            <v>45965</v>
          </cell>
          <cell r="K19446">
            <v>4.5</v>
          </cell>
        </row>
        <row r="19447">
          <cell r="C19447" t="str">
            <v>鄭貫中</v>
          </cell>
          <cell r="J19447">
            <v>45965</v>
          </cell>
          <cell r="K19447">
            <v>1</v>
          </cell>
        </row>
        <row r="19448">
          <cell r="C19448" t="str">
            <v>鄭貫中</v>
          </cell>
          <cell r="F19448" t="str">
            <v>M240703R1</v>
          </cell>
          <cell r="J19448">
            <v>45965</v>
          </cell>
          <cell r="K19448">
            <v>2.5</v>
          </cell>
        </row>
        <row r="19449">
          <cell r="C19449" t="str">
            <v>鄭貫中</v>
          </cell>
          <cell r="F19449" t="str">
            <v>K250501R1</v>
          </cell>
          <cell r="J19449">
            <v>45966</v>
          </cell>
          <cell r="K19449">
            <v>3.5</v>
          </cell>
        </row>
        <row r="19450">
          <cell r="C19450" t="str">
            <v>鄭貫中</v>
          </cell>
          <cell r="F19450" t="str">
            <v>M240703R1</v>
          </cell>
          <cell r="J19450">
            <v>45966</v>
          </cell>
          <cell r="K19450">
            <v>4</v>
          </cell>
        </row>
        <row r="19451">
          <cell r="C19451" t="str">
            <v>鄭貫中</v>
          </cell>
          <cell r="F19451" t="str">
            <v>M250201C1</v>
          </cell>
          <cell r="J19451">
            <v>45966</v>
          </cell>
          <cell r="K19451">
            <v>1</v>
          </cell>
        </row>
        <row r="19452">
          <cell r="C19452" t="str">
            <v>鄭貫中</v>
          </cell>
          <cell r="J19452">
            <v>45967</v>
          </cell>
          <cell r="K19452">
            <v>1</v>
          </cell>
        </row>
        <row r="19453">
          <cell r="C19453" t="str">
            <v>鄭貫中</v>
          </cell>
          <cell r="F19453" t="str">
            <v>K250501R1</v>
          </cell>
          <cell r="J19453">
            <v>45967</v>
          </cell>
          <cell r="K19453">
            <v>4</v>
          </cell>
        </row>
        <row r="19454">
          <cell r="C19454" t="str">
            <v>鄭貫中</v>
          </cell>
          <cell r="F19454" t="str">
            <v>M250201C1</v>
          </cell>
          <cell r="J19454">
            <v>45967</v>
          </cell>
          <cell r="K19454">
            <v>3</v>
          </cell>
        </row>
        <row r="19455">
          <cell r="C19455" t="str">
            <v>鄭貫中</v>
          </cell>
          <cell r="F19455" t="str">
            <v>M240703R1</v>
          </cell>
          <cell r="J19455">
            <v>45968</v>
          </cell>
          <cell r="K19455">
            <v>1.5</v>
          </cell>
        </row>
        <row r="19456">
          <cell r="C19456" t="str">
            <v>鄭貫中</v>
          </cell>
          <cell r="F19456" t="str">
            <v>M250201C1</v>
          </cell>
          <cell r="J19456">
            <v>45968</v>
          </cell>
          <cell r="K19456">
            <v>6.5</v>
          </cell>
        </row>
        <row r="19457">
          <cell r="C19457" t="str">
            <v>鄭貫中</v>
          </cell>
          <cell r="J19457">
            <v>45971</v>
          </cell>
          <cell r="K19457">
            <v>1.5</v>
          </cell>
        </row>
        <row r="19458">
          <cell r="C19458" t="str">
            <v>鄭貫中</v>
          </cell>
          <cell r="F19458" t="str">
            <v>K250501R1</v>
          </cell>
          <cell r="J19458">
            <v>45971</v>
          </cell>
          <cell r="K19458">
            <v>2.5</v>
          </cell>
        </row>
        <row r="19459">
          <cell r="C19459" t="str">
            <v>鄭貫中</v>
          </cell>
          <cell r="F19459" t="str">
            <v>M250201C1</v>
          </cell>
          <cell r="J19459">
            <v>45971</v>
          </cell>
          <cell r="K19459">
            <v>5</v>
          </cell>
        </row>
        <row r="19460">
          <cell r="C19460" t="str">
            <v>鄭貫中</v>
          </cell>
          <cell r="J19460">
            <v>45972</v>
          </cell>
          <cell r="K19460">
            <v>1.5</v>
          </cell>
        </row>
        <row r="19461">
          <cell r="C19461" t="str">
            <v>鄭貫中</v>
          </cell>
          <cell r="F19461" t="str">
            <v>M250201C1</v>
          </cell>
          <cell r="J19461">
            <v>45972</v>
          </cell>
          <cell r="K19461">
            <v>7</v>
          </cell>
        </row>
        <row r="19462">
          <cell r="C19462" t="str">
            <v>鄭貫中</v>
          </cell>
          <cell r="J19462">
            <v>45973</v>
          </cell>
          <cell r="K19462">
            <v>3.5</v>
          </cell>
        </row>
        <row r="19463">
          <cell r="C19463" t="str">
            <v>鄭貫中</v>
          </cell>
          <cell r="F19463" t="str">
            <v>M250201C1</v>
          </cell>
          <cell r="J19463">
            <v>45973</v>
          </cell>
          <cell r="K19463">
            <v>5</v>
          </cell>
        </row>
        <row r="19464">
          <cell r="C19464" t="str">
            <v>鄭貫中</v>
          </cell>
          <cell r="J19464">
            <v>45974</v>
          </cell>
          <cell r="K19464">
            <v>1</v>
          </cell>
        </row>
        <row r="19465">
          <cell r="C19465" t="str">
            <v>鄭貫中</v>
          </cell>
          <cell r="F19465" t="str">
            <v>M240703R1</v>
          </cell>
          <cell r="J19465">
            <v>45974</v>
          </cell>
          <cell r="K19465">
            <v>1</v>
          </cell>
        </row>
        <row r="19466">
          <cell r="C19466" t="str">
            <v>鄭貫中</v>
          </cell>
          <cell r="F19466" t="str">
            <v>M250201C1</v>
          </cell>
          <cell r="J19466">
            <v>45974</v>
          </cell>
          <cell r="K19466">
            <v>6.5</v>
          </cell>
        </row>
        <row r="19467">
          <cell r="C19467" t="str">
            <v>鄭貫中</v>
          </cell>
          <cell r="F19467" t="str">
            <v>K250501R1</v>
          </cell>
          <cell r="J19467">
            <v>45975</v>
          </cell>
          <cell r="K19467">
            <v>5</v>
          </cell>
        </row>
        <row r="19468">
          <cell r="C19468" t="str">
            <v>鄭貫中</v>
          </cell>
          <cell r="F19468" t="str">
            <v>M250201C1</v>
          </cell>
          <cell r="J19468">
            <v>45975</v>
          </cell>
          <cell r="K19468">
            <v>3.5</v>
          </cell>
        </row>
        <row r="19469">
          <cell r="C19469" t="str">
            <v>鄭貫中</v>
          </cell>
          <cell r="F19469" t="str">
            <v>K250501R1</v>
          </cell>
          <cell r="J19469">
            <v>45978</v>
          </cell>
          <cell r="K19469">
            <v>3.5</v>
          </cell>
        </row>
        <row r="19470">
          <cell r="C19470" t="str">
            <v>鄭貫中</v>
          </cell>
          <cell r="F19470" t="str">
            <v>M250201C1</v>
          </cell>
          <cell r="J19470">
            <v>45978</v>
          </cell>
          <cell r="K19470">
            <v>5.5</v>
          </cell>
        </row>
        <row r="19471">
          <cell r="C19471" t="str">
            <v>鄭貫中</v>
          </cell>
          <cell r="F19471" t="str">
            <v>K250501R1</v>
          </cell>
          <cell r="J19471">
            <v>45979</v>
          </cell>
          <cell r="K19471">
            <v>6</v>
          </cell>
        </row>
        <row r="19472">
          <cell r="C19472" t="str">
            <v>鄭貫中</v>
          </cell>
          <cell r="F19472" t="str">
            <v>M250201C1</v>
          </cell>
          <cell r="J19472">
            <v>45979</v>
          </cell>
          <cell r="K19472">
            <v>2</v>
          </cell>
        </row>
        <row r="19473">
          <cell r="C19473" t="str">
            <v>鄭貫中</v>
          </cell>
          <cell r="J19473">
            <v>45980</v>
          </cell>
          <cell r="K19473">
            <v>1</v>
          </cell>
        </row>
        <row r="19474">
          <cell r="C19474" t="str">
            <v>鄭貫中</v>
          </cell>
          <cell r="J19474">
            <v>45980</v>
          </cell>
          <cell r="K19474">
            <v>1</v>
          </cell>
        </row>
        <row r="19475">
          <cell r="C19475" t="str">
            <v>鄭貫中</v>
          </cell>
          <cell r="F19475" t="str">
            <v>K250501R1</v>
          </cell>
          <cell r="J19475">
            <v>45980</v>
          </cell>
          <cell r="K19475">
            <v>5</v>
          </cell>
        </row>
        <row r="19476">
          <cell r="C19476" t="str">
            <v>鄭貫中</v>
          </cell>
          <cell r="F19476" t="str">
            <v>M250201C1</v>
          </cell>
          <cell r="J19476">
            <v>45980</v>
          </cell>
          <cell r="K19476">
            <v>2.5</v>
          </cell>
        </row>
        <row r="19477">
          <cell r="C19477" t="str">
            <v>鄭貫中</v>
          </cell>
          <cell r="J19477">
            <v>45981</v>
          </cell>
          <cell r="K19477">
            <v>2.5</v>
          </cell>
        </row>
        <row r="19478">
          <cell r="C19478" t="str">
            <v>鄭貫中</v>
          </cell>
          <cell r="F19478" t="str">
            <v>K250501R1</v>
          </cell>
          <cell r="J19478">
            <v>45981</v>
          </cell>
          <cell r="K19478">
            <v>5</v>
          </cell>
        </row>
        <row r="19479">
          <cell r="C19479" t="str">
            <v>鄭貫中</v>
          </cell>
          <cell r="F19479" t="str">
            <v>M240703R1</v>
          </cell>
          <cell r="J19479">
            <v>45981</v>
          </cell>
          <cell r="K19479">
            <v>1.5</v>
          </cell>
        </row>
        <row r="19480">
          <cell r="C19480" t="str">
            <v>鄭貫中</v>
          </cell>
          <cell r="F19480" t="str">
            <v>K250501R1</v>
          </cell>
          <cell r="J19480">
            <v>45982</v>
          </cell>
          <cell r="K19480">
            <v>8.5</v>
          </cell>
        </row>
        <row r="19481">
          <cell r="C19481" t="str">
            <v>鄭貫中</v>
          </cell>
          <cell r="J19481">
            <v>45985</v>
          </cell>
          <cell r="K19481">
            <v>1</v>
          </cell>
        </row>
        <row r="19482">
          <cell r="C19482" t="str">
            <v>鄭貫中</v>
          </cell>
          <cell r="F19482" t="str">
            <v>K250501R1</v>
          </cell>
          <cell r="J19482">
            <v>45985</v>
          </cell>
          <cell r="K19482">
            <v>4.5</v>
          </cell>
        </row>
        <row r="19483">
          <cell r="C19483" t="str">
            <v>鄭貫中</v>
          </cell>
          <cell r="F19483" t="str">
            <v>M240703R1</v>
          </cell>
          <cell r="J19483">
            <v>45985</v>
          </cell>
          <cell r="K19483">
            <v>2</v>
          </cell>
        </row>
        <row r="19484">
          <cell r="C19484" t="str">
            <v>鄭貫中</v>
          </cell>
          <cell r="F19484" t="str">
            <v>M250201C1</v>
          </cell>
          <cell r="J19484">
            <v>45985</v>
          </cell>
          <cell r="K19484">
            <v>2</v>
          </cell>
        </row>
        <row r="19485">
          <cell r="C19485" t="str">
            <v>鄭貫中</v>
          </cell>
          <cell r="J19485">
            <v>45986</v>
          </cell>
          <cell r="K19485">
            <v>2</v>
          </cell>
        </row>
        <row r="19486">
          <cell r="C19486" t="str">
            <v>鄭貫中</v>
          </cell>
          <cell r="F19486" t="str">
            <v>K250501R1</v>
          </cell>
          <cell r="J19486">
            <v>45986</v>
          </cell>
          <cell r="K19486">
            <v>5</v>
          </cell>
        </row>
        <row r="19487">
          <cell r="C19487" t="str">
            <v>鄭貫中</v>
          </cell>
          <cell r="F19487" t="str">
            <v>M250201C1</v>
          </cell>
          <cell r="J19487">
            <v>45986</v>
          </cell>
          <cell r="K19487">
            <v>1</v>
          </cell>
        </row>
        <row r="19488">
          <cell r="C19488" t="str">
            <v>鄭貫中</v>
          </cell>
          <cell r="J19488">
            <v>45987</v>
          </cell>
          <cell r="K19488">
            <v>2</v>
          </cell>
        </row>
        <row r="19489">
          <cell r="C19489" t="str">
            <v>鄭貫中</v>
          </cell>
          <cell r="F19489" t="str">
            <v>K250501R1</v>
          </cell>
          <cell r="J19489">
            <v>45987</v>
          </cell>
          <cell r="K19489">
            <v>4.5</v>
          </cell>
        </row>
        <row r="19490">
          <cell r="C19490" t="str">
            <v>鄭貫中</v>
          </cell>
          <cell r="F19490" t="str">
            <v>M250201C1</v>
          </cell>
          <cell r="J19490">
            <v>45987</v>
          </cell>
          <cell r="K19490">
            <v>4</v>
          </cell>
        </row>
        <row r="19491">
          <cell r="C19491" t="str">
            <v>鄭貫中</v>
          </cell>
          <cell r="J19491">
            <v>45988</v>
          </cell>
          <cell r="K19491">
            <v>1</v>
          </cell>
        </row>
        <row r="19492">
          <cell r="C19492" t="str">
            <v>鄭貫中</v>
          </cell>
          <cell r="F19492" t="str">
            <v>K250501R1</v>
          </cell>
          <cell r="J19492">
            <v>45988</v>
          </cell>
          <cell r="K19492">
            <v>4</v>
          </cell>
        </row>
        <row r="19493">
          <cell r="C19493" t="str">
            <v>鄭貫中</v>
          </cell>
          <cell r="F19493" t="str">
            <v>M250201C1</v>
          </cell>
          <cell r="J19493">
            <v>45988</v>
          </cell>
          <cell r="K19493">
            <v>4.5</v>
          </cell>
        </row>
        <row r="19494">
          <cell r="C19494" t="str">
            <v>鄭貫中</v>
          </cell>
          <cell r="F19494" t="str">
            <v>K250501R1</v>
          </cell>
          <cell r="J19494">
            <v>45989</v>
          </cell>
          <cell r="K19494">
            <v>4.5</v>
          </cell>
        </row>
        <row r="19495">
          <cell r="C19495" t="str">
            <v>鄭貫中</v>
          </cell>
          <cell r="F19495" t="str">
            <v>M250201C1</v>
          </cell>
          <cell r="J19495">
            <v>45989</v>
          </cell>
          <cell r="K19495">
            <v>3.5</v>
          </cell>
        </row>
        <row r="19496">
          <cell r="C19496" t="str">
            <v>鄭貫中</v>
          </cell>
          <cell r="J19496">
            <v>45992</v>
          </cell>
          <cell r="K19496">
            <v>2</v>
          </cell>
        </row>
        <row r="19497">
          <cell r="C19497" t="str">
            <v>鄭貫中</v>
          </cell>
          <cell r="F19497" t="str">
            <v>K250501R1</v>
          </cell>
          <cell r="J19497">
            <v>45992</v>
          </cell>
          <cell r="K19497">
            <v>7.5</v>
          </cell>
        </row>
        <row r="19498">
          <cell r="C19498" t="str">
            <v>鄭貫中</v>
          </cell>
          <cell r="F19498" t="str">
            <v>M250201C1</v>
          </cell>
          <cell r="J19498">
            <v>45993</v>
          </cell>
          <cell r="K19498">
            <v>1</v>
          </cell>
        </row>
        <row r="19499">
          <cell r="C19499" t="str">
            <v>鄭貫中</v>
          </cell>
          <cell r="F19499" t="str">
            <v>K250501R1</v>
          </cell>
          <cell r="J19499">
            <v>45993</v>
          </cell>
          <cell r="K19499">
            <v>5.5</v>
          </cell>
        </row>
        <row r="19500">
          <cell r="C19500" t="str">
            <v>鄭貫中</v>
          </cell>
          <cell r="F19500" t="str">
            <v>K201002P2</v>
          </cell>
          <cell r="J19500">
            <v>45993</v>
          </cell>
          <cell r="K19500">
            <v>1.5</v>
          </cell>
        </row>
        <row r="19501">
          <cell r="C19501" t="str">
            <v>鄭貫中</v>
          </cell>
          <cell r="F19501" t="str">
            <v>K250501R1</v>
          </cell>
          <cell r="J19501">
            <v>45994</v>
          </cell>
          <cell r="K19501">
            <v>8.5</v>
          </cell>
        </row>
        <row r="19502">
          <cell r="C19502" t="str">
            <v>鄭貫中</v>
          </cell>
          <cell r="J19502">
            <v>45995</v>
          </cell>
          <cell r="K19502">
            <v>1</v>
          </cell>
        </row>
        <row r="19503">
          <cell r="C19503" t="str">
            <v>鄭貫中</v>
          </cell>
          <cell r="F19503" t="str">
            <v>M240703R1</v>
          </cell>
          <cell r="J19503">
            <v>45995</v>
          </cell>
          <cell r="K19503">
            <v>1.5</v>
          </cell>
        </row>
        <row r="19504">
          <cell r="C19504" t="str">
            <v>鄭貫中</v>
          </cell>
          <cell r="F19504" t="str">
            <v>K250501R1</v>
          </cell>
          <cell r="J19504">
            <v>45995</v>
          </cell>
          <cell r="K19504">
            <v>4.5</v>
          </cell>
        </row>
        <row r="19505">
          <cell r="C19505" t="str">
            <v>鄭貫中</v>
          </cell>
          <cell r="F19505" t="str">
            <v>M250201C1</v>
          </cell>
          <cell r="J19505">
            <v>45995</v>
          </cell>
          <cell r="K19505">
            <v>2</v>
          </cell>
        </row>
        <row r="19506">
          <cell r="C19506" t="str">
            <v>鄭貫中</v>
          </cell>
          <cell r="F19506" t="str">
            <v>K250501R1</v>
          </cell>
          <cell r="J19506">
            <v>45996</v>
          </cell>
          <cell r="K19506">
            <v>6</v>
          </cell>
        </row>
        <row r="19507">
          <cell r="C19507" t="str">
            <v>鄭貫中</v>
          </cell>
          <cell r="F19507" t="str">
            <v>M250201C1</v>
          </cell>
          <cell r="J19507">
            <v>45996</v>
          </cell>
          <cell r="K19507">
            <v>3.5</v>
          </cell>
        </row>
        <row r="19508">
          <cell r="C19508" t="str">
            <v>鄭貫中</v>
          </cell>
          <cell r="F19508" t="str">
            <v>K250501R1</v>
          </cell>
          <cell r="J19508">
            <v>45999</v>
          </cell>
          <cell r="K19508">
            <v>1.5</v>
          </cell>
        </row>
        <row r="19509">
          <cell r="C19509" t="str">
            <v>鄭貫中</v>
          </cell>
          <cell r="F19509" t="str">
            <v>K250501R1</v>
          </cell>
          <cell r="J19509">
            <v>45999</v>
          </cell>
          <cell r="K19509">
            <v>4.5</v>
          </cell>
        </row>
        <row r="19510">
          <cell r="C19510" t="str">
            <v>鄭貫中</v>
          </cell>
          <cell r="F19510" t="str">
            <v>M250201C1</v>
          </cell>
          <cell r="J19510">
            <v>45999</v>
          </cell>
          <cell r="K19510">
            <v>3.5</v>
          </cell>
        </row>
        <row r="19511">
          <cell r="C19511" t="str">
            <v>鄭貫中</v>
          </cell>
          <cell r="F19511" t="str">
            <v>K250501R1</v>
          </cell>
          <cell r="J19511">
            <v>46000</v>
          </cell>
          <cell r="K19511">
            <v>5.5</v>
          </cell>
        </row>
        <row r="19512">
          <cell r="C19512" t="str">
            <v>鄭貫中</v>
          </cell>
          <cell r="F19512" t="str">
            <v>M250201C1</v>
          </cell>
          <cell r="J19512">
            <v>46000</v>
          </cell>
          <cell r="K19512">
            <v>3.5</v>
          </cell>
        </row>
        <row r="19513">
          <cell r="C19513" t="str">
            <v>鄭貫中</v>
          </cell>
          <cell r="F19513" t="str">
            <v>K250501R1</v>
          </cell>
          <cell r="J19513">
            <v>46001</v>
          </cell>
          <cell r="K19513">
            <v>8.5</v>
          </cell>
        </row>
        <row r="19514">
          <cell r="C19514" t="str">
            <v>鄭貫中</v>
          </cell>
          <cell r="F19514" t="str">
            <v>M250201C1</v>
          </cell>
          <cell r="J19514">
            <v>46001</v>
          </cell>
          <cell r="K19514">
            <v>0.5</v>
          </cell>
        </row>
        <row r="19515">
          <cell r="C19515" t="str">
            <v>鄭貫中</v>
          </cell>
          <cell r="F19515" t="str">
            <v>K250501R1</v>
          </cell>
          <cell r="J19515">
            <v>46002</v>
          </cell>
          <cell r="K19515">
            <v>1</v>
          </cell>
        </row>
        <row r="19516">
          <cell r="C19516" t="str">
            <v>鄭貫中</v>
          </cell>
          <cell r="F19516" t="str">
            <v>K250501R1</v>
          </cell>
          <cell r="J19516">
            <v>46002</v>
          </cell>
          <cell r="K19516">
            <v>6.5</v>
          </cell>
        </row>
        <row r="19517">
          <cell r="C19517" t="str">
            <v>鄭貫中</v>
          </cell>
          <cell r="F19517" t="str">
            <v>M250201C1</v>
          </cell>
          <cell r="J19517">
            <v>46002</v>
          </cell>
          <cell r="K19517">
            <v>3</v>
          </cell>
        </row>
        <row r="19518">
          <cell r="C19518" t="str">
            <v>鄭貫中</v>
          </cell>
          <cell r="F19518" t="str">
            <v>K250501R1</v>
          </cell>
          <cell r="J19518">
            <v>46003</v>
          </cell>
          <cell r="K19518">
            <v>7</v>
          </cell>
        </row>
        <row r="19519">
          <cell r="C19519" t="str">
            <v>鄭貫中</v>
          </cell>
          <cell r="F19519" t="str">
            <v>M250201C1</v>
          </cell>
          <cell r="J19519">
            <v>46003</v>
          </cell>
          <cell r="K19519">
            <v>2.5</v>
          </cell>
        </row>
        <row r="19520">
          <cell r="C19520" t="str">
            <v>鄭貫中</v>
          </cell>
          <cell r="F19520" t="str">
            <v>K250501R1</v>
          </cell>
          <cell r="J19520">
            <v>46006</v>
          </cell>
          <cell r="K19520">
            <v>2</v>
          </cell>
        </row>
        <row r="19521">
          <cell r="C19521" t="str">
            <v>鄭貫中</v>
          </cell>
          <cell r="F19521" t="str">
            <v>K250501R1</v>
          </cell>
          <cell r="J19521">
            <v>46006</v>
          </cell>
          <cell r="K19521">
            <v>8</v>
          </cell>
        </row>
        <row r="19522">
          <cell r="C19522" t="str">
            <v>鄭貫中</v>
          </cell>
          <cell r="F19522" t="str">
            <v>M251001R1</v>
          </cell>
          <cell r="J19522">
            <v>46007</v>
          </cell>
          <cell r="K19522">
            <v>2</v>
          </cell>
        </row>
        <row r="19523">
          <cell r="C19523" t="str">
            <v>鄭貫中</v>
          </cell>
          <cell r="F19523" t="str">
            <v>K250501R1</v>
          </cell>
          <cell r="J19523">
            <v>46007</v>
          </cell>
          <cell r="K19523">
            <v>6</v>
          </cell>
        </row>
        <row r="19524">
          <cell r="C19524" t="str">
            <v>鄭貫中</v>
          </cell>
          <cell r="J19524">
            <v>46008</v>
          </cell>
          <cell r="K19524">
            <v>2</v>
          </cell>
        </row>
        <row r="19525">
          <cell r="C19525" t="str">
            <v>鄭貫中</v>
          </cell>
          <cell r="F19525" t="str">
            <v>M251001R1</v>
          </cell>
          <cell r="J19525">
            <v>46008</v>
          </cell>
          <cell r="K19525">
            <v>1</v>
          </cell>
        </row>
        <row r="19526">
          <cell r="C19526" t="str">
            <v>鄭貫中</v>
          </cell>
          <cell r="F19526" t="str">
            <v>K250501R1</v>
          </cell>
          <cell r="J19526">
            <v>46008</v>
          </cell>
          <cell r="K19526">
            <v>5.5</v>
          </cell>
        </row>
        <row r="19527">
          <cell r="C19527" t="str">
            <v>鄭貫中</v>
          </cell>
          <cell r="F19527" t="str">
            <v>K250501R1</v>
          </cell>
          <cell r="J19527">
            <v>46009</v>
          </cell>
          <cell r="K19527">
            <v>1.5</v>
          </cell>
        </row>
        <row r="19528">
          <cell r="C19528" t="str">
            <v>鄭貫中</v>
          </cell>
          <cell r="F19528" t="str">
            <v>M251001R1</v>
          </cell>
          <cell r="J19528">
            <v>46009</v>
          </cell>
          <cell r="K19528">
            <v>1.5</v>
          </cell>
        </row>
        <row r="19529">
          <cell r="C19529" t="str">
            <v>鄭貫中</v>
          </cell>
          <cell r="F19529" t="str">
            <v>K250501R1</v>
          </cell>
          <cell r="J19529">
            <v>46009</v>
          </cell>
          <cell r="K19529">
            <v>5</v>
          </cell>
        </row>
        <row r="19530">
          <cell r="C19530" t="str">
            <v>鄭貫中</v>
          </cell>
          <cell r="F19530" t="str">
            <v>M251001R1</v>
          </cell>
          <cell r="J19530">
            <v>46010</v>
          </cell>
          <cell r="K19530">
            <v>1</v>
          </cell>
        </row>
        <row r="19531">
          <cell r="C19531" t="str">
            <v>鄭貫中</v>
          </cell>
          <cell r="F19531" t="str">
            <v>K250501R2</v>
          </cell>
          <cell r="J19531">
            <v>46010</v>
          </cell>
          <cell r="K19531">
            <v>3</v>
          </cell>
        </row>
        <row r="19532">
          <cell r="C19532" t="str">
            <v>鄭貫中</v>
          </cell>
          <cell r="F19532" t="str">
            <v>K250501R1</v>
          </cell>
          <cell r="J19532">
            <v>46010</v>
          </cell>
          <cell r="K19532">
            <v>4</v>
          </cell>
        </row>
        <row r="19533">
          <cell r="C19533" t="str">
            <v>鄭貫中</v>
          </cell>
          <cell r="F19533" t="str">
            <v>M250201C1</v>
          </cell>
          <cell r="J19533">
            <v>46013</v>
          </cell>
          <cell r="K19533">
            <v>3.5</v>
          </cell>
        </row>
        <row r="19534">
          <cell r="C19534" t="str">
            <v>鄭貫中</v>
          </cell>
          <cell r="F19534" t="str">
            <v>K250501R2</v>
          </cell>
          <cell r="J19534">
            <v>46013</v>
          </cell>
          <cell r="K19534">
            <v>2.5</v>
          </cell>
        </row>
        <row r="19535">
          <cell r="C19535" t="str">
            <v>鄭貫中</v>
          </cell>
          <cell r="F19535" t="str">
            <v>M240703R1</v>
          </cell>
          <cell r="J19535">
            <v>46013</v>
          </cell>
          <cell r="K19535">
            <v>2</v>
          </cell>
        </row>
        <row r="19536">
          <cell r="C19536" t="str">
            <v>鄭貫中</v>
          </cell>
          <cell r="F19536" t="str">
            <v>M240703R1</v>
          </cell>
          <cell r="J19536">
            <v>46014</v>
          </cell>
          <cell r="K19536">
            <v>3</v>
          </cell>
        </row>
        <row r="19537">
          <cell r="C19537" t="str">
            <v>鄭貫中</v>
          </cell>
          <cell r="F19537" t="str">
            <v>K250501R1</v>
          </cell>
          <cell r="J19537">
            <v>46014</v>
          </cell>
          <cell r="K19537">
            <v>2.5</v>
          </cell>
        </row>
        <row r="19538">
          <cell r="C19538" t="str">
            <v>鄭貫中</v>
          </cell>
          <cell r="F19538" t="str">
            <v>M250201C1</v>
          </cell>
          <cell r="J19538">
            <v>46014</v>
          </cell>
          <cell r="K19538">
            <v>2.5</v>
          </cell>
        </row>
        <row r="19539">
          <cell r="C19539" t="str">
            <v>鄭貫中</v>
          </cell>
          <cell r="F19539" t="str">
            <v>K250501R2</v>
          </cell>
          <cell r="J19539">
            <v>46014</v>
          </cell>
          <cell r="K19539">
            <v>2</v>
          </cell>
        </row>
        <row r="19540">
          <cell r="C19540" t="str">
            <v>鄭貫中</v>
          </cell>
          <cell r="F19540" t="str">
            <v>M240703R1</v>
          </cell>
          <cell r="J19540">
            <v>46015</v>
          </cell>
          <cell r="K19540">
            <v>2</v>
          </cell>
        </row>
        <row r="19541">
          <cell r="C19541" t="str">
            <v>鄭貫中</v>
          </cell>
          <cell r="J19541">
            <v>46015</v>
          </cell>
          <cell r="K19541">
            <v>1.5</v>
          </cell>
        </row>
        <row r="19542">
          <cell r="C19542" t="str">
            <v>鄭貫中</v>
          </cell>
          <cell r="F19542" t="str">
            <v>K250501R2</v>
          </cell>
          <cell r="J19542">
            <v>46015</v>
          </cell>
          <cell r="K19542">
            <v>3</v>
          </cell>
        </row>
        <row r="19543">
          <cell r="C19543" t="str">
            <v>鄭貫中</v>
          </cell>
          <cell r="F19543" t="str">
            <v>M250201C1</v>
          </cell>
          <cell r="J19543">
            <v>46015</v>
          </cell>
          <cell r="K19543">
            <v>2</v>
          </cell>
        </row>
        <row r="19544">
          <cell r="C19544" t="str">
            <v>鄭貫中</v>
          </cell>
          <cell r="F19544" t="str">
            <v>M251001R1</v>
          </cell>
          <cell r="J19544">
            <v>46017</v>
          </cell>
          <cell r="K19544">
            <v>3</v>
          </cell>
        </row>
        <row r="19545">
          <cell r="C19545" t="str">
            <v>鄭貫中</v>
          </cell>
          <cell r="F19545" t="str">
            <v>M250201C1</v>
          </cell>
          <cell r="J19545">
            <v>46017</v>
          </cell>
          <cell r="K19545">
            <v>5</v>
          </cell>
        </row>
        <row r="19546">
          <cell r="C19546" t="str">
            <v>鄭貫中</v>
          </cell>
          <cell r="F19546" t="str">
            <v>K250501R2</v>
          </cell>
          <cell r="J19546">
            <v>46020</v>
          </cell>
          <cell r="K19546">
            <v>3.5</v>
          </cell>
        </row>
        <row r="19547">
          <cell r="C19547" t="str">
            <v>鄭貫中</v>
          </cell>
          <cell r="F19547" t="str">
            <v>K250501R1</v>
          </cell>
          <cell r="J19547">
            <v>46020</v>
          </cell>
          <cell r="K19547">
            <v>6</v>
          </cell>
        </row>
        <row r="19548">
          <cell r="C19548" t="str">
            <v>鄭貫中</v>
          </cell>
          <cell r="F19548" t="str">
            <v>K250501R2</v>
          </cell>
          <cell r="J19548">
            <v>46020</v>
          </cell>
          <cell r="K19548">
            <v>1</v>
          </cell>
        </row>
        <row r="19549">
          <cell r="C19549" t="str">
            <v>鄭貫中</v>
          </cell>
          <cell r="F19549" t="str">
            <v>M240703R1</v>
          </cell>
          <cell r="J19549">
            <v>46021</v>
          </cell>
          <cell r="K19549">
            <v>1.5</v>
          </cell>
        </row>
        <row r="19550">
          <cell r="C19550" t="str">
            <v>鄭貫中</v>
          </cell>
          <cell r="F19550" t="str">
            <v>K250501R1</v>
          </cell>
          <cell r="J19550">
            <v>46021</v>
          </cell>
          <cell r="K19550">
            <v>2.5</v>
          </cell>
        </row>
        <row r="19551">
          <cell r="C19551" t="str">
            <v>鄭貫中</v>
          </cell>
          <cell r="F19551" t="str">
            <v>K250501R2</v>
          </cell>
          <cell r="J19551">
            <v>46021</v>
          </cell>
          <cell r="K19551">
            <v>4</v>
          </cell>
        </row>
        <row r="19552">
          <cell r="C19552" t="str">
            <v>鄭貫中</v>
          </cell>
          <cell r="F19552" t="str">
            <v>M250201C1</v>
          </cell>
          <cell r="J19552">
            <v>46022</v>
          </cell>
          <cell r="K19552">
            <v>2.5</v>
          </cell>
        </row>
        <row r="19553">
          <cell r="C19553" t="str">
            <v>鄭貫中</v>
          </cell>
          <cell r="F19553" t="str">
            <v>M251001R1</v>
          </cell>
          <cell r="J19553">
            <v>46022</v>
          </cell>
          <cell r="K19553">
            <v>5.5</v>
          </cell>
        </row>
        <row r="19554">
          <cell r="C19554" t="str">
            <v>鄭貫中</v>
          </cell>
          <cell r="J19554">
            <v>46024</v>
          </cell>
          <cell r="K19554">
            <v>8</v>
          </cell>
        </row>
        <row r="19555">
          <cell r="C19555" t="str">
            <v>鄭貫中</v>
          </cell>
          <cell r="F19555" t="str">
            <v>M240703R1</v>
          </cell>
          <cell r="J19555">
            <v>46027</v>
          </cell>
          <cell r="K19555">
            <v>1.5</v>
          </cell>
        </row>
        <row r="19556">
          <cell r="C19556" t="str">
            <v>鄭貫中</v>
          </cell>
          <cell r="F19556" t="str">
            <v>K250501R2</v>
          </cell>
          <cell r="J19556">
            <v>46027</v>
          </cell>
          <cell r="K19556">
            <v>2</v>
          </cell>
        </row>
        <row r="19557">
          <cell r="C19557" t="str">
            <v>鄭貫中</v>
          </cell>
          <cell r="F19557" t="str">
            <v>K250501R1</v>
          </cell>
          <cell r="J19557">
            <v>46027</v>
          </cell>
          <cell r="K19557">
            <v>5</v>
          </cell>
        </row>
        <row r="19558">
          <cell r="C19558" t="str">
            <v>鄭貫中</v>
          </cell>
          <cell r="F19558" t="str">
            <v>K250501R1</v>
          </cell>
          <cell r="J19558">
            <v>46028</v>
          </cell>
          <cell r="K19558">
            <v>3</v>
          </cell>
        </row>
        <row r="19559">
          <cell r="C19559" t="str">
            <v>鄭貫中</v>
          </cell>
          <cell r="F19559" t="str">
            <v>M251001R1</v>
          </cell>
          <cell r="J19559">
            <v>46028</v>
          </cell>
          <cell r="K19559">
            <v>2.5</v>
          </cell>
        </row>
        <row r="19560">
          <cell r="C19560" t="str">
            <v>鄭貫中</v>
          </cell>
          <cell r="F19560" t="str">
            <v>K201002P2</v>
          </cell>
          <cell r="J19560">
            <v>46028</v>
          </cell>
          <cell r="K19560">
            <v>2.5</v>
          </cell>
        </row>
        <row r="19561">
          <cell r="C19561" t="str">
            <v>鄭貫中</v>
          </cell>
          <cell r="F19561" t="str">
            <v>M240703R1</v>
          </cell>
          <cell r="J19561">
            <v>46029</v>
          </cell>
          <cell r="K19561">
            <v>7</v>
          </cell>
        </row>
        <row r="19562">
          <cell r="C19562" t="str">
            <v>鄭貫中</v>
          </cell>
          <cell r="F19562" t="str">
            <v>K250501R1</v>
          </cell>
          <cell r="J19562">
            <v>46029</v>
          </cell>
          <cell r="K19562">
            <v>1.5</v>
          </cell>
        </row>
        <row r="19563">
          <cell r="C19563" t="str">
            <v>鄭貫中</v>
          </cell>
          <cell r="F19563" t="str">
            <v>K250501R2</v>
          </cell>
          <cell r="J19563">
            <v>46030</v>
          </cell>
          <cell r="K19563">
            <v>1</v>
          </cell>
        </row>
        <row r="19564">
          <cell r="C19564" t="str">
            <v>鄭貫中</v>
          </cell>
          <cell r="F19564" t="str">
            <v>M240703R1</v>
          </cell>
          <cell r="J19564">
            <v>46030</v>
          </cell>
          <cell r="K19564">
            <v>5</v>
          </cell>
        </row>
        <row r="19565">
          <cell r="C19565" t="str">
            <v>鄭貫中</v>
          </cell>
          <cell r="F19565" t="str">
            <v>K250501R1</v>
          </cell>
          <cell r="J19565">
            <v>46030</v>
          </cell>
          <cell r="K19565">
            <v>2.5</v>
          </cell>
        </row>
        <row r="19566">
          <cell r="C19566" t="str">
            <v>鄭貫中</v>
          </cell>
          <cell r="F19566" t="str">
            <v>M240703R1</v>
          </cell>
          <cell r="J19566">
            <v>46031</v>
          </cell>
          <cell r="K19566">
            <v>7</v>
          </cell>
        </row>
        <row r="19567">
          <cell r="C19567" t="str">
            <v>鄭貫中</v>
          </cell>
          <cell r="F19567" t="str">
            <v>M250201C1</v>
          </cell>
          <cell r="J19567">
            <v>46031</v>
          </cell>
          <cell r="K19567">
            <v>2.5</v>
          </cell>
        </row>
        <row r="19568">
          <cell r="C19568" t="str">
            <v>鄭貫中</v>
          </cell>
          <cell r="F19568" t="str">
            <v>K250501R2</v>
          </cell>
          <cell r="J19568">
            <v>46034</v>
          </cell>
          <cell r="K19568">
            <v>3.5</v>
          </cell>
        </row>
        <row r="19569">
          <cell r="C19569" t="str">
            <v>鄭貫中</v>
          </cell>
          <cell r="F19569" t="str">
            <v>M240703R1</v>
          </cell>
          <cell r="J19569">
            <v>46034</v>
          </cell>
          <cell r="K19569">
            <v>4.5</v>
          </cell>
        </row>
        <row r="19570">
          <cell r="C19570" t="str">
            <v>鄭貫中</v>
          </cell>
          <cell r="F19570" t="str">
            <v>M251001R1</v>
          </cell>
          <cell r="J19570">
            <v>46034</v>
          </cell>
          <cell r="K19570">
            <v>2</v>
          </cell>
        </row>
        <row r="19571">
          <cell r="C19571" t="str">
            <v>鄭貫中</v>
          </cell>
          <cell r="F19571" t="str">
            <v>M251001R1</v>
          </cell>
          <cell r="J19571">
            <v>46035</v>
          </cell>
          <cell r="K19571">
            <v>6</v>
          </cell>
        </row>
        <row r="19572">
          <cell r="C19572" t="str">
            <v>鄭貫中</v>
          </cell>
          <cell r="F19572" t="str">
            <v>M250201C1</v>
          </cell>
          <cell r="J19572">
            <v>46035</v>
          </cell>
          <cell r="K19572">
            <v>3</v>
          </cell>
        </row>
        <row r="19573">
          <cell r="C19573" t="str">
            <v>鄭貫中</v>
          </cell>
          <cell r="F19573" t="str">
            <v>K250501R1</v>
          </cell>
          <cell r="J19573">
            <v>46036</v>
          </cell>
          <cell r="K19573">
            <v>3.5</v>
          </cell>
        </row>
        <row r="19574">
          <cell r="C19574" t="str">
            <v>鄭貫中</v>
          </cell>
          <cell r="F19574" t="str">
            <v>D250101R1</v>
          </cell>
          <cell r="J19574">
            <v>46036</v>
          </cell>
          <cell r="K19574">
            <v>2.5</v>
          </cell>
        </row>
        <row r="19575">
          <cell r="C19575" t="str">
            <v>鄭貫中</v>
          </cell>
          <cell r="F19575" t="str">
            <v>M251001R1</v>
          </cell>
          <cell r="J19575">
            <v>46036</v>
          </cell>
          <cell r="K19575">
            <v>3</v>
          </cell>
        </row>
        <row r="19576">
          <cell r="C19576" t="str">
            <v>鄭貫中</v>
          </cell>
          <cell r="F19576" t="str">
            <v>K250501R2</v>
          </cell>
          <cell r="J19576">
            <v>46037</v>
          </cell>
          <cell r="K19576">
            <v>0.5</v>
          </cell>
        </row>
        <row r="19577">
          <cell r="C19577" t="str">
            <v>鄭貫中</v>
          </cell>
          <cell r="F19577" t="str">
            <v>K250501R1</v>
          </cell>
          <cell r="J19577">
            <v>46037</v>
          </cell>
          <cell r="K19577">
            <v>3.5</v>
          </cell>
        </row>
        <row r="19578">
          <cell r="C19578" t="str">
            <v>鄭貫中</v>
          </cell>
          <cell r="F19578" t="str">
            <v>M251001R1</v>
          </cell>
          <cell r="J19578">
            <v>46037</v>
          </cell>
          <cell r="K19578">
            <v>4.5</v>
          </cell>
        </row>
        <row r="19579">
          <cell r="C19579" t="str">
            <v>鄭貫中</v>
          </cell>
          <cell r="F19579" t="str">
            <v>M240703R1</v>
          </cell>
          <cell r="J19579">
            <v>46038</v>
          </cell>
          <cell r="K19579">
            <v>4.5</v>
          </cell>
        </row>
        <row r="19580">
          <cell r="C19580" t="str">
            <v>鄭貫中</v>
          </cell>
          <cell r="F19580" t="str">
            <v>K250501R1</v>
          </cell>
          <cell r="J19580">
            <v>46038</v>
          </cell>
          <cell r="K19580">
            <v>3.5</v>
          </cell>
        </row>
        <row r="19581">
          <cell r="C19581" t="str">
            <v>鄭貫中</v>
          </cell>
          <cell r="F19581" t="str">
            <v>K250501R2</v>
          </cell>
          <cell r="J19581">
            <v>46041</v>
          </cell>
          <cell r="K19581">
            <v>3.5</v>
          </cell>
        </row>
        <row r="19582">
          <cell r="C19582" t="str">
            <v>鄭貫中</v>
          </cell>
          <cell r="F19582" t="str">
            <v>K250501R1</v>
          </cell>
          <cell r="J19582">
            <v>46041</v>
          </cell>
          <cell r="K19582">
            <v>1.5</v>
          </cell>
        </row>
        <row r="19583">
          <cell r="C19583" t="str">
            <v>鄭貫中</v>
          </cell>
          <cell r="F19583" t="str">
            <v>M251001R1</v>
          </cell>
          <cell r="J19583">
            <v>46041</v>
          </cell>
          <cell r="K19583">
            <v>3.5</v>
          </cell>
        </row>
        <row r="19584">
          <cell r="C19584" t="str">
            <v>鄭貫中</v>
          </cell>
          <cell r="F19584" t="str">
            <v>M251001R1</v>
          </cell>
          <cell r="J19584">
            <v>46042</v>
          </cell>
          <cell r="K19584">
            <v>2</v>
          </cell>
        </row>
        <row r="19585">
          <cell r="C19585" t="str">
            <v>鄭貫中</v>
          </cell>
          <cell r="F19585" t="str">
            <v>K250501R2</v>
          </cell>
          <cell r="J19585">
            <v>46042</v>
          </cell>
          <cell r="K19585">
            <v>4</v>
          </cell>
        </row>
        <row r="19586">
          <cell r="C19586" t="str">
            <v>鄭貫中</v>
          </cell>
          <cell r="F19586" t="str">
            <v>M251001R1</v>
          </cell>
          <cell r="J19586">
            <v>46042</v>
          </cell>
          <cell r="K19586">
            <v>2</v>
          </cell>
        </row>
        <row r="19587">
          <cell r="C19587" t="str">
            <v>鄭貫中</v>
          </cell>
          <cell r="F19587" t="str">
            <v>K250501R1</v>
          </cell>
          <cell r="J19587">
            <v>46043</v>
          </cell>
          <cell r="K19587">
            <v>4</v>
          </cell>
        </row>
        <row r="19588">
          <cell r="C19588" t="str">
            <v>鄭貫中</v>
          </cell>
          <cell r="F19588" t="str">
            <v>M251001R1</v>
          </cell>
          <cell r="J19588">
            <v>46043</v>
          </cell>
          <cell r="K19588">
            <v>2.5</v>
          </cell>
        </row>
        <row r="19589">
          <cell r="C19589" t="str">
            <v>鄭貫中</v>
          </cell>
          <cell r="F19589" t="str">
            <v>M250201C1</v>
          </cell>
          <cell r="J19589">
            <v>46043</v>
          </cell>
          <cell r="K19589">
            <v>2</v>
          </cell>
        </row>
        <row r="19590">
          <cell r="C19590" t="str">
            <v>鄭貫中</v>
          </cell>
          <cell r="F19590" t="str">
            <v>D250101R1</v>
          </cell>
          <cell r="J19590">
            <v>46044</v>
          </cell>
          <cell r="K19590">
            <v>3</v>
          </cell>
        </row>
        <row r="19591">
          <cell r="C19591" t="str">
            <v>鄭貫中</v>
          </cell>
          <cell r="F19591" t="str">
            <v>K250501R1</v>
          </cell>
          <cell r="J19591">
            <v>46044</v>
          </cell>
          <cell r="K19591">
            <v>2</v>
          </cell>
        </row>
        <row r="19592">
          <cell r="C19592" t="str">
            <v>鄭貫中</v>
          </cell>
          <cell r="F19592" t="str">
            <v>M250201C1</v>
          </cell>
          <cell r="J19592">
            <v>46044</v>
          </cell>
          <cell r="K19592">
            <v>4.5</v>
          </cell>
        </row>
        <row r="19593">
          <cell r="C19593" t="str">
            <v>鄭貫中</v>
          </cell>
          <cell r="F19593" t="str">
            <v>M251001R1</v>
          </cell>
          <cell r="J19593">
            <v>46045</v>
          </cell>
          <cell r="K19593">
            <v>3.5</v>
          </cell>
        </row>
        <row r="19594">
          <cell r="C19594" t="str">
            <v>鄭貫中</v>
          </cell>
          <cell r="F19594" t="str">
            <v>M250201C1</v>
          </cell>
          <cell r="J19594">
            <v>46045</v>
          </cell>
          <cell r="K19594">
            <v>5.5</v>
          </cell>
        </row>
        <row r="19595">
          <cell r="C19595" t="str">
            <v>鄭貫中</v>
          </cell>
          <cell r="F19595" t="str">
            <v>M251001R1</v>
          </cell>
          <cell r="J19595">
            <v>46048</v>
          </cell>
          <cell r="K19595">
            <v>3</v>
          </cell>
        </row>
        <row r="19596">
          <cell r="C19596" t="str">
            <v>鄭貫中</v>
          </cell>
          <cell r="F19596" t="str">
            <v>M250201C1</v>
          </cell>
          <cell r="J19596">
            <v>46048</v>
          </cell>
          <cell r="K19596">
            <v>6</v>
          </cell>
        </row>
        <row r="19597">
          <cell r="C19597" t="str">
            <v>鄭貫中</v>
          </cell>
          <cell r="F19597" t="str">
            <v>M250201C1</v>
          </cell>
          <cell r="J19597">
            <v>46049</v>
          </cell>
          <cell r="K19597">
            <v>6</v>
          </cell>
        </row>
        <row r="19598">
          <cell r="C19598" t="str">
            <v>鄭貫中</v>
          </cell>
          <cell r="F19598" t="str">
            <v>M251001R1</v>
          </cell>
          <cell r="J19598">
            <v>46049</v>
          </cell>
          <cell r="K19598">
            <v>3</v>
          </cell>
        </row>
        <row r="19599">
          <cell r="C19599" t="str">
            <v>鄭貫中</v>
          </cell>
          <cell r="F19599" t="str">
            <v>M250201C1</v>
          </cell>
          <cell r="J19599">
            <v>46050</v>
          </cell>
          <cell r="K19599">
            <v>7</v>
          </cell>
        </row>
        <row r="19600">
          <cell r="C19600" t="str">
            <v>鄭貫中</v>
          </cell>
          <cell r="F19600" t="str">
            <v>D250101R1</v>
          </cell>
          <cell r="J19600">
            <v>46050</v>
          </cell>
          <cell r="K19600">
            <v>2</v>
          </cell>
        </row>
        <row r="19601">
          <cell r="C19601" t="str">
            <v>鄭貫中</v>
          </cell>
          <cell r="F19601" t="str">
            <v>M251001R1</v>
          </cell>
          <cell r="J19601">
            <v>46051</v>
          </cell>
          <cell r="K19601">
            <v>1</v>
          </cell>
        </row>
        <row r="19602">
          <cell r="C19602" t="str">
            <v>鄭貫中</v>
          </cell>
          <cell r="F19602" t="str">
            <v>M250201C1</v>
          </cell>
          <cell r="J19602">
            <v>46051</v>
          </cell>
          <cell r="K19602">
            <v>8</v>
          </cell>
        </row>
        <row r="19603">
          <cell r="C19603" t="str">
            <v>鄭貫中</v>
          </cell>
          <cell r="F19603" t="str">
            <v>M250201C1</v>
          </cell>
          <cell r="J19603">
            <v>46052</v>
          </cell>
          <cell r="K19603">
            <v>9</v>
          </cell>
        </row>
        <row r="19604">
          <cell r="C19604" t="str">
            <v>鄭貫中</v>
          </cell>
          <cell r="J19604">
            <v>46055</v>
          </cell>
          <cell r="K19604">
            <v>8</v>
          </cell>
        </row>
        <row r="19605">
          <cell r="C19605" t="str">
            <v>鄭貫中</v>
          </cell>
          <cell r="F19605" t="str">
            <v>M251001R1</v>
          </cell>
          <cell r="J19605">
            <v>46056</v>
          </cell>
          <cell r="K19605">
            <v>5</v>
          </cell>
        </row>
        <row r="19606">
          <cell r="C19606" t="str">
            <v>鄭貫中</v>
          </cell>
          <cell r="F19606" t="str">
            <v>M250201C1</v>
          </cell>
          <cell r="J19606">
            <v>46056</v>
          </cell>
          <cell r="K19606">
            <v>3</v>
          </cell>
        </row>
        <row r="19607">
          <cell r="C19607" t="str">
            <v>鄭貫中</v>
          </cell>
          <cell r="F19607" t="str">
            <v>M250201C1</v>
          </cell>
          <cell r="J19607">
            <v>46056</v>
          </cell>
          <cell r="K19607">
            <v>1.5</v>
          </cell>
        </row>
        <row r="19608">
          <cell r="C19608" t="str">
            <v>鄭貫中</v>
          </cell>
          <cell r="F19608" t="str">
            <v>K250501R1</v>
          </cell>
          <cell r="J19608">
            <v>46057</v>
          </cell>
          <cell r="K19608">
            <v>5</v>
          </cell>
        </row>
        <row r="19609">
          <cell r="C19609" t="str">
            <v>鄭貫中</v>
          </cell>
          <cell r="F19609" t="str">
            <v>M250201C1</v>
          </cell>
          <cell r="J19609">
            <v>46057</v>
          </cell>
          <cell r="K19609">
            <v>1</v>
          </cell>
        </row>
        <row r="19610">
          <cell r="C19610" t="str">
            <v>鄭貫中</v>
          </cell>
          <cell r="F19610" t="str">
            <v>M251001R1</v>
          </cell>
          <cell r="J19610">
            <v>46057</v>
          </cell>
          <cell r="K19610">
            <v>2</v>
          </cell>
        </row>
        <row r="19611">
          <cell r="C19611" t="str">
            <v>鄭貫中</v>
          </cell>
          <cell r="F19611" t="str">
            <v>K250501R2</v>
          </cell>
          <cell r="J19611">
            <v>46058</v>
          </cell>
          <cell r="K19611">
            <v>1.5</v>
          </cell>
        </row>
        <row r="19612">
          <cell r="C19612" t="str">
            <v>鄭貫中</v>
          </cell>
          <cell r="F19612" t="str">
            <v>K250501R1</v>
          </cell>
          <cell r="J19612">
            <v>46058</v>
          </cell>
          <cell r="K19612">
            <v>1.5</v>
          </cell>
        </row>
        <row r="19613">
          <cell r="C19613" t="str">
            <v>鄭貫中</v>
          </cell>
          <cell r="F19613" t="str">
            <v>M250201C1</v>
          </cell>
          <cell r="J19613">
            <v>46058</v>
          </cell>
          <cell r="K19613">
            <v>3</v>
          </cell>
        </row>
        <row r="19614">
          <cell r="C19614" t="str">
            <v>鄭貫中</v>
          </cell>
          <cell r="F19614" t="str">
            <v>M251001R1</v>
          </cell>
          <cell r="J19614">
            <v>46058</v>
          </cell>
          <cell r="K19614">
            <v>3</v>
          </cell>
        </row>
        <row r="19615">
          <cell r="C19615" t="str">
            <v>鄭貫中</v>
          </cell>
          <cell r="F19615" t="str">
            <v>M250201C1</v>
          </cell>
          <cell r="J19615">
            <v>46059</v>
          </cell>
          <cell r="K19615">
            <v>4.5</v>
          </cell>
        </row>
        <row r="19616">
          <cell r="C19616" t="str">
            <v>鄭貫中</v>
          </cell>
          <cell r="F19616" t="str">
            <v>M251001R1</v>
          </cell>
          <cell r="J19616">
            <v>46059</v>
          </cell>
          <cell r="K19616">
            <v>2.5</v>
          </cell>
        </row>
        <row r="19617">
          <cell r="C19617" t="str">
            <v>鄭貫中</v>
          </cell>
          <cell r="J19617">
            <v>46062</v>
          </cell>
          <cell r="K19617">
            <v>5</v>
          </cell>
        </row>
        <row r="19618">
          <cell r="C19618" t="str">
            <v>鄭貫中</v>
          </cell>
          <cell r="F19618" t="str">
            <v>M250201C1</v>
          </cell>
          <cell r="J19618">
            <v>46062</v>
          </cell>
          <cell r="K19618">
            <v>4</v>
          </cell>
        </row>
        <row r="19619">
          <cell r="C19619" t="str">
            <v>鄭貫中</v>
          </cell>
          <cell r="F19619" t="str">
            <v>K250501R2</v>
          </cell>
          <cell r="J19619">
            <v>46063</v>
          </cell>
          <cell r="K19619">
            <v>4.5</v>
          </cell>
        </row>
        <row r="19620">
          <cell r="C19620" t="str">
            <v>鄭貫中</v>
          </cell>
          <cell r="F19620" t="str">
            <v>M250201C1</v>
          </cell>
          <cell r="J19620">
            <v>46063</v>
          </cell>
          <cell r="K19620">
            <v>2</v>
          </cell>
        </row>
        <row r="19621">
          <cell r="C19621" t="str">
            <v>鄭貫中</v>
          </cell>
          <cell r="F19621" t="str">
            <v>K250501R2</v>
          </cell>
          <cell r="J19621">
            <v>46063</v>
          </cell>
          <cell r="K19621">
            <v>2</v>
          </cell>
        </row>
        <row r="19622">
          <cell r="C19622" t="str">
            <v>鄭貫中</v>
          </cell>
          <cell r="F19622" t="str">
            <v>M251001R1</v>
          </cell>
          <cell r="J19622">
            <v>46064</v>
          </cell>
          <cell r="K19622">
            <v>2.5</v>
          </cell>
        </row>
        <row r="19623">
          <cell r="C19623" t="str">
            <v>鄭貫中</v>
          </cell>
          <cell r="F19623" t="str">
            <v>K250501R2</v>
          </cell>
          <cell r="J19623">
            <v>46064</v>
          </cell>
          <cell r="K19623">
            <v>2.5</v>
          </cell>
        </row>
        <row r="19624">
          <cell r="C19624" t="str">
            <v>鄭貫中</v>
          </cell>
          <cell r="F19624" t="str">
            <v>M250201C1</v>
          </cell>
          <cell r="J19624">
            <v>46064</v>
          </cell>
          <cell r="K19624">
            <v>1</v>
          </cell>
        </row>
        <row r="19625">
          <cell r="C19625" t="str">
            <v>鄭貫中</v>
          </cell>
          <cell r="F19625" t="str">
            <v>K201002P2</v>
          </cell>
          <cell r="J19625">
            <v>46064</v>
          </cell>
          <cell r="K19625">
            <v>2.5</v>
          </cell>
        </row>
        <row r="19626">
          <cell r="C19626" t="str">
            <v>鄭貫中</v>
          </cell>
          <cell r="J19626">
            <v>46065</v>
          </cell>
          <cell r="K19626">
            <v>3</v>
          </cell>
        </row>
        <row r="19627">
          <cell r="C19627" t="str">
            <v>鄭貫中</v>
          </cell>
          <cell r="F19627" t="str">
            <v>K250501R2</v>
          </cell>
          <cell r="J19627">
            <v>46065</v>
          </cell>
          <cell r="K19627">
            <v>1.5</v>
          </cell>
        </row>
        <row r="19628">
          <cell r="C19628" t="str">
            <v>鄭貫中</v>
          </cell>
          <cell r="F19628" t="str">
            <v>K250501R2</v>
          </cell>
          <cell r="J19628">
            <v>46065</v>
          </cell>
          <cell r="K19628">
            <v>2</v>
          </cell>
        </row>
        <row r="19629">
          <cell r="C19629" t="str">
            <v>鄭貫中</v>
          </cell>
          <cell r="F19629" t="str">
            <v>K201002P2</v>
          </cell>
          <cell r="J19629">
            <v>46065</v>
          </cell>
          <cell r="K19629">
            <v>2</v>
          </cell>
        </row>
        <row r="19630">
          <cell r="C19630" t="str">
            <v>鄭貫中</v>
          </cell>
          <cell r="J19630">
            <v>46066</v>
          </cell>
          <cell r="K19630">
            <v>3</v>
          </cell>
        </row>
        <row r="19631">
          <cell r="C19631" t="str">
            <v>鄭貫中</v>
          </cell>
          <cell r="F19631" t="str">
            <v>K250501R2</v>
          </cell>
          <cell r="J19631">
            <v>46066</v>
          </cell>
          <cell r="K19631">
            <v>3</v>
          </cell>
        </row>
        <row r="19632">
          <cell r="C19632" t="str">
            <v>鄭貫中</v>
          </cell>
          <cell r="F19632" t="str">
            <v>K201002P2</v>
          </cell>
          <cell r="J19632">
            <v>46076</v>
          </cell>
          <cell r="K19632">
            <v>2</v>
          </cell>
        </row>
        <row r="19633">
          <cell r="C19633" t="str">
            <v>鄭貫中</v>
          </cell>
          <cell r="F19633" t="str">
            <v>K250501R2</v>
          </cell>
          <cell r="J19633">
            <v>46076</v>
          </cell>
          <cell r="K19633">
            <v>5</v>
          </cell>
        </row>
        <row r="19634">
          <cell r="C19634" t="str">
            <v>鄭貫中</v>
          </cell>
          <cell r="F19634" t="str">
            <v>D250101R1</v>
          </cell>
          <cell r="J19634">
            <v>46076</v>
          </cell>
          <cell r="K19634">
            <v>1</v>
          </cell>
        </row>
        <row r="19635">
          <cell r="C19635" t="str">
            <v>鄭貫中</v>
          </cell>
          <cell r="F19635" t="str">
            <v>K250501R2</v>
          </cell>
          <cell r="J19635">
            <v>46077</v>
          </cell>
          <cell r="K19635">
            <v>4.5</v>
          </cell>
        </row>
        <row r="19636">
          <cell r="C19636" t="str">
            <v>鄭貫中</v>
          </cell>
          <cell r="F19636" t="str">
            <v>M251001R1</v>
          </cell>
          <cell r="J19636">
            <v>46077</v>
          </cell>
          <cell r="K19636">
            <v>3</v>
          </cell>
        </row>
        <row r="19637">
          <cell r="C19637" t="str">
            <v>鄭貫中</v>
          </cell>
          <cell r="F19637" t="str">
            <v>D250101R1</v>
          </cell>
          <cell r="J19637">
            <v>46077</v>
          </cell>
          <cell r="K19637">
            <v>1.5</v>
          </cell>
        </row>
        <row r="19638">
          <cell r="C19638" t="str">
            <v>鄭貫中</v>
          </cell>
          <cell r="F19638" t="str">
            <v>K250501R2</v>
          </cell>
          <cell r="J19638">
            <v>46078</v>
          </cell>
          <cell r="K19638">
            <v>1.5</v>
          </cell>
        </row>
        <row r="19639">
          <cell r="C19639" t="str">
            <v>鄭貫中</v>
          </cell>
          <cell r="J19639">
            <v>46078</v>
          </cell>
          <cell r="K19639">
            <v>1</v>
          </cell>
        </row>
        <row r="19640">
          <cell r="C19640" t="str">
            <v>鄭貫中</v>
          </cell>
          <cell r="F19640" t="str">
            <v>K250501R2</v>
          </cell>
          <cell r="J19640">
            <v>46078</v>
          </cell>
          <cell r="K19640">
            <v>6.5</v>
          </cell>
        </row>
        <row r="19641">
          <cell r="C19641" t="str">
            <v>鄭貫中</v>
          </cell>
          <cell r="F19641" t="str">
            <v>K250501R2</v>
          </cell>
          <cell r="J19641">
            <v>46079</v>
          </cell>
          <cell r="K19641">
            <v>4</v>
          </cell>
        </row>
        <row r="19642">
          <cell r="C19642" t="str">
            <v>鄭貫中</v>
          </cell>
          <cell r="F19642" t="str">
            <v>K250501R2</v>
          </cell>
          <cell r="J19642">
            <v>46079</v>
          </cell>
          <cell r="K19642">
            <v>4</v>
          </cell>
        </row>
        <row r="19643">
          <cell r="C19643" t="str">
            <v>鄭貫中</v>
          </cell>
          <cell r="F19643" t="str">
            <v>K201002P2</v>
          </cell>
          <cell r="J19643">
            <v>46079</v>
          </cell>
          <cell r="K19643">
            <v>1</v>
          </cell>
        </row>
        <row r="19644">
          <cell r="C19644" t="str">
            <v>鄭貫中</v>
          </cell>
          <cell r="F19644" t="str">
            <v>M251001R1</v>
          </cell>
          <cell r="J19644">
            <v>46083</v>
          </cell>
          <cell r="K19644">
            <v>1</v>
          </cell>
        </row>
        <row r="19645">
          <cell r="C19645" t="str">
            <v>鄭貫中</v>
          </cell>
          <cell r="F19645" t="str">
            <v>K250501R2</v>
          </cell>
          <cell r="J19645">
            <v>46083</v>
          </cell>
          <cell r="K19645">
            <v>2</v>
          </cell>
        </row>
        <row r="19646">
          <cell r="C19646" t="str">
            <v>鄭貫中</v>
          </cell>
          <cell r="F19646" t="str">
            <v>K250501R2</v>
          </cell>
          <cell r="J19646">
            <v>46083</v>
          </cell>
          <cell r="K19646">
            <v>3.5</v>
          </cell>
        </row>
        <row r="19647">
          <cell r="C19647" t="str">
            <v>鄭貫中</v>
          </cell>
          <cell r="F19647" t="str">
            <v>D250101R1</v>
          </cell>
          <cell r="J19647">
            <v>46083</v>
          </cell>
          <cell r="K19647">
            <v>2</v>
          </cell>
        </row>
        <row r="19648">
          <cell r="C19648" t="str">
            <v>鄭貫中</v>
          </cell>
          <cell r="F19648" t="str">
            <v>K250501R2</v>
          </cell>
          <cell r="J19648">
            <v>46084</v>
          </cell>
          <cell r="K19648">
            <v>3</v>
          </cell>
        </row>
        <row r="19649">
          <cell r="C19649" t="str">
            <v>鄭貫中</v>
          </cell>
          <cell r="F19649" t="str">
            <v>K250501R2</v>
          </cell>
          <cell r="J19649">
            <v>46084</v>
          </cell>
          <cell r="K19649">
            <v>2</v>
          </cell>
        </row>
        <row r="19650">
          <cell r="C19650" t="str">
            <v>鄭貫中</v>
          </cell>
          <cell r="F19650" t="str">
            <v>D250101R1</v>
          </cell>
          <cell r="J19650">
            <v>46084</v>
          </cell>
          <cell r="K19650">
            <v>4</v>
          </cell>
        </row>
        <row r="19651">
          <cell r="C19651" t="str">
            <v>鄭貫中</v>
          </cell>
          <cell r="F19651" t="str">
            <v>K250501R2</v>
          </cell>
          <cell r="J19651">
            <v>46085</v>
          </cell>
          <cell r="K19651">
            <v>7</v>
          </cell>
        </row>
        <row r="19652">
          <cell r="C19652" t="str">
            <v>鄭貫中</v>
          </cell>
          <cell r="F19652" t="str">
            <v>M251001R1</v>
          </cell>
          <cell r="J19652">
            <v>46085</v>
          </cell>
          <cell r="K19652">
            <v>1.5</v>
          </cell>
        </row>
        <row r="19653">
          <cell r="C19653" t="str">
            <v>鄭貫中</v>
          </cell>
          <cell r="F19653" t="str">
            <v>K250501R2</v>
          </cell>
          <cell r="J19653">
            <v>46086</v>
          </cell>
          <cell r="K19653">
            <v>1</v>
          </cell>
        </row>
        <row r="19654">
          <cell r="C19654" t="str">
            <v>鄭貫中</v>
          </cell>
          <cell r="F19654" t="str">
            <v>M251001R1</v>
          </cell>
          <cell r="J19654">
            <v>46086</v>
          </cell>
          <cell r="K19654">
            <v>3.5</v>
          </cell>
        </row>
        <row r="19655">
          <cell r="C19655" t="str">
            <v>鄭貫中</v>
          </cell>
          <cell r="F19655" t="str">
            <v>K250501R2</v>
          </cell>
          <cell r="J19655">
            <v>46086</v>
          </cell>
          <cell r="K19655">
            <v>4</v>
          </cell>
        </row>
        <row r="19656">
          <cell r="C19656" t="str">
            <v>鄭貫中</v>
          </cell>
          <cell r="F19656" t="str">
            <v>M251001R1</v>
          </cell>
          <cell r="J19656">
            <v>46086</v>
          </cell>
          <cell r="K19656">
            <v>0.5</v>
          </cell>
        </row>
        <row r="19657">
          <cell r="C19657" t="str">
            <v>鄭貫中</v>
          </cell>
          <cell r="F19657" t="str">
            <v>M251001R1</v>
          </cell>
          <cell r="J19657">
            <v>46087</v>
          </cell>
          <cell r="K19657">
            <v>3.5</v>
          </cell>
        </row>
        <row r="19658">
          <cell r="C19658" t="str">
            <v>鄭貫中</v>
          </cell>
          <cell r="F19658" t="str">
            <v>K250501R2</v>
          </cell>
          <cell r="J19658">
            <v>46087</v>
          </cell>
          <cell r="K19658">
            <v>5.5</v>
          </cell>
        </row>
        <row r="19659">
          <cell r="C19659" t="str">
            <v>鄭貫中</v>
          </cell>
          <cell r="F19659" t="str">
            <v>K250501R2</v>
          </cell>
          <cell r="J19659">
            <v>46090</v>
          </cell>
          <cell r="K19659">
            <v>1</v>
          </cell>
        </row>
        <row r="19660">
          <cell r="C19660" t="str">
            <v>鄭貫中</v>
          </cell>
          <cell r="F19660" t="str">
            <v>M251001R1</v>
          </cell>
          <cell r="J19660">
            <v>46090</v>
          </cell>
          <cell r="K19660">
            <v>4</v>
          </cell>
        </row>
        <row r="19661">
          <cell r="C19661" t="str">
            <v>鄭貫中</v>
          </cell>
          <cell r="F19661" t="str">
            <v>K250501R2</v>
          </cell>
          <cell r="J19661">
            <v>46090</v>
          </cell>
          <cell r="K19661">
            <v>4.5</v>
          </cell>
        </row>
        <row r="19662">
          <cell r="C19662" t="str">
            <v>鄭貫中</v>
          </cell>
          <cell r="F19662" t="str">
            <v>K250501R2</v>
          </cell>
          <cell r="J19662">
            <v>46091</v>
          </cell>
          <cell r="K19662">
            <v>8</v>
          </cell>
        </row>
        <row r="19663">
          <cell r="C19663" t="str">
            <v>鄭貫中</v>
          </cell>
          <cell r="F19663" t="str">
            <v>M251001R1</v>
          </cell>
          <cell r="J19663">
            <v>46092</v>
          </cell>
          <cell r="K19663">
            <v>3</v>
          </cell>
        </row>
        <row r="19664">
          <cell r="C19664" t="str">
            <v>鄭貫中</v>
          </cell>
          <cell r="J19664">
            <v>46092</v>
          </cell>
          <cell r="K19664">
            <v>1.5</v>
          </cell>
        </row>
        <row r="19665">
          <cell r="C19665" t="str">
            <v>鄭貫中</v>
          </cell>
          <cell r="F19665" t="str">
            <v>K250501R2</v>
          </cell>
          <cell r="J19665">
            <v>46092</v>
          </cell>
          <cell r="K19665">
            <v>4</v>
          </cell>
        </row>
        <row r="19666">
          <cell r="C19666" t="str">
            <v>鄭貫中</v>
          </cell>
          <cell r="F19666" t="str">
            <v>M251001R1</v>
          </cell>
          <cell r="J19666">
            <v>46093</v>
          </cell>
          <cell r="K19666">
            <v>2</v>
          </cell>
        </row>
        <row r="19667">
          <cell r="C19667" t="str">
            <v>鄭貫中</v>
          </cell>
          <cell r="F19667" t="str">
            <v>K250501R2</v>
          </cell>
          <cell r="J19667">
            <v>46093</v>
          </cell>
          <cell r="K19667">
            <v>5</v>
          </cell>
        </row>
        <row r="19668">
          <cell r="C19668" t="str">
            <v>鄭貫中</v>
          </cell>
          <cell r="F19668" t="str">
            <v>M251001R1</v>
          </cell>
          <cell r="J19668">
            <v>46093</v>
          </cell>
          <cell r="K19668">
            <v>1</v>
          </cell>
        </row>
        <row r="19669">
          <cell r="C19669" t="str">
            <v>鄭貫中</v>
          </cell>
          <cell r="F19669" t="str">
            <v>M251001R1</v>
          </cell>
          <cell r="J19669">
            <v>46094</v>
          </cell>
          <cell r="K19669">
            <v>2</v>
          </cell>
        </row>
        <row r="19670">
          <cell r="C19670" t="str">
            <v>鄭貫中</v>
          </cell>
          <cell r="J19670">
            <v>46094</v>
          </cell>
          <cell r="K19670">
            <v>1</v>
          </cell>
        </row>
        <row r="19671">
          <cell r="C19671" t="str">
            <v>鄭貫中</v>
          </cell>
          <cell r="F19671" t="str">
            <v>K250501R2</v>
          </cell>
          <cell r="J19671">
            <v>46094</v>
          </cell>
          <cell r="K19671">
            <v>5</v>
          </cell>
        </row>
        <row r="19672">
          <cell r="C19672" t="str">
            <v>鄭貫中</v>
          </cell>
          <cell r="J19672">
            <v>46097</v>
          </cell>
          <cell r="K19672">
            <v>2.5</v>
          </cell>
        </row>
        <row r="19673">
          <cell r="C19673" t="str">
            <v>鄭貫中</v>
          </cell>
          <cell r="F19673" t="str">
            <v>K250501R2</v>
          </cell>
          <cell r="J19673">
            <v>46097</v>
          </cell>
          <cell r="K19673">
            <v>5</v>
          </cell>
        </row>
        <row r="19674">
          <cell r="C19674" t="str">
            <v>鄭貫中</v>
          </cell>
          <cell r="F19674" t="str">
            <v>M251001R1</v>
          </cell>
          <cell r="J19674">
            <v>46098</v>
          </cell>
          <cell r="K19674">
            <v>1</v>
          </cell>
        </row>
        <row r="19675">
          <cell r="C19675" t="str">
            <v>鄭貫中</v>
          </cell>
          <cell r="F19675" t="str">
            <v>K250501R2</v>
          </cell>
          <cell r="J19675">
            <v>46098</v>
          </cell>
          <cell r="K19675">
            <v>2</v>
          </cell>
        </row>
        <row r="19676">
          <cell r="C19676" t="str">
            <v>鄭貫中</v>
          </cell>
          <cell r="F19676" t="str">
            <v>K250501R2</v>
          </cell>
          <cell r="J19676">
            <v>46098</v>
          </cell>
          <cell r="K19676">
            <v>5</v>
          </cell>
        </row>
        <row r="19677">
          <cell r="C19677" t="str">
            <v>鄭貫中</v>
          </cell>
          <cell r="F19677" t="str">
            <v>K250501R2</v>
          </cell>
          <cell r="J19677">
            <v>46099</v>
          </cell>
          <cell r="K19677">
            <v>1</v>
          </cell>
        </row>
        <row r="19678">
          <cell r="C19678" t="str">
            <v>鄭貫中</v>
          </cell>
          <cell r="J19678">
            <v>46099</v>
          </cell>
          <cell r="K19678">
            <v>1</v>
          </cell>
        </row>
        <row r="19679">
          <cell r="C19679" t="str">
            <v>鄭貫中</v>
          </cell>
          <cell r="F19679" t="str">
            <v>K250501R2</v>
          </cell>
          <cell r="J19679">
            <v>46099</v>
          </cell>
          <cell r="K19679">
            <v>7</v>
          </cell>
        </row>
        <row r="19680">
          <cell r="C19680" t="str">
            <v>鄭貫中</v>
          </cell>
          <cell r="F19680" t="str">
            <v>M251001R1</v>
          </cell>
          <cell r="J19680">
            <v>46100</v>
          </cell>
          <cell r="K19680">
            <v>2.5</v>
          </cell>
        </row>
        <row r="19681">
          <cell r="C19681" t="str">
            <v>鄭貫中</v>
          </cell>
          <cell r="F19681" t="str">
            <v>K250501R2</v>
          </cell>
          <cell r="J19681">
            <v>46100</v>
          </cell>
          <cell r="K19681">
            <v>6.5</v>
          </cell>
        </row>
        <row r="19682">
          <cell r="C19682" t="str">
            <v>鄭貫中</v>
          </cell>
          <cell r="F19682" t="str">
            <v>M251001R1</v>
          </cell>
          <cell r="J19682">
            <v>46101</v>
          </cell>
          <cell r="K19682">
            <v>2</v>
          </cell>
        </row>
        <row r="19683">
          <cell r="C19683" t="str">
            <v>鄭貫中</v>
          </cell>
          <cell r="F19683" t="str">
            <v>K250501R2</v>
          </cell>
          <cell r="J19683">
            <v>46101</v>
          </cell>
          <cell r="K19683">
            <v>6</v>
          </cell>
        </row>
        <row r="19684">
          <cell r="C19684" t="str">
            <v>鄭貫中</v>
          </cell>
          <cell r="J19684">
            <v>46104</v>
          </cell>
          <cell r="K19684">
            <v>2</v>
          </cell>
        </row>
        <row r="19685">
          <cell r="C19685" t="str">
            <v>鄭貫中</v>
          </cell>
          <cell r="F19685" t="str">
            <v>K250501R2</v>
          </cell>
          <cell r="J19685">
            <v>46104</v>
          </cell>
          <cell r="K19685">
            <v>7</v>
          </cell>
        </row>
        <row r="19686">
          <cell r="C19686" t="str">
            <v>鄭貫中</v>
          </cell>
          <cell r="J19686">
            <v>46105</v>
          </cell>
          <cell r="K19686">
            <v>1.5</v>
          </cell>
        </row>
        <row r="19687">
          <cell r="C19687" t="str">
            <v>鄭貫中</v>
          </cell>
          <cell r="F19687" t="str">
            <v>K250501R2</v>
          </cell>
          <cell r="J19687">
            <v>46105</v>
          </cell>
          <cell r="K19687">
            <v>3</v>
          </cell>
        </row>
        <row r="19688">
          <cell r="C19688" t="str">
            <v>鄭貫中</v>
          </cell>
          <cell r="F19688" t="str">
            <v>K250501R2</v>
          </cell>
          <cell r="J19688">
            <v>46105</v>
          </cell>
          <cell r="K19688">
            <v>4.5</v>
          </cell>
        </row>
        <row r="19689">
          <cell r="C19689" t="str">
            <v>鄭貫中</v>
          </cell>
          <cell r="F19689" t="str">
            <v>K250501R2</v>
          </cell>
          <cell r="J19689">
            <v>46106</v>
          </cell>
          <cell r="K19689">
            <v>5</v>
          </cell>
        </row>
        <row r="19690">
          <cell r="C19690" t="str">
            <v>鄭貫中</v>
          </cell>
          <cell r="F19690" t="str">
            <v>K250501R2</v>
          </cell>
          <cell r="J19690">
            <v>46106</v>
          </cell>
          <cell r="K19690">
            <v>2.5</v>
          </cell>
        </row>
        <row r="19691">
          <cell r="C19691" t="str">
            <v>鄭貫中</v>
          </cell>
          <cell r="F19691" t="str">
            <v>K250501R2</v>
          </cell>
          <cell r="J19691">
            <v>46106</v>
          </cell>
          <cell r="K19691">
            <v>2.5</v>
          </cell>
        </row>
        <row r="19692">
          <cell r="C19692" t="str">
            <v>鄭貫中</v>
          </cell>
          <cell r="F19692" t="str">
            <v>K250501R2</v>
          </cell>
          <cell r="J19692">
            <v>46107</v>
          </cell>
          <cell r="K19692">
            <v>5</v>
          </cell>
        </row>
        <row r="19693">
          <cell r="C19693" t="str">
            <v>鄭貫中</v>
          </cell>
          <cell r="F19693" t="str">
            <v>K250501R2</v>
          </cell>
          <cell r="J19693">
            <v>46107</v>
          </cell>
          <cell r="K19693">
            <v>1</v>
          </cell>
        </row>
        <row r="19694">
          <cell r="C19694" t="str">
            <v>鄭貫中</v>
          </cell>
          <cell r="F19694" t="str">
            <v>K250501R2</v>
          </cell>
          <cell r="J19694">
            <v>46107</v>
          </cell>
          <cell r="K19694">
            <v>3.5</v>
          </cell>
        </row>
        <row r="19695">
          <cell r="C19695" t="str">
            <v>鄭貫中</v>
          </cell>
          <cell r="J19695">
            <v>46108</v>
          </cell>
          <cell r="K19695">
            <v>1.5</v>
          </cell>
        </row>
        <row r="19696">
          <cell r="C19696" t="str">
            <v>鄭貫中</v>
          </cell>
          <cell r="F19696" t="str">
            <v>K250501R2</v>
          </cell>
          <cell r="J19696">
            <v>46108</v>
          </cell>
          <cell r="K19696">
            <v>5.5</v>
          </cell>
        </row>
        <row r="19697">
          <cell r="C19697" t="str">
            <v>鄭貫中</v>
          </cell>
          <cell r="F19697" t="str">
            <v>K250501R2</v>
          </cell>
          <cell r="J19697">
            <v>46108</v>
          </cell>
          <cell r="K19697">
            <v>2.5</v>
          </cell>
        </row>
        <row r="19698">
          <cell r="C19698" t="str">
            <v>鄭貫中</v>
          </cell>
          <cell r="J19698">
            <v>46111</v>
          </cell>
          <cell r="K19698">
            <v>1.5</v>
          </cell>
        </row>
        <row r="19699">
          <cell r="C19699" t="str">
            <v>鄭貫中</v>
          </cell>
          <cell r="F19699" t="str">
            <v>K250501R2</v>
          </cell>
          <cell r="J19699">
            <v>46111</v>
          </cell>
          <cell r="K19699">
            <v>5</v>
          </cell>
        </row>
        <row r="19700">
          <cell r="C19700" t="str">
            <v>鄭貫中</v>
          </cell>
          <cell r="F19700" t="str">
            <v>M250201C1</v>
          </cell>
          <cell r="J19700">
            <v>46111</v>
          </cell>
          <cell r="K19700">
            <v>2</v>
          </cell>
        </row>
        <row r="19701">
          <cell r="C19701" t="str">
            <v>鄭貫中</v>
          </cell>
          <cell r="F19701" t="str">
            <v>K250501R2</v>
          </cell>
          <cell r="J19701">
            <v>46112</v>
          </cell>
          <cell r="K19701">
            <v>7</v>
          </cell>
        </row>
        <row r="19702">
          <cell r="C19702" t="str">
            <v>鄭貫中</v>
          </cell>
          <cell r="F19702" t="str">
            <v>D250101R1</v>
          </cell>
          <cell r="J19702">
            <v>46112</v>
          </cell>
          <cell r="K19702">
            <v>2</v>
          </cell>
        </row>
        <row r="19703">
          <cell r="C19703" t="str">
            <v>鄭貫中</v>
          </cell>
          <cell r="F19703" t="str">
            <v>K250501R2</v>
          </cell>
          <cell r="J19703">
            <v>46113</v>
          </cell>
          <cell r="K19703">
            <v>4</v>
          </cell>
        </row>
        <row r="19704">
          <cell r="C19704" t="str">
            <v>鄭貫中</v>
          </cell>
          <cell r="F19704" t="str">
            <v>M251001R1</v>
          </cell>
          <cell r="J19704">
            <v>46113</v>
          </cell>
          <cell r="K19704">
            <v>3</v>
          </cell>
        </row>
        <row r="19705">
          <cell r="C19705" t="str">
            <v>鄭貫中</v>
          </cell>
          <cell r="F19705" t="str">
            <v>M250201C1</v>
          </cell>
          <cell r="J19705">
            <v>46113</v>
          </cell>
          <cell r="K19705">
            <v>1.5</v>
          </cell>
        </row>
        <row r="19706">
          <cell r="C19706" t="str">
            <v>鄭貫中</v>
          </cell>
          <cell r="F19706" t="str">
            <v>K250501R2</v>
          </cell>
          <cell r="J19706">
            <v>46114</v>
          </cell>
          <cell r="K19706">
            <v>6</v>
          </cell>
        </row>
        <row r="19707">
          <cell r="C19707" t="str">
            <v>鄭貫中</v>
          </cell>
          <cell r="F19707" t="str">
            <v>M250201C1</v>
          </cell>
          <cell r="J19707">
            <v>46114</v>
          </cell>
          <cell r="K19707">
            <v>3</v>
          </cell>
        </row>
        <row r="19708">
          <cell r="C19708" t="str">
            <v>鄭貫中</v>
          </cell>
          <cell r="J19708">
            <v>46119</v>
          </cell>
          <cell r="K19708">
            <v>6</v>
          </cell>
        </row>
        <row r="19709">
          <cell r="C19709" t="str">
            <v>鄭貫中</v>
          </cell>
          <cell r="F19709" t="str">
            <v>M250201C1</v>
          </cell>
          <cell r="J19709">
            <v>46119</v>
          </cell>
          <cell r="K19709">
            <v>2.5</v>
          </cell>
        </row>
        <row r="19710">
          <cell r="C19710" t="str">
            <v>鄭貫中</v>
          </cell>
          <cell r="J19710">
            <v>46120</v>
          </cell>
          <cell r="K19710">
            <v>2</v>
          </cell>
        </row>
        <row r="19711">
          <cell r="C19711" t="str">
            <v>鄭貫中</v>
          </cell>
          <cell r="F19711" t="str">
            <v>K250501R2</v>
          </cell>
          <cell r="J19711">
            <v>46120</v>
          </cell>
          <cell r="K19711">
            <v>2</v>
          </cell>
        </row>
        <row r="19712">
          <cell r="C19712" t="str">
            <v>鄭貫中</v>
          </cell>
          <cell r="F19712" t="str">
            <v>K250501R2</v>
          </cell>
          <cell r="J19712">
            <v>46120</v>
          </cell>
          <cell r="K19712">
            <v>1.5</v>
          </cell>
        </row>
        <row r="19713">
          <cell r="C19713" t="str">
            <v>鄭貫中</v>
          </cell>
          <cell r="F19713" t="str">
            <v>M250201C1</v>
          </cell>
          <cell r="J19713">
            <v>46120</v>
          </cell>
          <cell r="K19713">
            <v>3.5</v>
          </cell>
        </row>
        <row r="19714">
          <cell r="C19714" t="str">
            <v>鄭貫中</v>
          </cell>
          <cell r="J19714">
            <v>46121</v>
          </cell>
          <cell r="K19714">
            <v>8</v>
          </cell>
        </row>
        <row r="19715">
          <cell r="C19715" t="str">
            <v>鄭貫中</v>
          </cell>
          <cell r="J19715">
            <v>46122</v>
          </cell>
          <cell r="K19715">
            <v>8</v>
          </cell>
        </row>
        <row r="19716">
          <cell r="C19716" t="str">
            <v>鄭貫中</v>
          </cell>
          <cell r="J19716">
            <v>46125</v>
          </cell>
          <cell r="K19716">
            <v>8</v>
          </cell>
        </row>
        <row r="19717">
          <cell r="C19717" t="str">
            <v>鄭貫中</v>
          </cell>
          <cell r="F19717" t="str">
            <v>K250501R2</v>
          </cell>
          <cell r="J19717">
            <v>46126</v>
          </cell>
          <cell r="K19717">
            <v>6</v>
          </cell>
        </row>
        <row r="19718">
          <cell r="C19718" t="str">
            <v>鄭貫中</v>
          </cell>
          <cell r="F19718" t="str">
            <v>M251001R1</v>
          </cell>
          <cell r="J19718">
            <v>46126</v>
          </cell>
          <cell r="K19718">
            <v>1.5</v>
          </cell>
        </row>
        <row r="19719">
          <cell r="C19719" t="str">
            <v>鄭貫中</v>
          </cell>
          <cell r="F19719" t="str">
            <v>M250201C1</v>
          </cell>
          <cell r="J19719">
            <v>46126</v>
          </cell>
          <cell r="K19719">
            <v>1.5</v>
          </cell>
        </row>
        <row r="19720">
          <cell r="C19720" t="str">
            <v>鄭貫中</v>
          </cell>
          <cell r="F19720" t="str">
            <v>K250501R2</v>
          </cell>
          <cell r="J19720">
            <v>46127</v>
          </cell>
          <cell r="K19720">
            <v>7</v>
          </cell>
        </row>
        <row r="19721">
          <cell r="C19721" t="str">
            <v>鄭貫中</v>
          </cell>
          <cell r="F19721" t="str">
            <v>M251001R1</v>
          </cell>
          <cell r="J19721">
            <v>46127</v>
          </cell>
          <cell r="K19721">
            <v>1.5</v>
          </cell>
        </row>
        <row r="19722">
          <cell r="C19722" t="str">
            <v>鄭貫中</v>
          </cell>
          <cell r="F19722" t="str">
            <v>K250501R2</v>
          </cell>
          <cell r="J19722">
            <v>46128</v>
          </cell>
          <cell r="K19722">
            <v>7</v>
          </cell>
        </row>
        <row r="19723">
          <cell r="C19723" t="str">
            <v>鄭貫中</v>
          </cell>
          <cell r="F19723" t="str">
            <v>K250501R2</v>
          </cell>
          <cell r="J19723">
            <v>46128</v>
          </cell>
          <cell r="K19723">
            <v>1</v>
          </cell>
        </row>
        <row r="19724">
          <cell r="C19724" t="str">
            <v>鄭貫中</v>
          </cell>
          <cell r="F19724" t="str">
            <v>M250201C1</v>
          </cell>
          <cell r="J19724">
            <v>46128</v>
          </cell>
          <cell r="K19724">
            <v>1</v>
          </cell>
        </row>
        <row r="19725">
          <cell r="C19725" t="str">
            <v>鄭貫中</v>
          </cell>
          <cell r="F19725" t="str">
            <v>K250501R2</v>
          </cell>
          <cell r="J19725">
            <v>46129</v>
          </cell>
          <cell r="K19725">
            <v>2.5</v>
          </cell>
        </row>
        <row r="19726">
          <cell r="C19726" t="str">
            <v>鄭貫中</v>
          </cell>
          <cell r="F19726" t="str">
            <v>K250501R2</v>
          </cell>
          <cell r="J19726">
            <v>46129</v>
          </cell>
          <cell r="K19726">
            <v>3</v>
          </cell>
        </row>
        <row r="19727">
          <cell r="C19727" t="str">
            <v>鄭貫中</v>
          </cell>
          <cell r="F19727" t="str">
            <v>M251001R1</v>
          </cell>
          <cell r="J19727">
            <v>46129</v>
          </cell>
          <cell r="K19727">
            <v>1.5</v>
          </cell>
        </row>
        <row r="19728">
          <cell r="C19728" t="str">
            <v>鄭貫中</v>
          </cell>
          <cell r="F19728" t="str">
            <v>K250501R2</v>
          </cell>
          <cell r="J19728">
            <v>46129</v>
          </cell>
          <cell r="K19728">
            <v>2.5</v>
          </cell>
        </row>
        <row r="19729">
          <cell r="C19729" t="str">
            <v>鄭貫中</v>
          </cell>
          <cell r="F19729" t="str">
            <v>K250501R2</v>
          </cell>
          <cell r="J19729">
            <v>46132</v>
          </cell>
          <cell r="K19729">
            <v>5</v>
          </cell>
        </row>
        <row r="19730">
          <cell r="C19730" t="str">
            <v>鄭貫中</v>
          </cell>
          <cell r="F19730" t="str">
            <v>K250501R2</v>
          </cell>
          <cell r="J19730">
            <v>46132</v>
          </cell>
          <cell r="K19730">
            <v>3</v>
          </cell>
        </row>
        <row r="19731">
          <cell r="C19731" t="str">
            <v>鄭貫中</v>
          </cell>
          <cell r="F19731" t="str">
            <v>K250501R2</v>
          </cell>
          <cell r="J19731">
            <v>46132</v>
          </cell>
          <cell r="K19731">
            <v>1</v>
          </cell>
        </row>
        <row r="19732">
          <cell r="C19732" t="str">
            <v>鄭貫中</v>
          </cell>
          <cell r="F19732" t="str">
            <v>M251001R1</v>
          </cell>
          <cell r="J19732">
            <v>46132</v>
          </cell>
          <cell r="K19732">
            <v>0.5</v>
          </cell>
        </row>
        <row r="19733">
          <cell r="C19733" t="str">
            <v>鄭貫中</v>
          </cell>
          <cell r="F19733" t="str">
            <v>K250501R2</v>
          </cell>
          <cell r="J19733">
            <v>46133</v>
          </cell>
          <cell r="K19733">
            <v>3</v>
          </cell>
        </row>
        <row r="19734">
          <cell r="C19734" t="str">
            <v>鄭貫中</v>
          </cell>
          <cell r="F19734" t="str">
            <v>K250501R2</v>
          </cell>
          <cell r="J19734">
            <v>46133</v>
          </cell>
          <cell r="K19734">
            <v>4</v>
          </cell>
        </row>
        <row r="19735">
          <cell r="C19735" t="str">
            <v>鄭貫中</v>
          </cell>
          <cell r="F19735" t="str">
            <v>M250201C1</v>
          </cell>
          <cell r="J19735">
            <v>46133</v>
          </cell>
          <cell r="K19735">
            <v>3</v>
          </cell>
        </row>
        <row r="19736">
          <cell r="C19736" t="str">
            <v>鄭貫中</v>
          </cell>
          <cell r="F19736" t="str">
            <v>K250501R2</v>
          </cell>
          <cell r="J19736">
            <v>46134</v>
          </cell>
          <cell r="K19736">
            <v>3</v>
          </cell>
        </row>
        <row r="19737">
          <cell r="C19737" t="str">
            <v>鄭貫中</v>
          </cell>
          <cell r="F19737" t="str">
            <v>K250501R2</v>
          </cell>
          <cell r="J19737">
            <v>46134</v>
          </cell>
          <cell r="K19737">
            <v>3</v>
          </cell>
        </row>
        <row r="19738">
          <cell r="C19738" t="str">
            <v>鄭貫中</v>
          </cell>
          <cell r="F19738" t="str">
            <v>M250201C1</v>
          </cell>
          <cell r="J19738">
            <v>46134</v>
          </cell>
          <cell r="K19738">
            <v>2.5</v>
          </cell>
        </row>
        <row r="19739">
          <cell r="C19739" t="str">
            <v>鄭貫中</v>
          </cell>
          <cell r="F19739" t="str">
            <v>K250501R2</v>
          </cell>
          <cell r="J19739">
            <v>46135</v>
          </cell>
          <cell r="K19739">
            <v>4</v>
          </cell>
        </row>
        <row r="19740">
          <cell r="C19740" t="str">
            <v>鄭貫中</v>
          </cell>
          <cell r="F19740" t="str">
            <v>M251001R1</v>
          </cell>
          <cell r="J19740">
            <v>46135</v>
          </cell>
          <cell r="K19740">
            <v>1</v>
          </cell>
        </row>
        <row r="19741">
          <cell r="C19741" t="str">
            <v>鄭貫中</v>
          </cell>
          <cell r="F19741" t="str">
            <v>M250201C1</v>
          </cell>
          <cell r="J19741">
            <v>46135</v>
          </cell>
          <cell r="K19741">
            <v>4</v>
          </cell>
        </row>
        <row r="19742">
          <cell r="C19742" t="str">
            <v>鄭貫中</v>
          </cell>
          <cell r="F19742" t="str">
            <v>K250501R2</v>
          </cell>
          <cell r="J19742">
            <v>46136</v>
          </cell>
          <cell r="K19742">
            <v>1</v>
          </cell>
        </row>
        <row r="19743">
          <cell r="C19743" t="str">
            <v>鄭貫中</v>
          </cell>
          <cell r="F19743" t="str">
            <v>K250501R2</v>
          </cell>
          <cell r="J19743">
            <v>46136</v>
          </cell>
          <cell r="K19743">
            <v>4</v>
          </cell>
        </row>
        <row r="19744">
          <cell r="C19744" t="str">
            <v>鄭貫中</v>
          </cell>
          <cell r="F19744" t="str">
            <v>M250201C1</v>
          </cell>
          <cell r="J19744">
            <v>46136</v>
          </cell>
          <cell r="K19744">
            <v>4</v>
          </cell>
        </row>
        <row r="19745">
          <cell r="C19745" t="str">
            <v>鄭貫中</v>
          </cell>
          <cell r="F19745" t="str">
            <v>K250501R2</v>
          </cell>
          <cell r="J19745">
            <v>46139</v>
          </cell>
          <cell r="K19745">
            <v>4.5</v>
          </cell>
        </row>
        <row r="19746">
          <cell r="C19746" t="str">
            <v>鄭貫中</v>
          </cell>
          <cell r="F19746" t="str">
            <v>M251001R1</v>
          </cell>
          <cell r="J19746">
            <v>46139</v>
          </cell>
          <cell r="K19746">
            <v>1.5</v>
          </cell>
        </row>
        <row r="19747">
          <cell r="C19747" t="str">
            <v>鄭貫中</v>
          </cell>
          <cell r="F19747" t="str">
            <v>K250501R2</v>
          </cell>
          <cell r="J19747">
            <v>46139</v>
          </cell>
          <cell r="K19747">
            <v>3</v>
          </cell>
        </row>
        <row r="19748">
          <cell r="C19748" t="str">
            <v>鄭貫中</v>
          </cell>
          <cell r="F19748" t="str">
            <v>K250501R2</v>
          </cell>
          <cell r="J19748">
            <v>46140</v>
          </cell>
          <cell r="K19748">
            <v>4.5</v>
          </cell>
        </row>
        <row r="19749">
          <cell r="C19749" t="str">
            <v>鄭貫中</v>
          </cell>
          <cell r="F19749" t="str">
            <v>M251001R1</v>
          </cell>
          <cell r="J19749">
            <v>46140</v>
          </cell>
          <cell r="K19749">
            <v>1.5</v>
          </cell>
        </row>
        <row r="19750">
          <cell r="C19750" t="str">
            <v>鄭貫中</v>
          </cell>
          <cell r="F19750" t="str">
            <v>M250201C1</v>
          </cell>
          <cell r="J19750">
            <v>46140</v>
          </cell>
          <cell r="K19750">
            <v>2.5</v>
          </cell>
        </row>
        <row r="19751">
          <cell r="C19751" t="str">
            <v>鄭貫中</v>
          </cell>
          <cell r="F19751" t="str">
            <v>M251001R1</v>
          </cell>
          <cell r="J19751">
            <v>46141</v>
          </cell>
          <cell r="K19751">
            <v>1</v>
          </cell>
        </row>
        <row r="19752">
          <cell r="C19752" t="str">
            <v>鄭貫中</v>
          </cell>
          <cell r="F19752" t="str">
            <v>K250501R2</v>
          </cell>
          <cell r="J19752">
            <v>46141</v>
          </cell>
          <cell r="K19752">
            <v>2.5</v>
          </cell>
        </row>
        <row r="19753">
          <cell r="C19753" t="str">
            <v>鄭貫中</v>
          </cell>
          <cell r="F19753" t="str">
            <v>K250501R2</v>
          </cell>
          <cell r="J19753">
            <v>46141</v>
          </cell>
          <cell r="K19753">
            <v>3</v>
          </cell>
        </row>
        <row r="19754">
          <cell r="C19754" t="str">
            <v>鄭貫中</v>
          </cell>
          <cell r="F19754" t="str">
            <v>M250201C1</v>
          </cell>
          <cell r="J19754">
            <v>46141</v>
          </cell>
          <cell r="K19754">
            <v>2.5</v>
          </cell>
        </row>
        <row r="19755">
          <cell r="C19755" t="str">
            <v>鄭貫中</v>
          </cell>
          <cell r="F19755" t="str">
            <v>K250501R2</v>
          </cell>
          <cell r="J19755">
            <v>46142</v>
          </cell>
          <cell r="K19755">
            <v>6</v>
          </cell>
        </row>
        <row r="19756">
          <cell r="C19756" t="str">
            <v>鄭貫中</v>
          </cell>
          <cell r="F19756" t="str">
            <v>M251001R1</v>
          </cell>
          <cell r="J19756">
            <v>46142</v>
          </cell>
          <cell r="K19756">
            <v>3</v>
          </cell>
        </row>
        <row r="19757">
          <cell r="C19757" t="str">
            <v>鄭貫中</v>
          </cell>
          <cell r="F19757" t="str">
            <v>K250501R2</v>
          </cell>
          <cell r="J19757">
            <v>46146</v>
          </cell>
          <cell r="K19757">
            <v>5</v>
          </cell>
        </row>
        <row r="19758">
          <cell r="C19758" t="str">
            <v>鄭貫中</v>
          </cell>
          <cell r="J19758">
            <v>46146</v>
          </cell>
          <cell r="K19758">
            <v>1.5</v>
          </cell>
        </row>
        <row r="19759">
          <cell r="C19759" t="str">
            <v>鄭貫中</v>
          </cell>
          <cell r="F19759" t="str">
            <v>K250501R2</v>
          </cell>
          <cell r="J19759">
            <v>46146</v>
          </cell>
          <cell r="K19759">
            <v>2.5</v>
          </cell>
        </row>
        <row r="19760">
          <cell r="C19760" t="str">
            <v>鄭貫中</v>
          </cell>
          <cell r="F19760" t="str">
            <v>K250501R2</v>
          </cell>
          <cell r="J19760">
            <v>46147</v>
          </cell>
          <cell r="K19760">
            <v>3.5</v>
          </cell>
        </row>
        <row r="19761">
          <cell r="C19761" t="str">
            <v>鄭貫中</v>
          </cell>
          <cell r="F19761" t="str">
            <v>M251001R1</v>
          </cell>
          <cell r="J19761">
            <v>46147</v>
          </cell>
          <cell r="K19761">
            <v>2</v>
          </cell>
        </row>
        <row r="19762">
          <cell r="C19762" t="str">
            <v>鄭貫中</v>
          </cell>
          <cell r="F19762" t="str">
            <v>M250201C1</v>
          </cell>
          <cell r="J19762">
            <v>46147</v>
          </cell>
          <cell r="K19762">
            <v>3.5</v>
          </cell>
        </row>
        <row r="19763">
          <cell r="C19763" t="str">
            <v>鄭貫中</v>
          </cell>
          <cell r="F19763" t="str">
            <v>K250501R2</v>
          </cell>
          <cell r="J19763">
            <v>46148</v>
          </cell>
          <cell r="K19763">
            <v>2</v>
          </cell>
        </row>
        <row r="19764">
          <cell r="C19764" t="str">
            <v>鄭貫中</v>
          </cell>
          <cell r="F19764" t="str">
            <v>M251001R1</v>
          </cell>
          <cell r="J19764">
            <v>46148</v>
          </cell>
          <cell r="K19764">
            <v>1</v>
          </cell>
        </row>
        <row r="19765">
          <cell r="C19765" t="str">
            <v>鄭貫中</v>
          </cell>
          <cell r="F19765" t="str">
            <v>D260403R1</v>
          </cell>
          <cell r="J19765">
            <v>46148</v>
          </cell>
          <cell r="K19765">
            <v>3</v>
          </cell>
        </row>
        <row r="19766">
          <cell r="C19766" t="str">
            <v>鄭貫中</v>
          </cell>
          <cell r="F19766" t="str">
            <v>M250201C1</v>
          </cell>
          <cell r="J19766">
            <v>46148</v>
          </cell>
          <cell r="K19766">
            <v>2</v>
          </cell>
        </row>
        <row r="19767">
          <cell r="C19767" t="str">
            <v>鄭貫中</v>
          </cell>
          <cell r="J19767">
            <v>46149</v>
          </cell>
          <cell r="K19767">
            <v>1</v>
          </cell>
        </row>
        <row r="19768">
          <cell r="C19768" t="str">
            <v>鄭貫中</v>
          </cell>
          <cell r="F19768" t="str">
            <v>K250501R2</v>
          </cell>
          <cell r="J19768">
            <v>46149</v>
          </cell>
          <cell r="K19768">
            <v>2.5</v>
          </cell>
        </row>
        <row r="19769">
          <cell r="C19769" t="str">
            <v>鄭貫中</v>
          </cell>
          <cell r="F19769" t="str">
            <v>M251001R1</v>
          </cell>
          <cell r="J19769">
            <v>46149</v>
          </cell>
          <cell r="K19769">
            <v>1</v>
          </cell>
        </row>
        <row r="19770">
          <cell r="C19770" t="str">
            <v>鄭貫中</v>
          </cell>
          <cell r="F19770" t="str">
            <v>D260403R1</v>
          </cell>
          <cell r="J19770">
            <v>46149</v>
          </cell>
          <cell r="K19770">
            <v>4</v>
          </cell>
        </row>
        <row r="19771">
          <cell r="C19771" t="str">
            <v>鄭貫中</v>
          </cell>
          <cell r="F19771" t="str">
            <v>M251001R1</v>
          </cell>
          <cell r="J19771">
            <v>46150</v>
          </cell>
          <cell r="K19771">
            <v>1</v>
          </cell>
        </row>
        <row r="19772">
          <cell r="C19772" t="str">
            <v>鄭貫中</v>
          </cell>
          <cell r="F19772" t="str">
            <v>K250501R2</v>
          </cell>
          <cell r="J19772">
            <v>46150</v>
          </cell>
          <cell r="K19772">
            <v>5</v>
          </cell>
        </row>
        <row r="19773">
          <cell r="C19773" t="str">
            <v>鄭貫中</v>
          </cell>
          <cell r="F19773" t="str">
            <v>D260403R1</v>
          </cell>
          <cell r="J19773">
            <v>46150</v>
          </cell>
          <cell r="K19773">
            <v>3</v>
          </cell>
        </row>
        <row r="19774">
          <cell r="C19774" t="str">
            <v>鄭貫中</v>
          </cell>
          <cell r="J19774">
            <v>46153</v>
          </cell>
          <cell r="K19774">
            <v>4</v>
          </cell>
        </row>
        <row r="19775">
          <cell r="C19775" t="str">
            <v>鄭貫中</v>
          </cell>
          <cell r="F19775" t="str">
            <v>K250501R2</v>
          </cell>
          <cell r="J19775">
            <v>46153</v>
          </cell>
          <cell r="K19775">
            <v>5</v>
          </cell>
        </row>
        <row r="19776">
          <cell r="C19776" t="str">
            <v>鄭貫中</v>
          </cell>
          <cell r="F19776" t="str">
            <v>K250501R2</v>
          </cell>
          <cell r="J19776">
            <v>46154</v>
          </cell>
          <cell r="K19776">
            <v>3.5</v>
          </cell>
        </row>
        <row r="19777">
          <cell r="C19777" t="str">
            <v>鄭貫中</v>
          </cell>
          <cell r="F19777" t="str">
            <v>M250201C1</v>
          </cell>
          <cell r="J19777">
            <v>46154</v>
          </cell>
          <cell r="K19777">
            <v>3</v>
          </cell>
        </row>
        <row r="19778">
          <cell r="C19778" t="str">
            <v>鄭貫中</v>
          </cell>
          <cell r="F19778" t="str">
            <v>M251001R1</v>
          </cell>
          <cell r="J19778">
            <v>46154</v>
          </cell>
          <cell r="K19778">
            <v>3</v>
          </cell>
        </row>
        <row r="19779">
          <cell r="C19779" t="str">
            <v>鄭貫中</v>
          </cell>
          <cell r="F19779" t="str">
            <v>K251001R1</v>
          </cell>
          <cell r="J19779">
            <v>46155</v>
          </cell>
          <cell r="K19779">
            <v>1.5</v>
          </cell>
        </row>
        <row r="19780">
          <cell r="C19780" t="str">
            <v>鄭貫中</v>
          </cell>
          <cell r="F19780" t="str">
            <v>K250501R2</v>
          </cell>
          <cell r="J19780">
            <v>46155</v>
          </cell>
          <cell r="K19780">
            <v>5</v>
          </cell>
        </row>
        <row r="19781">
          <cell r="C19781" t="str">
            <v>鄭貫中</v>
          </cell>
          <cell r="F19781" t="str">
            <v>M251001R1</v>
          </cell>
          <cell r="J19781">
            <v>46155</v>
          </cell>
          <cell r="K19781">
            <v>1.5</v>
          </cell>
        </row>
        <row r="19782">
          <cell r="C19782" t="str">
            <v>鄭貫中</v>
          </cell>
          <cell r="F19782" t="str">
            <v>M250201C1</v>
          </cell>
          <cell r="J19782">
            <v>46155</v>
          </cell>
          <cell r="K19782">
            <v>1</v>
          </cell>
        </row>
        <row r="19783">
          <cell r="C19783" t="str">
            <v>鄭貫中</v>
          </cell>
          <cell r="F19783" t="str">
            <v>D260403R1</v>
          </cell>
          <cell r="J19783">
            <v>46156</v>
          </cell>
          <cell r="K19783">
            <v>1.5</v>
          </cell>
        </row>
        <row r="19784">
          <cell r="C19784" t="str">
            <v>鄭貫中</v>
          </cell>
          <cell r="F19784" t="str">
            <v>K251001R1</v>
          </cell>
          <cell r="J19784">
            <v>46156</v>
          </cell>
          <cell r="K19784">
            <v>1.5</v>
          </cell>
        </row>
        <row r="19785">
          <cell r="C19785" t="str">
            <v>鄭貫中</v>
          </cell>
          <cell r="F19785" t="str">
            <v>K250501R2</v>
          </cell>
          <cell r="J19785">
            <v>46156</v>
          </cell>
          <cell r="K19785">
            <v>4</v>
          </cell>
        </row>
        <row r="19786">
          <cell r="C19786" t="str">
            <v>鄭貫中</v>
          </cell>
          <cell r="F19786" t="str">
            <v>M251001R1</v>
          </cell>
          <cell r="J19786">
            <v>46156</v>
          </cell>
          <cell r="K19786">
            <v>1</v>
          </cell>
        </row>
        <row r="19787">
          <cell r="C19787" t="str">
            <v>鄭貫中</v>
          </cell>
          <cell r="F19787" t="str">
            <v>M251001R1</v>
          </cell>
          <cell r="J19787">
            <v>46157</v>
          </cell>
          <cell r="K19787">
            <v>1.5</v>
          </cell>
        </row>
        <row r="19788">
          <cell r="C19788" t="str">
            <v>鄭貫中</v>
          </cell>
          <cell r="F19788" t="str">
            <v>K251001R1</v>
          </cell>
          <cell r="J19788">
            <v>46157</v>
          </cell>
          <cell r="K19788">
            <v>3</v>
          </cell>
        </row>
        <row r="19789">
          <cell r="C19789" t="str">
            <v>鄭貫中</v>
          </cell>
          <cell r="F19789" t="str">
            <v>K250501R2</v>
          </cell>
          <cell r="J19789">
            <v>46157</v>
          </cell>
          <cell r="K19789">
            <v>2</v>
          </cell>
        </row>
        <row r="19790">
          <cell r="C19790" t="str">
            <v>鄭貫中</v>
          </cell>
          <cell r="F19790" t="str">
            <v>D260402R1</v>
          </cell>
          <cell r="J19790">
            <v>46157</v>
          </cell>
          <cell r="K19790">
            <v>2</v>
          </cell>
        </row>
        <row r="19791">
          <cell r="C19791" t="str">
            <v>鄭貫中</v>
          </cell>
          <cell r="F19791" t="str">
            <v>M251001R1</v>
          </cell>
          <cell r="J19791">
            <v>46160</v>
          </cell>
          <cell r="K19791">
            <v>3.5</v>
          </cell>
        </row>
        <row r="19792">
          <cell r="C19792" t="str">
            <v>鄭貫中</v>
          </cell>
          <cell r="F19792" t="str">
            <v>M251001R1</v>
          </cell>
          <cell r="J19792">
            <v>46160</v>
          </cell>
          <cell r="K19792">
            <v>1.5</v>
          </cell>
        </row>
        <row r="19793">
          <cell r="C19793" t="str">
            <v>鄭貫中</v>
          </cell>
          <cell r="F19793" t="str">
            <v>K250501R2</v>
          </cell>
          <cell r="J19793">
            <v>46160</v>
          </cell>
          <cell r="K19793">
            <v>0.5</v>
          </cell>
        </row>
        <row r="19794">
          <cell r="C19794" t="str">
            <v>鄭貫中</v>
          </cell>
          <cell r="F19794" t="str">
            <v>D260402R1</v>
          </cell>
          <cell r="J19794">
            <v>46160</v>
          </cell>
          <cell r="K19794">
            <v>1.5</v>
          </cell>
        </row>
        <row r="19795">
          <cell r="C19795" t="str">
            <v>鄭貫中</v>
          </cell>
          <cell r="F19795" t="str">
            <v>D260403R1</v>
          </cell>
          <cell r="J19795">
            <v>46160</v>
          </cell>
          <cell r="K19795">
            <v>2.5</v>
          </cell>
        </row>
        <row r="19796">
          <cell r="C19796" t="str">
            <v>鄭貫中</v>
          </cell>
          <cell r="F19796" t="str">
            <v>M251001R1</v>
          </cell>
          <cell r="J19796">
            <v>46161</v>
          </cell>
          <cell r="K19796">
            <v>4</v>
          </cell>
        </row>
        <row r="19797">
          <cell r="C19797" t="str">
            <v>鄭貫中</v>
          </cell>
          <cell r="F19797" t="str">
            <v>K250501R2</v>
          </cell>
          <cell r="J19797">
            <v>46161</v>
          </cell>
          <cell r="K19797">
            <v>1</v>
          </cell>
        </row>
        <row r="19798">
          <cell r="C19798" t="str">
            <v>鄭貫中</v>
          </cell>
          <cell r="F19798" t="str">
            <v>D260403R1</v>
          </cell>
          <cell r="J19798">
            <v>46161</v>
          </cell>
          <cell r="K19798">
            <v>3</v>
          </cell>
        </row>
        <row r="19799">
          <cell r="C19799" t="str">
            <v>鄭貫中</v>
          </cell>
          <cell r="J19799">
            <v>46162</v>
          </cell>
          <cell r="K19799">
            <v>1</v>
          </cell>
        </row>
        <row r="19800">
          <cell r="C19800" t="str">
            <v>鄭貫中</v>
          </cell>
          <cell r="F19800" t="str">
            <v>M251001R1</v>
          </cell>
          <cell r="J19800">
            <v>46162</v>
          </cell>
          <cell r="K19800">
            <v>2.5</v>
          </cell>
        </row>
        <row r="19801">
          <cell r="C19801" t="str">
            <v>鄭貫中</v>
          </cell>
          <cell r="F19801" t="str">
            <v>K250501R2</v>
          </cell>
          <cell r="J19801">
            <v>46162</v>
          </cell>
          <cell r="K19801">
            <v>2.5</v>
          </cell>
        </row>
        <row r="19802">
          <cell r="C19802" t="str">
            <v>鄭貫中</v>
          </cell>
          <cell r="F19802" t="str">
            <v>D260403R1</v>
          </cell>
          <cell r="J19802">
            <v>46162</v>
          </cell>
          <cell r="K19802">
            <v>1</v>
          </cell>
        </row>
        <row r="19803">
          <cell r="C19803" t="str">
            <v>鄭貫中</v>
          </cell>
          <cell r="F19803" t="str">
            <v>M251001R1</v>
          </cell>
          <cell r="J19803">
            <v>46162</v>
          </cell>
          <cell r="K19803">
            <v>1</v>
          </cell>
        </row>
        <row r="19804">
          <cell r="C19804" t="str">
            <v>蔣永華</v>
          </cell>
          <cell r="J19804">
            <v>46000</v>
          </cell>
          <cell r="K19804">
            <v>2</v>
          </cell>
        </row>
        <row r="19805">
          <cell r="C19805" t="str">
            <v>蔣永華</v>
          </cell>
          <cell r="J19805">
            <v>46000</v>
          </cell>
          <cell r="K19805">
            <v>1</v>
          </cell>
        </row>
        <row r="19806">
          <cell r="C19806" t="str">
            <v>蔣永華</v>
          </cell>
          <cell r="J19806">
            <v>46000</v>
          </cell>
          <cell r="K19806">
            <v>1</v>
          </cell>
        </row>
        <row r="19807">
          <cell r="C19807" t="str">
            <v>蔣永華</v>
          </cell>
          <cell r="F19807" t="str">
            <v>K250501R1</v>
          </cell>
          <cell r="J19807">
            <v>46000</v>
          </cell>
          <cell r="K19807">
            <v>4</v>
          </cell>
        </row>
        <row r="19808">
          <cell r="C19808" t="str">
            <v>蔣永華</v>
          </cell>
          <cell r="J19808">
            <v>46001</v>
          </cell>
          <cell r="K19808">
            <v>1</v>
          </cell>
        </row>
        <row r="19809">
          <cell r="C19809" t="str">
            <v>蔣永華</v>
          </cell>
          <cell r="F19809" t="str">
            <v>K250501R1</v>
          </cell>
          <cell r="J19809">
            <v>46001</v>
          </cell>
          <cell r="K19809">
            <v>7</v>
          </cell>
        </row>
        <row r="19810">
          <cell r="C19810" t="str">
            <v>蔣永華</v>
          </cell>
          <cell r="J19810">
            <v>46002</v>
          </cell>
          <cell r="K19810">
            <v>1</v>
          </cell>
        </row>
        <row r="19811">
          <cell r="C19811" t="str">
            <v>蔣永華</v>
          </cell>
          <cell r="F19811" t="str">
            <v>K250501R1</v>
          </cell>
          <cell r="J19811">
            <v>46002</v>
          </cell>
          <cell r="K19811">
            <v>7</v>
          </cell>
        </row>
        <row r="19812">
          <cell r="C19812" t="str">
            <v>蔣永華</v>
          </cell>
          <cell r="F19812" t="str">
            <v>K250501R1</v>
          </cell>
          <cell r="J19812">
            <v>46003</v>
          </cell>
          <cell r="K19812">
            <v>1</v>
          </cell>
        </row>
        <row r="19813">
          <cell r="C19813" t="str">
            <v>蔣永華</v>
          </cell>
          <cell r="F19813" t="str">
            <v>K250501R1</v>
          </cell>
          <cell r="J19813">
            <v>46003</v>
          </cell>
          <cell r="K19813">
            <v>7</v>
          </cell>
        </row>
        <row r="19814">
          <cell r="C19814" t="str">
            <v>蔣永華</v>
          </cell>
          <cell r="F19814" t="str">
            <v>K251101R1</v>
          </cell>
          <cell r="J19814">
            <v>46006</v>
          </cell>
          <cell r="K19814">
            <v>8</v>
          </cell>
        </row>
        <row r="19815">
          <cell r="C19815" t="str">
            <v>蔣永華</v>
          </cell>
          <cell r="F19815" t="str">
            <v>K251101R1</v>
          </cell>
          <cell r="J19815">
            <v>46007</v>
          </cell>
          <cell r="K19815">
            <v>8</v>
          </cell>
        </row>
        <row r="19816">
          <cell r="C19816" t="str">
            <v>蔣永華</v>
          </cell>
          <cell r="F19816" t="str">
            <v>K251101R1</v>
          </cell>
          <cell r="J19816">
            <v>46008</v>
          </cell>
          <cell r="K19816">
            <v>8</v>
          </cell>
        </row>
        <row r="19817">
          <cell r="C19817" t="str">
            <v>蔣永華</v>
          </cell>
          <cell r="J19817">
            <v>46009</v>
          </cell>
          <cell r="K19817">
            <v>1</v>
          </cell>
        </row>
        <row r="19818">
          <cell r="C19818" t="str">
            <v>蔣永華</v>
          </cell>
          <cell r="F19818" t="str">
            <v>K251101R1</v>
          </cell>
          <cell r="J19818">
            <v>46009</v>
          </cell>
          <cell r="K19818">
            <v>7</v>
          </cell>
        </row>
        <row r="19819">
          <cell r="C19819" t="str">
            <v>蔣永華</v>
          </cell>
          <cell r="F19819" t="str">
            <v>K251101R1</v>
          </cell>
          <cell r="J19819">
            <v>46010</v>
          </cell>
          <cell r="K19819">
            <v>2</v>
          </cell>
        </row>
        <row r="19820">
          <cell r="C19820" t="str">
            <v>蔣永華</v>
          </cell>
          <cell r="F19820" t="str">
            <v>K250501R1</v>
          </cell>
          <cell r="J19820">
            <v>46010</v>
          </cell>
          <cell r="K19820">
            <v>6</v>
          </cell>
        </row>
        <row r="19821">
          <cell r="C19821" t="str">
            <v>蔣永華</v>
          </cell>
          <cell r="F19821" t="str">
            <v>K251101R1</v>
          </cell>
          <cell r="J19821">
            <v>46013</v>
          </cell>
          <cell r="K19821">
            <v>6</v>
          </cell>
        </row>
        <row r="19822">
          <cell r="C19822" t="str">
            <v>蔣永華</v>
          </cell>
          <cell r="F19822" t="str">
            <v>K250501R1</v>
          </cell>
          <cell r="J19822">
            <v>46013</v>
          </cell>
          <cell r="K19822">
            <v>1</v>
          </cell>
        </row>
        <row r="19823">
          <cell r="C19823" t="str">
            <v>蔣永華</v>
          </cell>
          <cell r="F19823" t="str">
            <v>M251001R1</v>
          </cell>
          <cell r="J19823">
            <v>46013</v>
          </cell>
          <cell r="K19823">
            <v>1</v>
          </cell>
        </row>
        <row r="19824">
          <cell r="C19824" t="str">
            <v>蔣永華</v>
          </cell>
          <cell r="F19824" t="str">
            <v>K251101R1</v>
          </cell>
          <cell r="J19824">
            <v>46014</v>
          </cell>
          <cell r="K19824">
            <v>7</v>
          </cell>
        </row>
        <row r="19825">
          <cell r="C19825" t="str">
            <v>蔣永華</v>
          </cell>
          <cell r="F19825" t="str">
            <v>K251101R1</v>
          </cell>
          <cell r="J19825">
            <v>46014</v>
          </cell>
          <cell r="K19825">
            <v>1</v>
          </cell>
        </row>
        <row r="19826">
          <cell r="C19826" t="str">
            <v>蔣永華</v>
          </cell>
          <cell r="J19826">
            <v>46015</v>
          </cell>
          <cell r="K19826">
            <v>1.5</v>
          </cell>
        </row>
        <row r="19827">
          <cell r="C19827" t="str">
            <v>蔣永華</v>
          </cell>
          <cell r="F19827" t="str">
            <v>M251001R1</v>
          </cell>
          <cell r="J19827">
            <v>46015</v>
          </cell>
          <cell r="K19827">
            <v>0.5</v>
          </cell>
        </row>
        <row r="19828">
          <cell r="C19828" t="str">
            <v>蔣永華</v>
          </cell>
          <cell r="F19828" t="str">
            <v>M251001R1</v>
          </cell>
          <cell r="J19828">
            <v>46015</v>
          </cell>
          <cell r="K19828">
            <v>6</v>
          </cell>
        </row>
        <row r="19829">
          <cell r="C19829" t="str">
            <v>蔣永華</v>
          </cell>
          <cell r="F19829" t="str">
            <v>M251001R1</v>
          </cell>
          <cell r="J19829">
            <v>46017</v>
          </cell>
          <cell r="K19829">
            <v>8</v>
          </cell>
        </row>
        <row r="19830">
          <cell r="C19830" t="str">
            <v>蔣永華</v>
          </cell>
          <cell r="F19830" t="str">
            <v>K251101R1</v>
          </cell>
          <cell r="J19830">
            <v>46020</v>
          </cell>
          <cell r="K19830">
            <v>8</v>
          </cell>
        </row>
        <row r="19831">
          <cell r="C19831" t="str">
            <v>蔣永華</v>
          </cell>
          <cell r="F19831" t="str">
            <v>K251101R1</v>
          </cell>
          <cell r="J19831">
            <v>46021</v>
          </cell>
          <cell r="K19831">
            <v>8</v>
          </cell>
        </row>
        <row r="19832">
          <cell r="C19832" t="str">
            <v>蔣永華</v>
          </cell>
          <cell r="F19832" t="str">
            <v>K251101R1</v>
          </cell>
          <cell r="J19832">
            <v>46022</v>
          </cell>
          <cell r="K19832">
            <v>5</v>
          </cell>
        </row>
        <row r="19833">
          <cell r="C19833" t="str">
            <v>蔣永華</v>
          </cell>
          <cell r="F19833" t="str">
            <v>M251001R1</v>
          </cell>
          <cell r="J19833">
            <v>46022</v>
          </cell>
          <cell r="K19833">
            <v>3</v>
          </cell>
        </row>
        <row r="19834">
          <cell r="C19834" t="str">
            <v>蔣永華</v>
          </cell>
          <cell r="J19834">
            <v>46024</v>
          </cell>
          <cell r="K19834">
            <v>1</v>
          </cell>
        </row>
        <row r="19835">
          <cell r="C19835" t="str">
            <v>蔣永華</v>
          </cell>
          <cell r="F19835" t="str">
            <v>K251101R1</v>
          </cell>
          <cell r="J19835">
            <v>46024</v>
          </cell>
          <cell r="K19835">
            <v>7</v>
          </cell>
        </row>
        <row r="19836">
          <cell r="C19836" t="str">
            <v>蔣永華</v>
          </cell>
          <cell r="F19836" t="str">
            <v>K251101R1</v>
          </cell>
          <cell r="J19836">
            <v>46027</v>
          </cell>
          <cell r="K19836">
            <v>1</v>
          </cell>
        </row>
        <row r="19837">
          <cell r="C19837" t="str">
            <v>蔣永華</v>
          </cell>
          <cell r="F19837" t="str">
            <v>K251101R1</v>
          </cell>
          <cell r="J19837">
            <v>46027</v>
          </cell>
          <cell r="K19837">
            <v>1</v>
          </cell>
        </row>
        <row r="19838">
          <cell r="C19838" t="str">
            <v>蔣永華</v>
          </cell>
          <cell r="F19838" t="str">
            <v>K251101R1</v>
          </cell>
          <cell r="J19838">
            <v>46027</v>
          </cell>
          <cell r="K19838">
            <v>1</v>
          </cell>
        </row>
        <row r="19839">
          <cell r="C19839" t="str">
            <v>蔣永華</v>
          </cell>
          <cell r="F19839" t="str">
            <v>M251001R1</v>
          </cell>
          <cell r="J19839">
            <v>46027</v>
          </cell>
          <cell r="K19839">
            <v>2</v>
          </cell>
        </row>
        <row r="19840">
          <cell r="C19840" t="str">
            <v>蔣永華</v>
          </cell>
          <cell r="F19840" t="str">
            <v>M251001R1</v>
          </cell>
          <cell r="J19840">
            <v>46027</v>
          </cell>
          <cell r="K19840">
            <v>3</v>
          </cell>
        </row>
        <row r="19841">
          <cell r="C19841" t="str">
            <v>蔣永華</v>
          </cell>
          <cell r="F19841" t="str">
            <v>K251101R1</v>
          </cell>
          <cell r="J19841">
            <v>46028</v>
          </cell>
          <cell r="K19841">
            <v>5</v>
          </cell>
        </row>
        <row r="19842">
          <cell r="C19842" t="str">
            <v>蔣永華</v>
          </cell>
          <cell r="F19842" t="str">
            <v>M251001R1</v>
          </cell>
          <cell r="J19842">
            <v>46028</v>
          </cell>
          <cell r="K19842">
            <v>1</v>
          </cell>
        </row>
        <row r="19843">
          <cell r="C19843" t="str">
            <v>蔣永華</v>
          </cell>
          <cell r="F19843" t="str">
            <v>M251001R1</v>
          </cell>
          <cell r="J19843">
            <v>46028</v>
          </cell>
          <cell r="K19843">
            <v>2</v>
          </cell>
        </row>
        <row r="19844">
          <cell r="C19844" t="str">
            <v>蔣永華</v>
          </cell>
          <cell r="F19844" t="str">
            <v>K251101R1</v>
          </cell>
          <cell r="J19844">
            <v>46029</v>
          </cell>
          <cell r="K19844">
            <v>2</v>
          </cell>
        </row>
        <row r="19845">
          <cell r="C19845" t="str">
            <v>蔣永華</v>
          </cell>
          <cell r="F19845" t="str">
            <v>K251101R1</v>
          </cell>
          <cell r="J19845">
            <v>46029</v>
          </cell>
          <cell r="K19845">
            <v>1</v>
          </cell>
        </row>
        <row r="19846">
          <cell r="C19846" t="str">
            <v>蔣永華</v>
          </cell>
          <cell r="F19846" t="str">
            <v>M251001R1</v>
          </cell>
          <cell r="J19846">
            <v>46029</v>
          </cell>
          <cell r="K19846">
            <v>3</v>
          </cell>
        </row>
        <row r="19847">
          <cell r="C19847" t="str">
            <v>蔣永華</v>
          </cell>
          <cell r="F19847" t="str">
            <v>M251001R1</v>
          </cell>
          <cell r="J19847">
            <v>46029</v>
          </cell>
          <cell r="K19847">
            <v>2</v>
          </cell>
        </row>
        <row r="19848">
          <cell r="C19848" t="str">
            <v>蔣永華</v>
          </cell>
          <cell r="J19848">
            <v>46030</v>
          </cell>
          <cell r="K19848">
            <v>1</v>
          </cell>
        </row>
        <row r="19849">
          <cell r="C19849" t="str">
            <v>蔣永華</v>
          </cell>
          <cell r="F19849" t="str">
            <v>K251101R1</v>
          </cell>
          <cell r="J19849">
            <v>46030</v>
          </cell>
          <cell r="K19849">
            <v>7</v>
          </cell>
        </row>
        <row r="19850">
          <cell r="C19850" t="str">
            <v>蔣永華</v>
          </cell>
          <cell r="F19850" t="str">
            <v>K251101R1</v>
          </cell>
          <cell r="J19850">
            <v>46031</v>
          </cell>
          <cell r="K19850">
            <v>6</v>
          </cell>
        </row>
        <row r="19851">
          <cell r="C19851" t="str">
            <v>蔣永華</v>
          </cell>
          <cell r="F19851" t="str">
            <v>M251001R1</v>
          </cell>
          <cell r="J19851">
            <v>46031</v>
          </cell>
          <cell r="K19851">
            <v>2</v>
          </cell>
        </row>
        <row r="19852">
          <cell r="C19852" t="str">
            <v>蔣永華</v>
          </cell>
          <cell r="F19852" t="str">
            <v>K250501R1</v>
          </cell>
          <cell r="J19852">
            <v>46034</v>
          </cell>
          <cell r="K19852">
            <v>1</v>
          </cell>
        </row>
        <row r="19853">
          <cell r="C19853" t="str">
            <v>蔣永華</v>
          </cell>
          <cell r="F19853" t="str">
            <v>K251101R1</v>
          </cell>
          <cell r="J19853">
            <v>46034</v>
          </cell>
          <cell r="K19853">
            <v>7</v>
          </cell>
        </row>
        <row r="19854">
          <cell r="C19854" t="str">
            <v>游雅雯</v>
          </cell>
          <cell r="J19854">
            <v>46111</v>
          </cell>
          <cell r="K19854">
            <v>8</v>
          </cell>
        </row>
        <row r="19855">
          <cell r="C19855" t="str">
            <v>游雅雯</v>
          </cell>
          <cell r="J19855">
            <v>46112</v>
          </cell>
          <cell r="K19855">
            <v>8</v>
          </cell>
        </row>
        <row r="19856">
          <cell r="C19856" t="str">
            <v>游雅雯</v>
          </cell>
          <cell r="J19856">
            <v>46113</v>
          </cell>
          <cell r="K19856">
            <v>8</v>
          </cell>
        </row>
        <row r="19857">
          <cell r="C19857" t="str">
            <v>游雅雯</v>
          </cell>
          <cell r="J19857">
            <v>46114</v>
          </cell>
          <cell r="K19857">
            <v>8</v>
          </cell>
        </row>
        <row r="19858">
          <cell r="C19858" t="str">
            <v>游雅雯</v>
          </cell>
          <cell r="J19858">
            <v>46119</v>
          </cell>
          <cell r="K19858">
            <v>8</v>
          </cell>
        </row>
        <row r="19859">
          <cell r="C19859" t="str">
            <v>游雅雯</v>
          </cell>
          <cell r="J19859">
            <v>46120</v>
          </cell>
          <cell r="K19859">
            <v>8</v>
          </cell>
        </row>
        <row r="19860">
          <cell r="C19860" t="str">
            <v>游雅雯</v>
          </cell>
          <cell r="J19860">
            <v>46121</v>
          </cell>
          <cell r="K19860">
            <v>8</v>
          </cell>
        </row>
        <row r="19861">
          <cell r="C19861" t="str">
            <v>游雅雯</v>
          </cell>
          <cell r="J19861">
            <v>46122</v>
          </cell>
          <cell r="K19861">
            <v>8</v>
          </cell>
        </row>
        <row r="19862">
          <cell r="C19862" t="str">
            <v>游雅雯</v>
          </cell>
          <cell r="J19862">
            <v>46125</v>
          </cell>
          <cell r="K19862">
            <v>8</v>
          </cell>
        </row>
        <row r="19863">
          <cell r="C19863" t="str">
            <v>游雅雯</v>
          </cell>
          <cell r="J19863">
            <v>46126</v>
          </cell>
          <cell r="K19863">
            <v>8</v>
          </cell>
        </row>
        <row r="19864">
          <cell r="C19864" t="str">
            <v>游雅雯</v>
          </cell>
          <cell r="J19864">
            <v>46127</v>
          </cell>
          <cell r="K19864">
            <v>8</v>
          </cell>
        </row>
        <row r="19865">
          <cell r="C19865" t="str">
            <v>游雅雯</v>
          </cell>
          <cell r="J19865">
            <v>46128</v>
          </cell>
          <cell r="K19865">
            <v>8</v>
          </cell>
        </row>
        <row r="19866">
          <cell r="C19866" t="str">
            <v>游雅雯</v>
          </cell>
          <cell r="J19866">
            <v>46129</v>
          </cell>
          <cell r="K19866">
            <v>8</v>
          </cell>
        </row>
        <row r="19867">
          <cell r="C19867" t="str">
            <v>游雅雯</v>
          </cell>
          <cell r="J19867">
            <v>46132</v>
          </cell>
          <cell r="K19867">
            <v>8</v>
          </cell>
        </row>
        <row r="19868">
          <cell r="C19868" t="str">
            <v>游雅雯</v>
          </cell>
          <cell r="J19868">
            <v>46133</v>
          </cell>
          <cell r="K19868">
            <v>8</v>
          </cell>
        </row>
        <row r="19869">
          <cell r="C19869" t="str">
            <v>游雅雯</v>
          </cell>
          <cell r="J19869">
            <v>46134</v>
          </cell>
          <cell r="K19869">
            <v>8</v>
          </cell>
        </row>
        <row r="19870">
          <cell r="C19870" t="str">
            <v>游雅雯</v>
          </cell>
          <cell r="J19870">
            <v>46135</v>
          </cell>
          <cell r="K19870">
            <v>8</v>
          </cell>
        </row>
        <row r="19871">
          <cell r="C19871" t="str">
            <v>游雅雯</v>
          </cell>
          <cell r="J19871">
            <v>46136</v>
          </cell>
          <cell r="K19871">
            <v>8</v>
          </cell>
        </row>
        <row r="19872">
          <cell r="C19872" t="str">
            <v>游雅雯</v>
          </cell>
          <cell r="J19872">
            <v>46139</v>
          </cell>
          <cell r="K19872">
            <v>8</v>
          </cell>
        </row>
        <row r="19873">
          <cell r="C19873" t="str">
            <v>游雅雯</v>
          </cell>
          <cell r="J19873">
            <v>46140</v>
          </cell>
          <cell r="K19873">
            <v>8</v>
          </cell>
        </row>
        <row r="19874">
          <cell r="C19874" t="str">
            <v>游雅雯</v>
          </cell>
          <cell r="J19874">
            <v>46141</v>
          </cell>
          <cell r="K19874">
            <v>8</v>
          </cell>
        </row>
        <row r="19875">
          <cell r="C19875" t="str">
            <v>游雅雯</v>
          </cell>
          <cell r="J19875">
            <v>46142</v>
          </cell>
          <cell r="K19875">
            <v>8</v>
          </cell>
        </row>
        <row r="19876">
          <cell r="C19876" t="str">
            <v>游雅雯</v>
          </cell>
          <cell r="J19876">
            <v>46146</v>
          </cell>
          <cell r="K19876">
            <v>8</v>
          </cell>
        </row>
        <row r="19877">
          <cell r="C19877" t="str">
            <v>游雅雯</v>
          </cell>
          <cell r="J19877">
            <v>46147</v>
          </cell>
          <cell r="K19877">
            <v>8</v>
          </cell>
        </row>
        <row r="19878">
          <cell r="C19878" t="str">
            <v>游雅雯</v>
          </cell>
          <cell r="J19878">
            <v>46148</v>
          </cell>
          <cell r="K19878">
            <v>8</v>
          </cell>
        </row>
        <row r="19879">
          <cell r="C19879" t="str">
            <v>游雅雯</v>
          </cell>
          <cell r="J19879">
            <v>46149</v>
          </cell>
          <cell r="K19879">
            <v>8</v>
          </cell>
        </row>
        <row r="19880">
          <cell r="C19880" t="str">
            <v>游雅雯</v>
          </cell>
          <cell r="J19880">
            <v>46150</v>
          </cell>
          <cell r="K19880">
            <v>8</v>
          </cell>
        </row>
        <row r="19881">
          <cell r="C19881" t="str">
            <v>游雅雯</v>
          </cell>
          <cell r="J19881">
            <v>46153</v>
          </cell>
          <cell r="K19881">
            <v>8</v>
          </cell>
        </row>
        <row r="19882">
          <cell r="C19882" t="str">
            <v>游雅雯</v>
          </cell>
          <cell r="J19882">
            <v>46154</v>
          </cell>
          <cell r="K19882">
            <v>8</v>
          </cell>
        </row>
        <row r="19883">
          <cell r="C19883" t="str">
            <v>游雅雯</v>
          </cell>
          <cell r="J19883">
            <v>46155</v>
          </cell>
          <cell r="K19883">
            <v>8</v>
          </cell>
        </row>
        <row r="19884">
          <cell r="C19884" t="str">
            <v>游雅雯</v>
          </cell>
          <cell r="J19884">
            <v>46156</v>
          </cell>
          <cell r="K19884">
            <v>8</v>
          </cell>
        </row>
        <row r="19885">
          <cell r="C19885" t="str">
            <v>游雅雯</v>
          </cell>
          <cell r="J19885">
            <v>46157</v>
          </cell>
          <cell r="K19885">
            <v>8</v>
          </cell>
        </row>
        <row r="19886">
          <cell r="C19886" t="str">
            <v>游雅雯</v>
          </cell>
          <cell r="J19886">
            <v>46160</v>
          </cell>
          <cell r="K19886">
            <v>8</v>
          </cell>
        </row>
        <row r="19887">
          <cell r="C19887" t="str">
            <v>游雅雯</v>
          </cell>
          <cell r="J19887">
            <v>46161</v>
          </cell>
          <cell r="K19887">
            <v>8</v>
          </cell>
        </row>
        <row r="19888">
          <cell r="C19888" t="str">
            <v>游雅雯</v>
          </cell>
          <cell r="J19888">
            <v>46162</v>
          </cell>
          <cell r="K19888">
            <v>8</v>
          </cell>
        </row>
        <row r="19889">
          <cell r="C19889" t="str">
            <v>曾珮珊</v>
          </cell>
          <cell r="J19889">
            <v>46119</v>
          </cell>
          <cell r="K19889">
            <v>5</v>
          </cell>
        </row>
        <row r="19890">
          <cell r="C19890" t="str">
            <v>曾珮珊</v>
          </cell>
          <cell r="J19890">
            <v>46119</v>
          </cell>
          <cell r="K19890">
            <v>3</v>
          </cell>
        </row>
        <row r="19891">
          <cell r="C19891" t="str">
            <v>曾珮珊</v>
          </cell>
          <cell r="J19891">
            <v>46120</v>
          </cell>
          <cell r="K19891">
            <v>1.5</v>
          </cell>
        </row>
        <row r="19892">
          <cell r="C19892" t="str">
            <v>曾珮珊</v>
          </cell>
          <cell r="F19892" t="str">
            <v>M240201R1</v>
          </cell>
          <cell r="J19892">
            <v>46120</v>
          </cell>
          <cell r="K19892">
            <v>6.5</v>
          </cell>
        </row>
        <row r="19893">
          <cell r="C19893" t="str">
            <v>曾珮珊</v>
          </cell>
          <cell r="F19893" t="str">
            <v>M240201R1</v>
          </cell>
          <cell r="J19893">
            <v>46121</v>
          </cell>
          <cell r="K19893">
            <v>8</v>
          </cell>
        </row>
        <row r="19894">
          <cell r="C19894" t="str">
            <v>王俊博</v>
          </cell>
          <cell r="J19894">
            <v>45509</v>
          </cell>
          <cell r="K19894">
            <v>8</v>
          </cell>
        </row>
        <row r="19895">
          <cell r="C19895" t="str">
            <v>王俊博</v>
          </cell>
          <cell r="J19895">
            <v>45510</v>
          </cell>
          <cell r="K19895">
            <v>8</v>
          </cell>
        </row>
        <row r="19896">
          <cell r="C19896" t="str">
            <v>王俊博</v>
          </cell>
          <cell r="J19896">
            <v>45511</v>
          </cell>
          <cell r="K19896">
            <v>8</v>
          </cell>
        </row>
        <row r="19897">
          <cell r="C19897" t="str">
            <v>王俊博</v>
          </cell>
          <cell r="J19897">
            <v>45512</v>
          </cell>
          <cell r="K19897">
            <v>4</v>
          </cell>
        </row>
        <row r="19898">
          <cell r="C19898" t="str">
            <v>王俊博</v>
          </cell>
          <cell r="F19898" t="str">
            <v>M240101R1</v>
          </cell>
          <cell r="J19898">
            <v>45512</v>
          </cell>
          <cell r="K19898">
            <v>4</v>
          </cell>
        </row>
        <row r="19899">
          <cell r="C19899" t="str">
            <v>王俊博</v>
          </cell>
          <cell r="J19899">
            <v>45513</v>
          </cell>
          <cell r="K19899">
            <v>4</v>
          </cell>
        </row>
        <row r="19900">
          <cell r="C19900" t="str">
            <v>王俊博</v>
          </cell>
          <cell r="F19900" t="str">
            <v>M230901R1</v>
          </cell>
          <cell r="J19900">
            <v>45513</v>
          </cell>
          <cell r="K19900">
            <v>4</v>
          </cell>
        </row>
        <row r="19901">
          <cell r="C19901" t="str">
            <v>王俊博</v>
          </cell>
          <cell r="F19901" t="str">
            <v>M230901R1</v>
          </cell>
          <cell r="J19901">
            <v>45516</v>
          </cell>
          <cell r="K19901">
            <v>8</v>
          </cell>
        </row>
        <row r="19902">
          <cell r="C19902" t="str">
            <v>王俊博</v>
          </cell>
          <cell r="F19902" t="str">
            <v>M230901R1</v>
          </cell>
          <cell r="J19902">
            <v>45517</v>
          </cell>
          <cell r="K19902">
            <v>10</v>
          </cell>
        </row>
        <row r="19903">
          <cell r="C19903" t="str">
            <v>王俊博</v>
          </cell>
          <cell r="F19903" t="str">
            <v>M230901R1</v>
          </cell>
          <cell r="J19903">
            <v>45518</v>
          </cell>
          <cell r="K19903">
            <v>9</v>
          </cell>
        </row>
        <row r="19904">
          <cell r="C19904" t="str">
            <v>王俊博</v>
          </cell>
          <cell r="F19904" t="str">
            <v>M230901R1</v>
          </cell>
          <cell r="J19904">
            <v>45519</v>
          </cell>
          <cell r="K19904">
            <v>9</v>
          </cell>
        </row>
        <row r="19905">
          <cell r="C19905" t="str">
            <v>王俊博</v>
          </cell>
          <cell r="F19905" t="str">
            <v>M230901R1</v>
          </cell>
          <cell r="J19905">
            <v>45520</v>
          </cell>
          <cell r="K19905">
            <v>8</v>
          </cell>
        </row>
        <row r="19906">
          <cell r="C19906" t="str">
            <v>王俊博</v>
          </cell>
          <cell r="F19906" t="str">
            <v>M230901R1</v>
          </cell>
          <cell r="J19906">
            <v>45523</v>
          </cell>
          <cell r="K19906">
            <v>9</v>
          </cell>
        </row>
        <row r="19907">
          <cell r="C19907" t="str">
            <v>王俊博</v>
          </cell>
          <cell r="F19907" t="str">
            <v>K231101R1</v>
          </cell>
          <cell r="J19907">
            <v>45524</v>
          </cell>
          <cell r="K19907">
            <v>11</v>
          </cell>
        </row>
        <row r="19908">
          <cell r="C19908" t="str">
            <v>王俊博</v>
          </cell>
          <cell r="F19908" t="str">
            <v>K231101R1</v>
          </cell>
          <cell r="J19908">
            <v>45525</v>
          </cell>
          <cell r="K19908">
            <v>10</v>
          </cell>
        </row>
        <row r="19909">
          <cell r="C19909" t="str">
            <v>王俊博</v>
          </cell>
          <cell r="F19909" t="str">
            <v>K200501R1</v>
          </cell>
          <cell r="J19909">
            <v>45526</v>
          </cell>
          <cell r="K19909">
            <v>9</v>
          </cell>
        </row>
        <row r="19910">
          <cell r="C19910" t="str">
            <v>王俊博</v>
          </cell>
          <cell r="F19910" t="str">
            <v>M230901R1</v>
          </cell>
          <cell r="J19910">
            <v>45527</v>
          </cell>
          <cell r="K19910">
            <v>8</v>
          </cell>
        </row>
        <row r="19911">
          <cell r="C19911" t="str">
            <v>王俊博</v>
          </cell>
          <cell r="F19911" t="str">
            <v>M230901R1</v>
          </cell>
          <cell r="J19911">
            <v>45530</v>
          </cell>
          <cell r="K19911">
            <v>8</v>
          </cell>
        </row>
        <row r="19912">
          <cell r="C19912" t="str">
            <v>王俊博</v>
          </cell>
          <cell r="F19912" t="str">
            <v>K231101R1</v>
          </cell>
          <cell r="J19912">
            <v>45531</v>
          </cell>
          <cell r="K19912">
            <v>9</v>
          </cell>
        </row>
        <row r="19913">
          <cell r="C19913" t="str">
            <v>王俊博</v>
          </cell>
          <cell r="J19913">
            <v>45532</v>
          </cell>
          <cell r="K19913">
            <v>9</v>
          </cell>
        </row>
        <row r="19914">
          <cell r="C19914" t="str">
            <v>王俊博</v>
          </cell>
          <cell r="F19914" t="str">
            <v>M230901R1</v>
          </cell>
          <cell r="J19914">
            <v>45533</v>
          </cell>
          <cell r="K19914">
            <v>9</v>
          </cell>
        </row>
        <row r="19915">
          <cell r="C19915" t="str">
            <v>王俊博</v>
          </cell>
          <cell r="F19915" t="str">
            <v>M230901R1</v>
          </cell>
          <cell r="J19915">
            <v>45534</v>
          </cell>
          <cell r="K19915">
            <v>8</v>
          </cell>
        </row>
        <row r="19916">
          <cell r="C19916" t="str">
            <v>王俊博</v>
          </cell>
          <cell r="F19916" t="str">
            <v>M230901R1</v>
          </cell>
          <cell r="J19916">
            <v>45537</v>
          </cell>
          <cell r="K19916">
            <v>9</v>
          </cell>
        </row>
        <row r="19917">
          <cell r="C19917" t="str">
            <v>王俊博</v>
          </cell>
          <cell r="J19917">
            <v>45538</v>
          </cell>
          <cell r="K19917">
            <v>9</v>
          </cell>
        </row>
        <row r="19918">
          <cell r="C19918" t="str">
            <v>王俊博</v>
          </cell>
          <cell r="J19918">
            <v>45539</v>
          </cell>
          <cell r="K19918">
            <v>10</v>
          </cell>
        </row>
        <row r="19919">
          <cell r="C19919" t="str">
            <v>王俊博</v>
          </cell>
          <cell r="F19919" t="str">
            <v>K240801R1</v>
          </cell>
          <cell r="J19919">
            <v>45540</v>
          </cell>
          <cell r="K19919">
            <v>9</v>
          </cell>
        </row>
        <row r="19920">
          <cell r="C19920" t="str">
            <v>王俊博</v>
          </cell>
          <cell r="J19920">
            <v>45541</v>
          </cell>
          <cell r="K19920">
            <v>8</v>
          </cell>
        </row>
        <row r="19921">
          <cell r="C19921" t="str">
            <v>王俊博</v>
          </cell>
          <cell r="J19921">
            <v>45544</v>
          </cell>
          <cell r="K19921">
            <v>8</v>
          </cell>
        </row>
        <row r="19922">
          <cell r="C19922" t="str">
            <v>王俊博</v>
          </cell>
          <cell r="J19922">
            <v>45545</v>
          </cell>
          <cell r="K19922">
            <v>8</v>
          </cell>
        </row>
        <row r="19923">
          <cell r="C19923" t="str">
            <v>王俊博</v>
          </cell>
          <cell r="J19923">
            <v>45546</v>
          </cell>
          <cell r="K19923">
            <v>8</v>
          </cell>
        </row>
        <row r="19924">
          <cell r="C19924" t="str">
            <v>王俊博</v>
          </cell>
          <cell r="J19924">
            <v>45547</v>
          </cell>
          <cell r="K19924">
            <v>8</v>
          </cell>
        </row>
        <row r="19925">
          <cell r="C19925" t="str">
            <v>王俊博</v>
          </cell>
          <cell r="J19925">
            <v>45548</v>
          </cell>
          <cell r="K19925">
            <v>8</v>
          </cell>
        </row>
        <row r="19926">
          <cell r="C19926" t="str">
            <v>王俊博</v>
          </cell>
          <cell r="J19926">
            <v>45551</v>
          </cell>
          <cell r="K19926">
            <v>9</v>
          </cell>
        </row>
        <row r="19927">
          <cell r="C19927" t="str">
            <v>王俊博</v>
          </cell>
          <cell r="F19927" t="str">
            <v>K240801R1</v>
          </cell>
          <cell r="J19927">
            <v>45553</v>
          </cell>
          <cell r="K19927">
            <v>9</v>
          </cell>
        </row>
        <row r="19928">
          <cell r="C19928" t="str">
            <v>王俊博</v>
          </cell>
          <cell r="F19928" t="str">
            <v>K231101R1</v>
          </cell>
          <cell r="J19928">
            <v>45554</v>
          </cell>
          <cell r="K19928">
            <v>9</v>
          </cell>
        </row>
        <row r="19929">
          <cell r="C19929" t="str">
            <v>王俊博</v>
          </cell>
          <cell r="J19929">
            <v>45555</v>
          </cell>
          <cell r="K19929">
            <v>8</v>
          </cell>
        </row>
        <row r="19930">
          <cell r="C19930" t="str">
            <v>王俊博</v>
          </cell>
          <cell r="J19930">
            <v>45558</v>
          </cell>
          <cell r="K19930">
            <v>10.5</v>
          </cell>
        </row>
        <row r="19931">
          <cell r="C19931" t="str">
            <v>王俊博</v>
          </cell>
          <cell r="F19931" t="str">
            <v>K240801R1</v>
          </cell>
          <cell r="J19931">
            <v>45559</v>
          </cell>
          <cell r="K19931">
            <v>11</v>
          </cell>
        </row>
        <row r="19932">
          <cell r="C19932" t="str">
            <v>王俊博</v>
          </cell>
          <cell r="J19932">
            <v>45560</v>
          </cell>
          <cell r="K19932">
            <v>12</v>
          </cell>
        </row>
        <row r="19933">
          <cell r="C19933" t="str">
            <v>王俊博</v>
          </cell>
          <cell r="F19933" t="str">
            <v>K231101R1</v>
          </cell>
          <cell r="J19933">
            <v>45561</v>
          </cell>
          <cell r="K19933">
            <v>9</v>
          </cell>
        </row>
        <row r="19934">
          <cell r="C19934" t="str">
            <v>王俊博</v>
          </cell>
          <cell r="F19934" t="str">
            <v>K231101R1</v>
          </cell>
          <cell r="J19934">
            <v>45562</v>
          </cell>
          <cell r="K19934">
            <v>8</v>
          </cell>
        </row>
        <row r="19935">
          <cell r="C19935" t="str">
            <v>王俊博</v>
          </cell>
          <cell r="F19935" t="str">
            <v>M230901R1</v>
          </cell>
          <cell r="J19935">
            <v>45565</v>
          </cell>
          <cell r="K19935">
            <v>10.5</v>
          </cell>
        </row>
        <row r="19936">
          <cell r="C19936" t="str">
            <v>王俊博</v>
          </cell>
          <cell r="F19936" t="str">
            <v>M230901R1</v>
          </cell>
          <cell r="J19936">
            <v>45566</v>
          </cell>
          <cell r="K19936">
            <v>10</v>
          </cell>
        </row>
        <row r="19937">
          <cell r="C19937" t="str">
            <v>王俊博</v>
          </cell>
          <cell r="F19937" t="str">
            <v>M230901R1</v>
          </cell>
          <cell r="J19937">
            <v>45569</v>
          </cell>
          <cell r="K19937">
            <v>11</v>
          </cell>
        </row>
        <row r="19938">
          <cell r="C19938" t="str">
            <v>王俊博</v>
          </cell>
          <cell r="J19938">
            <v>45570</v>
          </cell>
          <cell r="K19938">
            <v>8</v>
          </cell>
        </row>
        <row r="19939">
          <cell r="C19939" t="str">
            <v>王俊博</v>
          </cell>
          <cell r="F19939" t="str">
            <v>M230901R1</v>
          </cell>
          <cell r="J19939">
            <v>45572</v>
          </cell>
          <cell r="K19939">
            <v>9.5</v>
          </cell>
        </row>
        <row r="19940">
          <cell r="C19940" t="str">
            <v>王俊博</v>
          </cell>
          <cell r="F19940" t="str">
            <v>M230901R1</v>
          </cell>
          <cell r="J19940">
            <v>45573</v>
          </cell>
          <cell r="K19940">
            <v>10.5</v>
          </cell>
        </row>
        <row r="19941">
          <cell r="C19941" t="str">
            <v>王俊博</v>
          </cell>
          <cell r="F19941" t="str">
            <v>M230901R1</v>
          </cell>
          <cell r="J19941">
            <v>45574</v>
          </cell>
          <cell r="K19941">
            <v>9.5</v>
          </cell>
        </row>
        <row r="19942">
          <cell r="C19942" t="str">
            <v>王俊博</v>
          </cell>
          <cell r="F19942" t="str">
            <v>M230901R1</v>
          </cell>
          <cell r="J19942">
            <v>45576</v>
          </cell>
          <cell r="K19942">
            <v>8</v>
          </cell>
        </row>
        <row r="19943">
          <cell r="C19943" t="str">
            <v>王俊博</v>
          </cell>
          <cell r="J19943">
            <v>45579</v>
          </cell>
          <cell r="K19943">
            <v>9</v>
          </cell>
        </row>
        <row r="19944">
          <cell r="C19944" t="str">
            <v>王俊博</v>
          </cell>
          <cell r="F19944" t="str">
            <v>M230901R1</v>
          </cell>
          <cell r="J19944">
            <v>45580</v>
          </cell>
          <cell r="K19944">
            <v>9.5</v>
          </cell>
        </row>
        <row r="19945">
          <cell r="C19945" t="str">
            <v>王俊博</v>
          </cell>
          <cell r="F19945" t="str">
            <v>M230901R1</v>
          </cell>
          <cell r="J19945">
            <v>45581</v>
          </cell>
          <cell r="K19945">
            <v>10.5</v>
          </cell>
        </row>
        <row r="19946">
          <cell r="C19946" t="str">
            <v>王俊博</v>
          </cell>
          <cell r="F19946" t="str">
            <v>M230901R1</v>
          </cell>
          <cell r="J19946">
            <v>45582</v>
          </cell>
          <cell r="K19946">
            <v>9</v>
          </cell>
        </row>
        <row r="19947">
          <cell r="C19947" t="str">
            <v>王俊博</v>
          </cell>
          <cell r="F19947" t="str">
            <v>K240801R1</v>
          </cell>
          <cell r="J19947">
            <v>45583</v>
          </cell>
          <cell r="K19947">
            <v>9</v>
          </cell>
        </row>
        <row r="19948">
          <cell r="C19948" t="str">
            <v>王俊博</v>
          </cell>
          <cell r="F19948" t="str">
            <v>K240801R1</v>
          </cell>
          <cell r="J19948">
            <v>45586</v>
          </cell>
          <cell r="K19948">
            <v>10</v>
          </cell>
        </row>
        <row r="19949">
          <cell r="C19949" t="str">
            <v>王俊博</v>
          </cell>
          <cell r="F19949" t="str">
            <v>K240801R1</v>
          </cell>
          <cell r="J19949">
            <v>45587</v>
          </cell>
          <cell r="K19949">
            <v>9.5</v>
          </cell>
        </row>
        <row r="19950">
          <cell r="C19950" t="str">
            <v>王俊博</v>
          </cell>
          <cell r="F19950" t="str">
            <v>K240801R1</v>
          </cell>
          <cell r="J19950">
            <v>45588</v>
          </cell>
          <cell r="K19950">
            <v>12</v>
          </cell>
        </row>
        <row r="19951">
          <cell r="C19951" t="str">
            <v>王俊博</v>
          </cell>
          <cell r="F19951" t="str">
            <v>K240801R1</v>
          </cell>
          <cell r="J19951">
            <v>45589</v>
          </cell>
          <cell r="K19951">
            <v>12</v>
          </cell>
        </row>
        <row r="19952">
          <cell r="C19952" t="str">
            <v>王俊博</v>
          </cell>
          <cell r="F19952" t="str">
            <v>K240801R1</v>
          </cell>
          <cell r="J19952">
            <v>45590</v>
          </cell>
          <cell r="K19952">
            <v>9.5</v>
          </cell>
        </row>
        <row r="19953">
          <cell r="C19953" t="str">
            <v>王俊博</v>
          </cell>
          <cell r="F19953" t="str">
            <v>K240801R1</v>
          </cell>
          <cell r="J19953">
            <v>45593</v>
          </cell>
          <cell r="K19953">
            <v>9.5</v>
          </cell>
        </row>
        <row r="19954">
          <cell r="C19954" t="str">
            <v>王俊博</v>
          </cell>
          <cell r="F19954" t="str">
            <v>K240801R1</v>
          </cell>
          <cell r="J19954">
            <v>45594</v>
          </cell>
          <cell r="K19954">
            <v>11.5</v>
          </cell>
        </row>
        <row r="19955">
          <cell r="C19955" t="str">
            <v>王俊博</v>
          </cell>
          <cell r="F19955" t="str">
            <v>K240801R1</v>
          </cell>
          <cell r="J19955">
            <v>45595</v>
          </cell>
          <cell r="K19955">
            <v>10</v>
          </cell>
        </row>
        <row r="19956">
          <cell r="C19956" t="str">
            <v>王俊博</v>
          </cell>
          <cell r="F19956" t="str">
            <v>K240801R1</v>
          </cell>
          <cell r="J19956">
            <v>45597</v>
          </cell>
          <cell r="K19956">
            <v>8</v>
          </cell>
        </row>
        <row r="19957">
          <cell r="C19957" t="str">
            <v>王俊博</v>
          </cell>
          <cell r="F19957" t="str">
            <v>K240801R1</v>
          </cell>
          <cell r="J19957">
            <v>45600</v>
          </cell>
          <cell r="K19957">
            <v>9.5</v>
          </cell>
        </row>
        <row r="19958">
          <cell r="C19958" t="str">
            <v>王俊博</v>
          </cell>
          <cell r="F19958" t="str">
            <v>K240801R1</v>
          </cell>
          <cell r="J19958">
            <v>45601</v>
          </cell>
          <cell r="K19958">
            <v>10</v>
          </cell>
        </row>
        <row r="19959">
          <cell r="C19959" t="str">
            <v>王俊博</v>
          </cell>
          <cell r="F19959" t="str">
            <v>K240801R1</v>
          </cell>
          <cell r="J19959">
            <v>45602</v>
          </cell>
          <cell r="K19959">
            <v>11</v>
          </cell>
        </row>
        <row r="19960">
          <cell r="C19960" t="str">
            <v>王俊博</v>
          </cell>
          <cell r="F19960" t="str">
            <v>K240801R1</v>
          </cell>
          <cell r="J19960">
            <v>45603</v>
          </cell>
          <cell r="K19960">
            <v>9</v>
          </cell>
        </row>
        <row r="19961">
          <cell r="C19961" t="str">
            <v>王俊博</v>
          </cell>
          <cell r="F19961" t="str">
            <v>K240801R1</v>
          </cell>
          <cell r="J19961">
            <v>45604</v>
          </cell>
          <cell r="K19961">
            <v>11</v>
          </cell>
        </row>
        <row r="19962">
          <cell r="C19962" t="str">
            <v>王俊博</v>
          </cell>
          <cell r="F19962" t="str">
            <v>K240801R1</v>
          </cell>
          <cell r="J19962">
            <v>45607</v>
          </cell>
          <cell r="K19962">
            <v>8</v>
          </cell>
        </row>
        <row r="19963">
          <cell r="C19963" t="str">
            <v>王俊博</v>
          </cell>
          <cell r="F19963" t="str">
            <v>K240801R1</v>
          </cell>
          <cell r="J19963">
            <v>45608</v>
          </cell>
          <cell r="K19963">
            <v>10.5</v>
          </cell>
        </row>
        <row r="19964">
          <cell r="C19964" t="str">
            <v>王俊博</v>
          </cell>
          <cell r="F19964" t="str">
            <v>K240801R1</v>
          </cell>
          <cell r="J19964">
            <v>45609</v>
          </cell>
          <cell r="K19964">
            <v>12</v>
          </cell>
        </row>
        <row r="19965">
          <cell r="C19965" t="str">
            <v>王俊博</v>
          </cell>
          <cell r="F19965" t="str">
            <v>K240801R1</v>
          </cell>
          <cell r="J19965">
            <v>45610</v>
          </cell>
          <cell r="K19965">
            <v>11</v>
          </cell>
        </row>
        <row r="19966">
          <cell r="C19966" t="str">
            <v>王俊博</v>
          </cell>
          <cell r="F19966" t="str">
            <v>K240801R1</v>
          </cell>
          <cell r="J19966">
            <v>45611</v>
          </cell>
          <cell r="K19966">
            <v>9</v>
          </cell>
        </row>
        <row r="19967">
          <cell r="C19967" t="str">
            <v>王俊博</v>
          </cell>
          <cell r="F19967" t="str">
            <v>K240801R1</v>
          </cell>
          <cell r="J19967">
            <v>45614</v>
          </cell>
          <cell r="K19967">
            <v>9.5</v>
          </cell>
        </row>
        <row r="19968">
          <cell r="C19968" t="str">
            <v>王俊博</v>
          </cell>
          <cell r="F19968" t="str">
            <v>K240801R1</v>
          </cell>
          <cell r="J19968">
            <v>45615</v>
          </cell>
          <cell r="K19968">
            <v>10.5</v>
          </cell>
        </row>
        <row r="19969">
          <cell r="C19969" t="str">
            <v>王俊博</v>
          </cell>
          <cell r="F19969" t="str">
            <v>K240801R1</v>
          </cell>
          <cell r="J19969">
            <v>45616</v>
          </cell>
          <cell r="K19969">
            <v>11</v>
          </cell>
        </row>
        <row r="19970">
          <cell r="C19970" t="str">
            <v>王俊博</v>
          </cell>
          <cell r="F19970" t="str">
            <v>M241001R1</v>
          </cell>
          <cell r="J19970">
            <v>45617</v>
          </cell>
          <cell r="K19970">
            <v>10</v>
          </cell>
        </row>
        <row r="19971">
          <cell r="C19971" t="str">
            <v>王俊博</v>
          </cell>
          <cell r="F19971" t="str">
            <v>F200201S1</v>
          </cell>
          <cell r="J19971">
            <v>45618</v>
          </cell>
          <cell r="K19971">
            <v>10</v>
          </cell>
        </row>
        <row r="19972">
          <cell r="C19972" t="str">
            <v>王俊博</v>
          </cell>
          <cell r="F19972" t="str">
            <v>M241001R1</v>
          </cell>
          <cell r="J19972">
            <v>45621</v>
          </cell>
          <cell r="K19972">
            <v>9.5</v>
          </cell>
        </row>
        <row r="19973">
          <cell r="C19973" t="str">
            <v>王俊博</v>
          </cell>
          <cell r="F19973" t="str">
            <v>M241001R1</v>
          </cell>
          <cell r="J19973">
            <v>45622</v>
          </cell>
          <cell r="K19973">
            <v>10.5</v>
          </cell>
        </row>
        <row r="19974">
          <cell r="C19974" t="str">
            <v>王俊博</v>
          </cell>
          <cell r="F19974" t="str">
            <v>F200201S1</v>
          </cell>
          <cell r="J19974">
            <v>45623</v>
          </cell>
          <cell r="K19974">
            <v>11.5</v>
          </cell>
        </row>
        <row r="19975">
          <cell r="C19975" t="str">
            <v>王俊博</v>
          </cell>
          <cell r="F19975" t="str">
            <v>M241001R1</v>
          </cell>
          <cell r="J19975">
            <v>45624</v>
          </cell>
          <cell r="K19975">
            <v>9.5</v>
          </cell>
        </row>
        <row r="19976">
          <cell r="C19976" t="str">
            <v>王俊博</v>
          </cell>
          <cell r="F19976" t="str">
            <v>M241001R1</v>
          </cell>
          <cell r="J19976">
            <v>45625</v>
          </cell>
          <cell r="K19976">
            <v>8</v>
          </cell>
        </row>
        <row r="19977">
          <cell r="C19977" t="str">
            <v>王俊博</v>
          </cell>
          <cell r="F19977" t="str">
            <v>M241001R1</v>
          </cell>
          <cell r="J19977">
            <v>45628</v>
          </cell>
          <cell r="K19977">
            <v>9</v>
          </cell>
        </row>
        <row r="19978">
          <cell r="C19978" t="str">
            <v>王俊博</v>
          </cell>
          <cell r="F19978" t="str">
            <v>F200201S1</v>
          </cell>
          <cell r="J19978">
            <v>45629</v>
          </cell>
          <cell r="K19978">
            <v>9</v>
          </cell>
        </row>
        <row r="19979">
          <cell r="C19979" t="str">
            <v>王俊博</v>
          </cell>
          <cell r="F19979" t="str">
            <v>M241001R1</v>
          </cell>
          <cell r="J19979">
            <v>45630</v>
          </cell>
          <cell r="K19979">
            <v>10</v>
          </cell>
        </row>
        <row r="19980">
          <cell r="C19980" t="str">
            <v>王俊博</v>
          </cell>
          <cell r="F19980" t="str">
            <v>M241001R1</v>
          </cell>
          <cell r="J19980">
            <v>45631</v>
          </cell>
          <cell r="K19980">
            <v>9.5</v>
          </cell>
        </row>
        <row r="19981">
          <cell r="C19981" t="str">
            <v>王俊博</v>
          </cell>
          <cell r="F19981" t="str">
            <v>M241001R1</v>
          </cell>
          <cell r="J19981">
            <v>45632</v>
          </cell>
          <cell r="K19981">
            <v>9.5</v>
          </cell>
        </row>
        <row r="19982">
          <cell r="C19982" t="str">
            <v>王俊博</v>
          </cell>
          <cell r="F19982" t="str">
            <v>M241001R1</v>
          </cell>
          <cell r="J19982">
            <v>45635</v>
          </cell>
          <cell r="K19982">
            <v>9</v>
          </cell>
        </row>
        <row r="19983">
          <cell r="C19983" t="str">
            <v>王俊博</v>
          </cell>
          <cell r="F19983" t="str">
            <v>M241001R1</v>
          </cell>
          <cell r="J19983">
            <v>45636</v>
          </cell>
          <cell r="K19983">
            <v>9</v>
          </cell>
        </row>
        <row r="19984">
          <cell r="C19984" t="str">
            <v>王俊博</v>
          </cell>
          <cell r="F19984" t="str">
            <v>M241001R1</v>
          </cell>
          <cell r="J19984">
            <v>45637</v>
          </cell>
          <cell r="K19984">
            <v>10</v>
          </cell>
        </row>
        <row r="19985">
          <cell r="C19985" t="str">
            <v>王俊博</v>
          </cell>
          <cell r="F19985" t="str">
            <v>M241001R1</v>
          </cell>
          <cell r="J19985">
            <v>45638</v>
          </cell>
          <cell r="K19985">
            <v>10.5</v>
          </cell>
        </row>
        <row r="19986">
          <cell r="C19986" t="str">
            <v>王俊博</v>
          </cell>
          <cell r="F19986" t="str">
            <v>M241001R1</v>
          </cell>
          <cell r="J19986">
            <v>45639</v>
          </cell>
          <cell r="K19986">
            <v>8</v>
          </cell>
        </row>
        <row r="19987">
          <cell r="C19987" t="str">
            <v>王俊博</v>
          </cell>
          <cell r="F19987" t="str">
            <v>M241001R1</v>
          </cell>
          <cell r="J19987">
            <v>45642</v>
          </cell>
          <cell r="K19987">
            <v>9</v>
          </cell>
        </row>
        <row r="19988">
          <cell r="C19988" t="str">
            <v>王俊博</v>
          </cell>
          <cell r="F19988" t="str">
            <v>M241001R1</v>
          </cell>
          <cell r="J19988">
            <v>45643</v>
          </cell>
          <cell r="K19988">
            <v>9.5</v>
          </cell>
        </row>
        <row r="19989">
          <cell r="C19989" t="str">
            <v>王俊博</v>
          </cell>
          <cell r="F19989" t="str">
            <v>M241001R1</v>
          </cell>
          <cell r="J19989">
            <v>45644</v>
          </cell>
          <cell r="K19989">
            <v>10</v>
          </cell>
        </row>
        <row r="19990">
          <cell r="C19990" t="str">
            <v>王俊博</v>
          </cell>
          <cell r="F19990" t="str">
            <v>M241001R1</v>
          </cell>
          <cell r="J19990">
            <v>45645</v>
          </cell>
          <cell r="K19990">
            <v>12</v>
          </cell>
        </row>
        <row r="19991">
          <cell r="C19991" t="str">
            <v>王俊博</v>
          </cell>
          <cell r="F19991" t="str">
            <v>M241001R1</v>
          </cell>
          <cell r="J19991">
            <v>45646</v>
          </cell>
          <cell r="K19991">
            <v>10</v>
          </cell>
        </row>
        <row r="19992">
          <cell r="C19992" t="str">
            <v>王俊博</v>
          </cell>
          <cell r="F19992" t="str">
            <v>M241001R1</v>
          </cell>
          <cell r="J19992">
            <v>45649</v>
          </cell>
          <cell r="K19992">
            <v>11</v>
          </cell>
        </row>
        <row r="19993">
          <cell r="C19993" t="str">
            <v>王俊博</v>
          </cell>
          <cell r="F19993" t="str">
            <v>F200201S1</v>
          </cell>
          <cell r="J19993">
            <v>45650</v>
          </cell>
          <cell r="K19993">
            <v>9.5</v>
          </cell>
        </row>
        <row r="19994">
          <cell r="C19994" t="str">
            <v>王俊博</v>
          </cell>
          <cell r="F19994" t="str">
            <v>M241001R1</v>
          </cell>
          <cell r="J19994">
            <v>45651</v>
          </cell>
          <cell r="K19994">
            <v>9</v>
          </cell>
        </row>
        <row r="19995">
          <cell r="C19995" t="str">
            <v>王俊博</v>
          </cell>
          <cell r="F19995" t="str">
            <v>M241001R1</v>
          </cell>
          <cell r="J19995">
            <v>45652</v>
          </cell>
          <cell r="K19995">
            <v>8</v>
          </cell>
        </row>
        <row r="19996">
          <cell r="C19996" t="str">
            <v>王俊博</v>
          </cell>
          <cell r="F19996" t="str">
            <v>M241001R1</v>
          </cell>
          <cell r="J19996">
            <v>45653</v>
          </cell>
          <cell r="K19996">
            <v>8</v>
          </cell>
        </row>
        <row r="19997">
          <cell r="C19997" t="str">
            <v>王俊博</v>
          </cell>
          <cell r="F19997" t="str">
            <v>F200201S1</v>
          </cell>
          <cell r="J19997">
            <v>45656</v>
          </cell>
          <cell r="K19997">
            <v>10</v>
          </cell>
        </row>
        <row r="19998">
          <cell r="C19998" t="str">
            <v>王俊博</v>
          </cell>
          <cell r="F19998" t="str">
            <v>M241001R1</v>
          </cell>
          <cell r="J19998">
            <v>45657</v>
          </cell>
          <cell r="K19998">
            <v>8</v>
          </cell>
        </row>
        <row r="19999">
          <cell r="C19999" t="str">
            <v>王俊博</v>
          </cell>
          <cell r="F19999" t="str">
            <v>M241001R1</v>
          </cell>
          <cell r="J19999">
            <v>45659</v>
          </cell>
          <cell r="K19999">
            <v>10</v>
          </cell>
        </row>
        <row r="20000">
          <cell r="C20000" t="str">
            <v>王俊博</v>
          </cell>
          <cell r="F20000" t="str">
            <v>M241001R1</v>
          </cell>
          <cell r="J20000">
            <v>45660</v>
          </cell>
          <cell r="K20000">
            <v>11</v>
          </cell>
        </row>
        <row r="20001">
          <cell r="C20001" t="str">
            <v>王俊博</v>
          </cell>
          <cell r="F20001" t="str">
            <v>F200201S1</v>
          </cell>
          <cell r="J20001">
            <v>45663</v>
          </cell>
          <cell r="K20001">
            <v>10.5</v>
          </cell>
        </row>
        <row r="20002">
          <cell r="C20002" t="str">
            <v>王俊博</v>
          </cell>
          <cell r="F20002" t="str">
            <v>M241001R1</v>
          </cell>
          <cell r="J20002">
            <v>45664</v>
          </cell>
          <cell r="K20002">
            <v>9.5</v>
          </cell>
        </row>
        <row r="20003">
          <cell r="C20003" t="str">
            <v>王俊博</v>
          </cell>
          <cell r="F20003" t="str">
            <v>F200201S1</v>
          </cell>
          <cell r="J20003">
            <v>45665</v>
          </cell>
          <cell r="K20003">
            <v>10.5</v>
          </cell>
        </row>
        <row r="20004">
          <cell r="C20004" t="str">
            <v>王俊博</v>
          </cell>
          <cell r="F20004" t="str">
            <v>M241001R1</v>
          </cell>
          <cell r="J20004">
            <v>45666</v>
          </cell>
          <cell r="K20004">
            <v>9.5</v>
          </cell>
        </row>
        <row r="20005">
          <cell r="C20005" t="str">
            <v>王俊博</v>
          </cell>
          <cell r="F20005" t="str">
            <v>M241001R1</v>
          </cell>
          <cell r="J20005">
            <v>45667</v>
          </cell>
          <cell r="K20005">
            <v>8</v>
          </cell>
        </row>
        <row r="20006">
          <cell r="C20006" t="str">
            <v>王俊博</v>
          </cell>
          <cell r="F20006" t="str">
            <v>M241001R1</v>
          </cell>
          <cell r="J20006">
            <v>45670</v>
          </cell>
          <cell r="K20006">
            <v>10</v>
          </cell>
        </row>
        <row r="20007">
          <cell r="C20007" t="str">
            <v>王俊博</v>
          </cell>
          <cell r="F20007" t="str">
            <v>K240801R1</v>
          </cell>
          <cell r="J20007">
            <v>45671</v>
          </cell>
          <cell r="K20007">
            <v>10</v>
          </cell>
        </row>
        <row r="20008">
          <cell r="C20008" t="str">
            <v>王俊博</v>
          </cell>
          <cell r="F20008" t="str">
            <v>K240801R1</v>
          </cell>
          <cell r="J20008">
            <v>45672</v>
          </cell>
          <cell r="K20008">
            <v>10</v>
          </cell>
        </row>
        <row r="20009">
          <cell r="C20009" t="str">
            <v>王俊博</v>
          </cell>
          <cell r="F20009" t="str">
            <v>K240801R1</v>
          </cell>
          <cell r="J20009">
            <v>45673</v>
          </cell>
          <cell r="K20009">
            <v>11.5</v>
          </cell>
        </row>
        <row r="20010">
          <cell r="C20010" t="str">
            <v>王俊博</v>
          </cell>
          <cell r="F20010" t="str">
            <v>M241001R1</v>
          </cell>
          <cell r="J20010">
            <v>45674</v>
          </cell>
          <cell r="K20010">
            <v>9.5</v>
          </cell>
        </row>
        <row r="20011">
          <cell r="C20011" t="str">
            <v>王俊博</v>
          </cell>
          <cell r="F20011" t="str">
            <v>M241001R1</v>
          </cell>
          <cell r="J20011">
            <v>45677</v>
          </cell>
          <cell r="K20011">
            <v>10.5</v>
          </cell>
        </row>
        <row r="20012">
          <cell r="C20012" t="str">
            <v>王俊博</v>
          </cell>
          <cell r="F20012" t="str">
            <v>M241001R1</v>
          </cell>
          <cell r="J20012">
            <v>45678</v>
          </cell>
          <cell r="K20012">
            <v>8</v>
          </cell>
        </row>
        <row r="20013">
          <cell r="C20013" t="str">
            <v>王俊博</v>
          </cell>
          <cell r="F20013" t="str">
            <v>M241001R1</v>
          </cell>
          <cell r="J20013">
            <v>45679</v>
          </cell>
          <cell r="K20013">
            <v>9</v>
          </cell>
        </row>
        <row r="20014">
          <cell r="C20014" t="str">
            <v>王俊博</v>
          </cell>
          <cell r="F20014" t="str">
            <v>M241001R1</v>
          </cell>
          <cell r="J20014">
            <v>45680</v>
          </cell>
          <cell r="K20014">
            <v>9.5</v>
          </cell>
        </row>
        <row r="20015">
          <cell r="C20015" t="str">
            <v>王俊博</v>
          </cell>
          <cell r="F20015" t="str">
            <v>M241001R1</v>
          </cell>
          <cell r="J20015">
            <v>45681</v>
          </cell>
          <cell r="K20015">
            <v>8</v>
          </cell>
        </row>
        <row r="20016">
          <cell r="C20016" t="str">
            <v>王俊博</v>
          </cell>
          <cell r="F20016" t="str">
            <v>M241001R1</v>
          </cell>
          <cell r="J20016">
            <v>45691</v>
          </cell>
          <cell r="K20016">
            <v>9</v>
          </cell>
        </row>
        <row r="20017">
          <cell r="C20017" t="str">
            <v>王俊博</v>
          </cell>
          <cell r="F20017" t="str">
            <v>M241001R1</v>
          </cell>
          <cell r="J20017">
            <v>45692</v>
          </cell>
          <cell r="K20017">
            <v>9</v>
          </cell>
        </row>
        <row r="20018">
          <cell r="C20018" t="str">
            <v>王俊博</v>
          </cell>
          <cell r="F20018" t="str">
            <v>M241001R1</v>
          </cell>
          <cell r="J20018">
            <v>45693</v>
          </cell>
          <cell r="K20018">
            <v>10</v>
          </cell>
        </row>
        <row r="20019">
          <cell r="C20019" t="str">
            <v>王俊博</v>
          </cell>
          <cell r="F20019" t="str">
            <v>M241001R1</v>
          </cell>
          <cell r="J20019">
            <v>45694</v>
          </cell>
          <cell r="K20019">
            <v>9.5</v>
          </cell>
        </row>
        <row r="20020">
          <cell r="C20020" t="str">
            <v>王俊博</v>
          </cell>
          <cell r="F20020" t="str">
            <v>M241001R1</v>
          </cell>
          <cell r="J20020">
            <v>45695</v>
          </cell>
          <cell r="K20020">
            <v>9</v>
          </cell>
        </row>
        <row r="20021">
          <cell r="C20021" t="str">
            <v>王俊博</v>
          </cell>
          <cell r="F20021" t="str">
            <v>M241001R1</v>
          </cell>
          <cell r="J20021">
            <v>45696</v>
          </cell>
          <cell r="K20021">
            <v>8</v>
          </cell>
        </row>
        <row r="20022">
          <cell r="C20022" t="str">
            <v>王俊博</v>
          </cell>
          <cell r="F20022" t="str">
            <v>M241001R1</v>
          </cell>
          <cell r="J20022">
            <v>45698</v>
          </cell>
          <cell r="K20022">
            <v>11</v>
          </cell>
        </row>
        <row r="20023">
          <cell r="C20023" t="str">
            <v>王俊博</v>
          </cell>
          <cell r="F20023" t="str">
            <v>M241001R1</v>
          </cell>
          <cell r="J20023">
            <v>45699</v>
          </cell>
          <cell r="K20023">
            <v>10</v>
          </cell>
        </row>
        <row r="20024">
          <cell r="C20024" t="str">
            <v>王俊博</v>
          </cell>
          <cell r="F20024" t="str">
            <v>F200201S1</v>
          </cell>
          <cell r="J20024">
            <v>45700</v>
          </cell>
          <cell r="K20024">
            <v>9</v>
          </cell>
        </row>
        <row r="20025">
          <cell r="C20025" t="str">
            <v>王俊博</v>
          </cell>
          <cell r="F20025" t="str">
            <v>M241001R1</v>
          </cell>
          <cell r="J20025">
            <v>45701</v>
          </cell>
          <cell r="K20025">
            <v>9</v>
          </cell>
        </row>
        <row r="20026">
          <cell r="C20026" t="str">
            <v>王俊博</v>
          </cell>
          <cell r="F20026" t="str">
            <v>M241001R1</v>
          </cell>
          <cell r="J20026">
            <v>45702</v>
          </cell>
          <cell r="K20026">
            <v>9</v>
          </cell>
        </row>
        <row r="20027">
          <cell r="C20027" t="str">
            <v>王俊博</v>
          </cell>
          <cell r="F20027" t="str">
            <v>M241001R1</v>
          </cell>
          <cell r="J20027">
            <v>45705</v>
          </cell>
          <cell r="K20027">
            <v>11</v>
          </cell>
        </row>
        <row r="20028">
          <cell r="C20028" t="str">
            <v>王俊博</v>
          </cell>
          <cell r="F20028" t="str">
            <v>M241001R1</v>
          </cell>
          <cell r="J20028">
            <v>45706</v>
          </cell>
          <cell r="K20028">
            <v>11</v>
          </cell>
        </row>
        <row r="20029">
          <cell r="C20029" t="str">
            <v>王俊博</v>
          </cell>
          <cell r="F20029" t="str">
            <v>M241001R1</v>
          </cell>
          <cell r="J20029">
            <v>45707</v>
          </cell>
          <cell r="K20029">
            <v>9.5</v>
          </cell>
        </row>
        <row r="20030">
          <cell r="C20030" t="str">
            <v>王俊博</v>
          </cell>
          <cell r="F20030" t="str">
            <v>M241001R1</v>
          </cell>
          <cell r="J20030">
            <v>45708</v>
          </cell>
          <cell r="K20030">
            <v>12</v>
          </cell>
        </row>
        <row r="20031">
          <cell r="C20031" t="str">
            <v>王俊博</v>
          </cell>
          <cell r="F20031" t="str">
            <v>M241001R1</v>
          </cell>
          <cell r="J20031">
            <v>45709</v>
          </cell>
          <cell r="K20031">
            <v>11.5</v>
          </cell>
        </row>
        <row r="20032">
          <cell r="C20032" t="str">
            <v>王俊博</v>
          </cell>
          <cell r="F20032" t="str">
            <v>M241001R1</v>
          </cell>
          <cell r="J20032">
            <v>45712</v>
          </cell>
          <cell r="K20032">
            <v>9</v>
          </cell>
        </row>
        <row r="20033">
          <cell r="C20033" t="str">
            <v>王俊博</v>
          </cell>
          <cell r="F20033" t="str">
            <v>M241001R1</v>
          </cell>
          <cell r="J20033">
            <v>45713</v>
          </cell>
          <cell r="K20033">
            <v>9</v>
          </cell>
        </row>
        <row r="20034">
          <cell r="C20034" t="str">
            <v>王俊博</v>
          </cell>
          <cell r="F20034" t="str">
            <v>M241001R1</v>
          </cell>
          <cell r="J20034">
            <v>45714</v>
          </cell>
          <cell r="K20034">
            <v>9</v>
          </cell>
        </row>
        <row r="20035">
          <cell r="C20035" t="str">
            <v>王俊博</v>
          </cell>
          <cell r="F20035" t="str">
            <v>M241001R1</v>
          </cell>
          <cell r="J20035">
            <v>45715</v>
          </cell>
          <cell r="K20035">
            <v>8</v>
          </cell>
        </row>
        <row r="20036">
          <cell r="C20036" t="str">
            <v>王俊博</v>
          </cell>
          <cell r="F20036" t="str">
            <v>M241001R1</v>
          </cell>
          <cell r="J20036">
            <v>45719</v>
          </cell>
          <cell r="K20036">
            <v>9</v>
          </cell>
        </row>
        <row r="20037">
          <cell r="C20037" t="str">
            <v>王俊博</v>
          </cell>
          <cell r="F20037" t="str">
            <v>M241001R1</v>
          </cell>
          <cell r="J20037">
            <v>45720</v>
          </cell>
          <cell r="K20037">
            <v>9</v>
          </cell>
        </row>
        <row r="20038">
          <cell r="C20038" t="str">
            <v>王俊博</v>
          </cell>
          <cell r="F20038" t="str">
            <v>M241001R1</v>
          </cell>
          <cell r="J20038">
            <v>45721</v>
          </cell>
          <cell r="K20038">
            <v>9</v>
          </cell>
        </row>
        <row r="20039">
          <cell r="C20039" t="str">
            <v>王俊博</v>
          </cell>
          <cell r="F20039" t="str">
            <v>M241001R1</v>
          </cell>
          <cell r="J20039">
            <v>45722</v>
          </cell>
          <cell r="K20039">
            <v>9</v>
          </cell>
        </row>
        <row r="20040">
          <cell r="C20040" t="str">
            <v>王俊博</v>
          </cell>
          <cell r="F20040" t="str">
            <v>M241001R1</v>
          </cell>
          <cell r="J20040">
            <v>45723</v>
          </cell>
          <cell r="K20040">
            <v>9</v>
          </cell>
        </row>
        <row r="20041">
          <cell r="C20041" t="str">
            <v>王俊博</v>
          </cell>
          <cell r="F20041" t="str">
            <v>M241001R1</v>
          </cell>
          <cell r="J20041">
            <v>45726</v>
          </cell>
          <cell r="K20041">
            <v>9</v>
          </cell>
        </row>
        <row r="20042">
          <cell r="C20042" t="str">
            <v>王俊博</v>
          </cell>
          <cell r="F20042" t="str">
            <v>F200201S1</v>
          </cell>
          <cell r="J20042">
            <v>45727</v>
          </cell>
          <cell r="K20042">
            <v>9</v>
          </cell>
        </row>
        <row r="20043">
          <cell r="C20043" t="str">
            <v>王俊博</v>
          </cell>
          <cell r="F20043" t="str">
            <v>K241201R1</v>
          </cell>
          <cell r="J20043">
            <v>45728</v>
          </cell>
          <cell r="K20043">
            <v>4</v>
          </cell>
        </row>
        <row r="20044">
          <cell r="C20044" t="str">
            <v>王俊博</v>
          </cell>
          <cell r="F20044" t="str">
            <v>K241201R1</v>
          </cell>
          <cell r="J20044">
            <v>45729</v>
          </cell>
          <cell r="K20044">
            <v>4</v>
          </cell>
        </row>
        <row r="20045">
          <cell r="C20045" t="str">
            <v>王俊博</v>
          </cell>
          <cell r="F20045" t="str">
            <v>M241001R1</v>
          </cell>
          <cell r="J20045">
            <v>45730</v>
          </cell>
          <cell r="K20045">
            <v>8</v>
          </cell>
        </row>
        <row r="20046">
          <cell r="C20046" t="str">
            <v>王俊博</v>
          </cell>
          <cell r="F20046" t="str">
            <v>M241001R1</v>
          </cell>
          <cell r="J20046">
            <v>45733</v>
          </cell>
          <cell r="K20046">
            <v>10</v>
          </cell>
        </row>
        <row r="20047">
          <cell r="C20047" t="str">
            <v>王俊博</v>
          </cell>
          <cell r="F20047" t="str">
            <v>M241001R1</v>
          </cell>
          <cell r="J20047">
            <v>45734</v>
          </cell>
          <cell r="K20047">
            <v>10</v>
          </cell>
        </row>
        <row r="20048">
          <cell r="C20048" t="str">
            <v>王俊博</v>
          </cell>
          <cell r="F20048" t="str">
            <v>M241001R1</v>
          </cell>
          <cell r="J20048">
            <v>45735</v>
          </cell>
          <cell r="K20048">
            <v>9</v>
          </cell>
        </row>
        <row r="20049">
          <cell r="C20049" t="str">
            <v>王俊博</v>
          </cell>
          <cell r="F20049" t="str">
            <v>M241001R1</v>
          </cell>
          <cell r="J20049">
            <v>45736</v>
          </cell>
          <cell r="K20049">
            <v>11</v>
          </cell>
        </row>
        <row r="20050">
          <cell r="C20050" t="str">
            <v>王俊博</v>
          </cell>
          <cell r="F20050" t="str">
            <v>M241001R1</v>
          </cell>
          <cell r="J20050">
            <v>45737</v>
          </cell>
          <cell r="K20050">
            <v>8</v>
          </cell>
        </row>
        <row r="20051">
          <cell r="C20051" t="str">
            <v>王俊博</v>
          </cell>
          <cell r="F20051" t="str">
            <v>M241001R1</v>
          </cell>
          <cell r="J20051">
            <v>45740</v>
          </cell>
          <cell r="K20051">
            <v>10</v>
          </cell>
        </row>
        <row r="20052">
          <cell r="C20052" t="str">
            <v>王俊博</v>
          </cell>
          <cell r="F20052" t="str">
            <v>M241001R1</v>
          </cell>
          <cell r="J20052">
            <v>45741</v>
          </cell>
          <cell r="K20052">
            <v>9</v>
          </cell>
        </row>
        <row r="20053">
          <cell r="C20053" t="str">
            <v>王俊博</v>
          </cell>
          <cell r="F20053" t="str">
            <v>K240801R2</v>
          </cell>
          <cell r="J20053">
            <v>45742</v>
          </cell>
          <cell r="K20053">
            <v>9</v>
          </cell>
        </row>
        <row r="20054">
          <cell r="C20054" t="str">
            <v>王俊博</v>
          </cell>
          <cell r="F20054" t="str">
            <v>K240801R2</v>
          </cell>
          <cell r="J20054">
            <v>45743</v>
          </cell>
          <cell r="K20054">
            <v>9</v>
          </cell>
        </row>
        <row r="20055">
          <cell r="C20055" t="str">
            <v>王俊博</v>
          </cell>
          <cell r="F20055" t="str">
            <v>K240801R2</v>
          </cell>
          <cell r="J20055">
            <v>45744</v>
          </cell>
          <cell r="K20055">
            <v>8</v>
          </cell>
        </row>
        <row r="20056">
          <cell r="C20056" t="str">
            <v>王俊博</v>
          </cell>
          <cell r="F20056" t="str">
            <v>K240801R2</v>
          </cell>
          <cell r="J20056">
            <v>45747</v>
          </cell>
          <cell r="K20056">
            <v>10</v>
          </cell>
        </row>
        <row r="20057">
          <cell r="C20057" t="str">
            <v>王俊博</v>
          </cell>
          <cell r="F20057" t="str">
            <v>K240801R2</v>
          </cell>
          <cell r="J20057">
            <v>45748</v>
          </cell>
          <cell r="K20057">
            <v>9</v>
          </cell>
        </row>
        <row r="20058">
          <cell r="C20058" t="str">
            <v>王俊博</v>
          </cell>
          <cell r="F20058" t="str">
            <v>K240801R2</v>
          </cell>
          <cell r="J20058">
            <v>45749</v>
          </cell>
          <cell r="K20058">
            <v>8</v>
          </cell>
        </row>
        <row r="20059">
          <cell r="C20059" t="str">
            <v>王俊博</v>
          </cell>
          <cell r="F20059" t="str">
            <v>K240801R2</v>
          </cell>
          <cell r="J20059">
            <v>45754</v>
          </cell>
          <cell r="K20059">
            <v>9</v>
          </cell>
        </row>
        <row r="20060">
          <cell r="C20060" t="str">
            <v>王俊博</v>
          </cell>
          <cell r="F20060" t="str">
            <v>K240801R2</v>
          </cell>
          <cell r="J20060">
            <v>45755</v>
          </cell>
          <cell r="K20060">
            <v>9</v>
          </cell>
        </row>
        <row r="20061">
          <cell r="C20061" t="str">
            <v>王俊博</v>
          </cell>
          <cell r="F20061" t="str">
            <v>K240801R2</v>
          </cell>
          <cell r="J20061">
            <v>45756</v>
          </cell>
          <cell r="K20061">
            <v>9</v>
          </cell>
        </row>
        <row r="20062">
          <cell r="C20062" t="str">
            <v>王俊博</v>
          </cell>
          <cell r="F20062" t="str">
            <v>K240801R2</v>
          </cell>
          <cell r="J20062">
            <v>45757</v>
          </cell>
          <cell r="K20062">
            <v>8</v>
          </cell>
        </row>
        <row r="20063">
          <cell r="C20063" t="str">
            <v>王俊博</v>
          </cell>
          <cell r="J20063">
            <v>45758</v>
          </cell>
          <cell r="K20063">
            <v>8</v>
          </cell>
        </row>
        <row r="20064">
          <cell r="C20064" t="str">
            <v>王俊博</v>
          </cell>
          <cell r="F20064" t="str">
            <v>K240801R2</v>
          </cell>
          <cell r="J20064">
            <v>45761</v>
          </cell>
          <cell r="K20064">
            <v>9</v>
          </cell>
        </row>
        <row r="20065">
          <cell r="C20065" t="str">
            <v>王俊博</v>
          </cell>
          <cell r="F20065" t="str">
            <v>K240801R2</v>
          </cell>
          <cell r="J20065">
            <v>45762</v>
          </cell>
          <cell r="K20065">
            <v>9</v>
          </cell>
        </row>
        <row r="20066">
          <cell r="C20066" t="str">
            <v>王俊博</v>
          </cell>
          <cell r="F20066" t="str">
            <v>K240801R2</v>
          </cell>
          <cell r="J20066">
            <v>45763</v>
          </cell>
          <cell r="K20066">
            <v>8</v>
          </cell>
        </row>
        <row r="20067">
          <cell r="C20067" t="str">
            <v>王俊博</v>
          </cell>
          <cell r="F20067" t="str">
            <v>K240801R2</v>
          </cell>
          <cell r="J20067">
            <v>45764</v>
          </cell>
          <cell r="K20067">
            <v>9.5</v>
          </cell>
        </row>
        <row r="20068">
          <cell r="C20068" t="str">
            <v>王俊博</v>
          </cell>
          <cell r="F20068" t="str">
            <v>K240801R2</v>
          </cell>
          <cell r="J20068">
            <v>45765</v>
          </cell>
          <cell r="K20068">
            <v>8</v>
          </cell>
        </row>
        <row r="20069">
          <cell r="C20069" t="str">
            <v>王俊博</v>
          </cell>
          <cell r="F20069" t="str">
            <v>K240801R2</v>
          </cell>
          <cell r="J20069">
            <v>45768</v>
          </cell>
          <cell r="K20069">
            <v>9</v>
          </cell>
        </row>
        <row r="20070">
          <cell r="C20070" t="str">
            <v>王俊博</v>
          </cell>
          <cell r="F20070" t="str">
            <v>K240801R2</v>
          </cell>
          <cell r="J20070">
            <v>45769</v>
          </cell>
          <cell r="K20070">
            <v>4</v>
          </cell>
        </row>
        <row r="20071">
          <cell r="C20071" t="str">
            <v>王俊博</v>
          </cell>
          <cell r="F20071" t="str">
            <v>M241001R1</v>
          </cell>
          <cell r="J20071">
            <v>45769</v>
          </cell>
          <cell r="K20071">
            <v>5</v>
          </cell>
        </row>
        <row r="20072">
          <cell r="C20072" t="str">
            <v>王俊博</v>
          </cell>
          <cell r="F20072" t="str">
            <v>K240801R2</v>
          </cell>
          <cell r="J20072">
            <v>45770</v>
          </cell>
          <cell r="K20072">
            <v>11.5</v>
          </cell>
        </row>
        <row r="20073">
          <cell r="C20073" t="str">
            <v>王俊博</v>
          </cell>
          <cell r="F20073" t="str">
            <v>K240801R2</v>
          </cell>
          <cell r="J20073">
            <v>45771</v>
          </cell>
          <cell r="K20073">
            <v>2</v>
          </cell>
        </row>
        <row r="20074">
          <cell r="C20074" t="str">
            <v>王俊博</v>
          </cell>
          <cell r="F20074" t="str">
            <v>F200201S1</v>
          </cell>
          <cell r="J20074">
            <v>45771</v>
          </cell>
          <cell r="K20074">
            <v>6</v>
          </cell>
        </row>
        <row r="20075">
          <cell r="C20075" t="str">
            <v>王俊博</v>
          </cell>
          <cell r="F20075" t="str">
            <v>K240801R2</v>
          </cell>
          <cell r="J20075">
            <v>45772</v>
          </cell>
          <cell r="K20075">
            <v>8</v>
          </cell>
        </row>
        <row r="20076">
          <cell r="C20076" t="str">
            <v>王俊博</v>
          </cell>
          <cell r="F20076" t="str">
            <v>K240801R2</v>
          </cell>
          <cell r="J20076">
            <v>45775</v>
          </cell>
          <cell r="K20076">
            <v>8</v>
          </cell>
        </row>
        <row r="20077">
          <cell r="C20077" t="str">
            <v>王俊博</v>
          </cell>
          <cell r="F20077" t="str">
            <v>M241001R1</v>
          </cell>
          <cell r="J20077">
            <v>45776</v>
          </cell>
          <cell r="K20077">
            <v>10</v>
          </cell>
        </row>
        <row r="20078">
          <cell r="C20078" t="str">
            <v>王俊博</v>
          </cell>
          <cell r="F20078" t="str">
            <v>M241001R1</v>
          </cell>
          <cell r="J20078">
            <v>45777</v>
          </cell>
          <cell r="K20078">
            <v>9</v>
          </cell>
        </row>
        <row r="20079">
          <cell r="C20079" t="str">
            <v>王俊博</v>
          </cell>
          <cell r="F20079" t="str">
            <v>M241001R1</v>
          </cell>
          <cell r="J20079">
            <v>45779</v>
          </cell>
          <cell r="K20079">
            <v>12</v>
          </cell>
        </row>
        <row r="20080">
          <cell r="C20080" t="str">
            <v>王俊博</v>
          </cell>
          <cell r="F20080" t="str">
            <v>M241001R1</v>
          </cell>
          <cell r="J20080">
            <v>45782</v>
          </cell>
          <cell r="K20080">
            <v>9</v>
          </cell>
        </row>
        <row r="20081">
          <cell r="C20081" t="str">
            <v>王俊博</v>
          </cell>
          <cell r="F20081" t="str">
            <v>M241001R1</v>
          </cell>
          <cell r="J20081">
            <v>45783</v>
          </cell>
          <cell r="K20081">
            <v>9</v>
          </cell>
        </row>
        <row r="20082">
          <cell r="C20082" t="str">
            <v>王俊博</v>
          </cell>
          <cell r="F20082" t="str">
            <v>K240801R2</v>
          </cell>
          <cell r="J20082">
            <v>45784</v>
          </cell>
          <cell r="K20082">
            <v>9</v>
          </cell>
        </row>
        <row r="20083">
          <cell r="C20083" t="str">
            <v>王俊博</v>
          </cell>
          <cell r="F20083" t="str">
            <v>M241001R1</v>
          </cell>
          <cell r="J20083">
            <v>45785</v>
          </cell>
          <cell r="K20083">
            <v>9</v>
          </cell>
        </row>
        <row r="20084">
          <cell r="C20084" t="str">
            <v>王俊博</v>
          </cell>
          <cell r="F20084" t="str">
            <v>M241001R1</v>
          </cell>
          <cell r="J20084">
            <v>45786</v>
          </cell>
          <cell r="K20084">
            <v>8</v>
          </cell>
        </row>
        <row r="20085">
          <cell r="C20085" t="str">
            <v>王俊博</v>
          </cell>
          <cell r="F20085" t="str">
            <v>M241001R1</v>
          </cell>
          <cell r="J20085">
            <v>45789</v>
          </cell>
          <cell r="K20085">
            <v>9</v>
          </cell>
        </row>
        <row r="20086">
          <cell r="C20086" t="str">
            <v>王俊博</v>
          </cell>
          <cell r="F20086" t="str">
            <v>M241001R1</v>
          </cell>
          <cell r="J20086">
            <v>45790</v>
          </cell>
          <cell r="K20086">
            <v>9</v>
          </cell>
        </row>
        <row r="20087">
          <cell r="C20087" t="str">
            <v>王俊博</v>
          </cell>
          <cell r="F20087" t="str">
            <v>F200201S1</v>
          </cell>
          <cell r="J20087">
            <v>45791</v>
          </cell>
          <cell r="K20087">
            <v>7</v>
          </cell>
        </row>
        <row r="20088">
          <cell r="C20088" t="str">
            <v>王俊博</v>
          </cell>
          <cell r="F20088" t="str">
            <v>M241001R1</v>
          </cell>
          <cell r="J20088">
            <v>45791</v>
          </cell>
          <cell r="K20088">
            <v>1</v>
          </cell>
        </row>
        <row r="20089">
          <cell r="C20089" t="str">
            <v>王俊博</v>
          </cell>
          <cell r="F20089" t="str">
            <v>K240801R2</v>
          </cell>
          <cell r="J20089">
            <v>45792</v>
          </cell>
          <cell r="K20089">
            <v>4</v>
          </cell>
        </row>
        <row r="20090">
          <cell r="C20090" t="str">
            <v>王俊博</v>
          </cell>
          <cell r="F20090" t="str">
            <v>M241001R1</v>
          </cell>
          <cell r="J20090">
            <v>45792</v>
          </cell>
          <cell r="K20090">
            <v>5</v>
          </cell>
        </row>
        <row r="20091">
          <cell r="C20091" t="str">
            <v>王俊博</v>
          </cell>
          <cell r="F20091" t="str">
            <v>K240801R2</v>
          </cell>
          <cell r="J20091">
            <v>45793</v>
          </cell>
          <cell r="K20091">
            <v>5</v>
          </cell>
        </row>
        <row r="20092">
          <cell r="C20092" t="str">
            <v>王俊博</v>
          </cell>
          <cell r="F20092" t="str">
            <v>M241001R1</v>
          </cell>
          <cell r="J20092">
            <v>45793</v>
          </cell>
          <cell r="K20092">
            <v>3</v>
          </cell>
        </row>
        <row r="20093">
          <cell r="C20093" t="str">
            <v>王俊博</v>
          </cell>
          <cell r="F20093" t="str">
            <v>M241001R1</v>
          </cell>
          <cell r="J20093">
            <v>45796</v>
          </cell>
          <cell r="K20093">
            <v>9</v>
          </cell>
        </row>
        <row r="20094">
          <cell r="C20094" t="str">
            <v>王俊博</v>
          </cell>
          <cell r="F20094" t="str">
            <v>M241001R1</v>
          </cell>
          <cell r="J20094">
            <v>45797</v>
          </cell>
          <cell r="K20094">
            <v>9.5</v>
          </cell>
        </row>
        <row r="20095">
          <cell r="C20095" t="str">
            <v>王俊博</v>
          </cell>
          <cell r="F20095" t="str">
            <v>F200201S1</v>
          </cell>
          <cell r="J20095">
            <v>45798</v>
          </cell>
          <cell r="K20095">
            <v>9.5</v>
          </cell>
        </row>
        <row r="20096">
          <cell r="C20096" t="str">
            <v>王俊博</v>
          </cell>
          <cell r="J20096">
            <v>45799</v>
          </cell>
          <cell r="K20096">
            <v>8</v>
          </cell>
        </row>
        <row r="20097">
          <cell r="C20097" t="str">
            <v>王俊博</v>
          </cell>
          <cell r="F20097" t="str">
            <v>M241001R1</v>
          </cell>
          <cell r="J20097">
            <v>45799</v>
          </cell>
          <cell r="K20097">
            <v>1</v>
          </cell>
        </row>
        <row r="20098">
          <cell r="C20098" t="str">
            <v>王俊博</v>
          </cell>
          <cell r="J20098">
            <v>45800</v>
          </cell>
          <cell r="K20098">
            <v>8</v>
          </cell>
        </row>
        <row r="20099">
          <cell r="C20099" t="str">
            <v>王俊博</v>
          </cell>
          <cell r="J20099">
            <v>45803</v>
          </cell>
          <cell r="K20099">
            <v>5</v>
          </cell>
        </row>
        <row r="20100">
          <cell r="C20100" t="str">
            <v>王俊博</v>
          </cell>
          <cell r="F20100" t="str">
            <v>M241001R1</v>
          </cell>
          <cell r="J20100">
            <v>45803</v>
          </cell>
          <cell r="K20100">
            <v>4</v>
          </cell>
        </row>
        <row r="20101">
          <cell r="C20101" t="str">
            <v>王俊博</v>
          </cell>
          <cell r="J20101">
            <v>45804</v>
          </cell>
          <cell r="K20101">
            <v>8</v>
          </cell>
        </row>
        <row r="20102">
          <cell r="C20102" t="str">
            <v>王俊博</v>
          </cell>
          <cell r="F20102" t="str">
            <v>M241001R1</v>
          </cell>
          <cell r="J20102">
            <v>45804</v>
          </cell>
          <cell r="K20102">
            <v>1.5</v>
          </cell>
        </row>
        <row r="20103">
          <cell r="C20103" t="str">
            <v>王俊博</v>
          </cell>
          <cell r="F20103" t="str">
            <v>K240801R2</v>
          </cell>
          <cell r="J20103">
            <v>45805</v>
          </cell>
          <cell r="K20103">
            <v>2</v>
          </cell>
        </row>
        <row r="20104">
          <cell r="C20104" t="str">
            <v>王俊博</v>
          </cell>
          <cell r="F20104" t="str">
            <v>F200201S1</v>
          </cell>
          <cell r="J20104">
            <v>45805</v>
          </cell>
          <cell r="K20104">
            <v>5</v>
          </cell>
        </row>
        <row r="20105">
          <cell r="C20105" t="str">
            <v>王俊博</v>
          </cell>
          <cell r="F20105" t="str">
            <v>M241001R1</v>
          </cell>
          <cell r="J20105">
            <v>45805</v>
          </cell>
          <cell r="K20105">
            <v>2</v>
          </cell>
        </row>
        <row r="20106">
          <cell r="C20106" t="str">
            <v>王俊博</v>
          </cell>
          <cell r="F20106" t="str">
            <v>K240801R2</v>
          </cell>
          <cell r="J20106">
            <v>45806</v>
          </cell>
          <cell r="K20106">
            <v>3</v>
          </cell>
        </row>
        <row r="20107">
          <cell r="C20107" t="str">
            <v>王俊博</v>
          </cell>
          <cell r="J20107">
            <v>45806</v>
          </cell>
          <cell r="K20107">
            <v>1</v>
          </cell>
        </row>
        <row r="20108">
          <cell r="C20108" t="str">
            <v>王俊博</v>
          </cell>
          <cell r="F20108" t="str">
            <v>M241001R1</v>
          </cell>
          <cell r="J20108">
            <v>45806</v>
          </cell>
          <cell r="K20108">
            <v>4</v>
          </cell>
        </row>
        <row r="20109">
          <cell r="C20109" t="str">
            <v>王俊博</v>
          </cell>
          <cell r="F20109" t="str">
            <v>K240801R2</v>
          </cell>
          <cell r="J20109">
            <v>45810</v>
          </cell>
          <cell r="K20109">
            <v>9.5</v>
          </cell>
        </row>
        <row r="20110">
          <cell r="C20110" t="str">
            <v>王俊博</v>
          </cell>
          <cell r="F20110" t="str">
            <v>M241001R1</v>
          </cell>
          <cell r="J20110">
            <v>45810</v>
          </cell>
          <cell r="K20110">
            <v>1</v>
          </cell>
        </row>
        <row r="20111">
          <cell r="C20111" t="str">
            <v>王俊博</v>
          </cell>
          <cell r="F20111" t="str">
            <v>K240801R2</v>
          </cell>
          <cell r="J20111">
            <v>45812</v>
          </cell>
          <cell r="K20111">
            <v>1</v>
          </cell>
        </row>
        <row r="20112">
          <cell r="C20112" t="str">
            <v>王俊博</v>
          </cell>
          <cell r="F20112" t="str">
            <v>F200201S1</v>
          </cell>
          <cell r="J20112">
            <v>45812</v>
          </cell>
          <cell r="K20112">
            <v>7</v>
          </cell>
        </row>
        <row r="20113">
          <cell r="C20113" t="str">
            <v>王俊博</v>
          </cell>
          <cell r="F20113" t="str">
            <v>M241001R1</v>
          </cell>
          <cell r="J20113">
            <v>45812</v>
          </cell>
          <cell r="K20113">
            <v>1</v>
          </cell>
        </row>
        <row r="20114">
          <cell r="C20114" t="str">
            <v>王俊博</v>
          </cell>
          <cell r="F20114" t="str">
            <v>K240801R2</v>
          </cell>
          <cell r="J20114">
            <v>45813</v>
          </cell>
          <cell r="K20114">
            <v>8</v>
          </cell>
        </row>
        <row r="20115">
          <cell r="C20115" t="str">
            <v>王俊博</v>
          </cell>
          <cell r="F20115" t="str">
            <v>M241001R1</v>
          </cell>
          <cell r="J20115">
            <v>45813</v>
          </cell>
          <cell r="K20115">
            <v>1.5</v>
          </cell>
        </row>
        <row r="20116">
          <cell r="C20116" t="str">
            <v>王俊博</v>
          </cell>
          <cell r="F20116" t="str">
            <v>K240801R2</v>
          </cell>
          <cell r="J20116">
            <v>45814</v>
          </cell>
          <cell r="K20116">
            <v>1</v>
          </cell>
        </row>
        <row r="20117">
          <cell r="C20117" t="str">
            <v>王俊博</v>
          </cell>
          <cell r="F20117" t="str">
            <v>M241001R1</v>
          </cell>
          <cell r="J20117">
            <v>45814</v>
          </cell>
          <cell r="K20117">
            <v>7</v>
          </cell>
        </row>
        <row r="20118">
          <cell r="C20118" t="str">
            <v>王俊博</v>
          </cell>
          <cell r="F20118" t="str">
            <v>K240801R2</v>
          </cell>
          <cell r="J20118">
            <v>45817</v>
          </cell>
          <cell r="K20118">
            <v>6</v>
          </cell>
        </row>
        <row r="20119">
          <cell r="C20119" t="str">
            <v>王俊博</v>
          </cell>
          <cell r="F20119" t="str">
            <v>M241001R1</v>
          </cell>
          <cell r="J20119">
            <v>45817</v>
          </cell>
          <cell r="K20119">
            <v>2</v>
          </cell>
        </row>
        <row r="20120">
          <cell r="C20120" t="str">
            <v>王俊博</v>
          </cell>
          <cell r="J20120">
            <v>45818</v>
          </cell>
          <cell r="K20120">
            <v>5</v>
          </cell>
        </row>
        <row r="20121">
          <cell r="C20121" t="str">
            <v>王俊博</v>
          </cell>
          <cell r="F20121" t="str">
            <v>K240801R2</v>
          </cell>
          <cell r="J20121">
            <v>45818</v>
          </cell>
          <cell r="K20121">
            <v>3</v>
          </cell>
        </row>
        <row r="20122">
          <cell r="C20122" t="str">
            <v>王俊博</v>
          </cell>
          <cell r="J20122">
            <v>45818</v>
          </cell>
          <cell r="K20122">
            <v>1.5</v>
          </cell>
        </row>
        <row r="20123">
          <cell r="C20123" t="str">
            <v>王俊博</v>
          </cell>
          <cell r="F20123" t="str">
            <v>K240801R2</v>
          </cell>
          <cell r="J20123">
            <v>45819</v>
          </cell>
          <cell r="K20123">
            <v>1.5</v>
          </cell>
        </row>
        <row r="20124">
          <cell r="C20124" t="str">
            <v>王俊博</v>
          </cell>
          <cell r="J20124">
            <v>45819</v>
          </cell>
          <cell r="K20124">
            <v>2</v>
          </cell>
        </row>
        <row r="20125">
          <cell r="C20125" t="str">
            <v>王俊博</v>
          </cell>
          <cell r="F20125" t="str">
            <v>F200201S1</v>
          </cell>
          <cell r="J20125">
            <v>45819</v>
          </cell>
          <cell r="K20125">
            <v>6</v>
          </cell>
        </row>
        <row r="20126">
          <cell r="C20126" t="str">
            <v>王俊博</v>
          </cell>
          <cell r="F20126" t="str">
            <v>K240801R2</v>
          </cell>
          <cell r="J20126">
            <v>45820</v>
          </cell>
          <cell r="K20126">
            <v>5.5</v>
          </cell>
        </row>
        <row r="20127">
          <cell r="C20127" t="str">
            <v>王俊博</v>
          </cell>
          <cell r="J20127">
            <v>45820</v>
          </cell>
          <cell r="K20127">
            <v>3.5</v>
          </cell>
        </row>
        <row r="20128">
          <cell r="C20128" t="str">
            <v>王俊博</v>
          </cell>
          <cell r="J20128">
            <v>45821</v>
          </cell>
          <cell r="K20128">
            <v>1</v>
          </cell>
        </row>
        <row r="20129">
          <cell r="C20129" t="str">
            <v>王俊博</v>
          </cell>
          <cell r="F20129" t="str">
            <v>K240801R2</v>
          </cell>
          <cell r="J20129">
            <v>45821</v>
          </cell>
          <cell r="K20129">
            <v>5.5</v>
          </cell>
        </row>
        <row r="20130">
          <cell r="C20130" t="str">
            <v>王俊博</v>
          </cell>
          <cell r="F20130" t="str">
            <v>M241001R1</v>
          </cell>
          <cell r="J20130">
            <v>45821</v>
          </cell>
          <cell r="K20130">
            <v>1.5</v>
          </cell>
        </row>
        <row r="20131">
          <cell r="C20131" t="str">
            <v>王俊博</v>
          </cell>
          <cell r="F20131" t="str">
            <v>K240801R2</v>
          </cell>
          <cell r="J20131">
            <v>45824</v>
          </cell>
          <cell r="K20131">
            <v>9.5</v>
          </cell>
        </row>
        <row r="20132">
          <cell r="C20132" t="str">
            <v>王俊博</v>
          </cell>
          <cell r="F20132" t="str">
            <v>K240801R2</v>
          </cell>
          <cell r="J20132">
            <v>45825</v>
          </cell>
          <cell r="K20132">
            <v>8</v>
          </cell>
        </row>
        <row r="20133">
          <cell r="C20133" t="str">
            <v>王俊博</v>
          </cell>
          <cell r="F20133" t="str">
            <v>M241001R1</v>
          </cell>
          <cell r="J20133">
            <v>45825</v>
          </cell>
          <cell r="K20133">
            <v>1</v>
          </cell>
        </row>
        <row r="20134">
          <cell r="C20134" t="str">
            <v>王俊博</v>
          </cell>
          <cell r="F20134" t="str">
            <v>K240801R2</v>
          </cell>
          <cell r="J20134">
            <v>45826</v>
          </cell>
          <cell r="K20134">
            <v>8</v>
          </cell>
        </row>
        <row r="20135">
          <cell r="C20135" t="str">
            <v>王俊博</v>
          </cell>
          <cell r="J20135">
            <v>45826</v>
          </cell>
          <cell r="K20135">
            <v>2</v>
          </cell>
        </row>
        <row r="20136">
          <cell r="C20136" t="str">
            <v>王俊博</v>
          </cell>
          <cell r="F20136" t="str">
            <v>K240801R2</v>
          </cell>
          <cell r="J20136">
            <v>45827</v>
          </cell>
          <cell r="K20136">
            <v>9</v>
          </cell>
        </row>
        <row r="20137">
          <cell r="C20137" t="str">
            <v>王俊博</v>
          </cell>
          <cell r="F20137" t="str">
            <v>K240801R2</v>
          </cell>
          <cell r="J20137">
            <v>45828</v>
          </cell>
          <cell r="K20137">
            <v>11</v>
          </cell>
        </row>
        <row r="20138">
          <cell r="C20138" t="str">
            <v>王俊博</v>
          </cell>
          <cell r="F20138" t="str">
            <v>K240801R2</v>
          </cell>
          <cell r="J20138">
            <v>45831</v>
          </cell>
          <cell r="K20138">
            <v>10.5</v>
          </cell>
        </row>
        <row r="20139">
          <cell r="C20139" t="str">
            <v>王俊博</v>
          </cell>
          <cell r="F20139" t="str">
            <v>K240801R2</v>
          </cell>
          <cell r="J20139">
            <v>45832</v>
          </cell>
          <cell r="K20139">
            <v>10.5</v>
          </cell>
        </row>
        <row r="20140">
          <cell r="C20140" t="str">
            <v>王俊博</v>
          </cell>
          <cell r="F20140" t="str">
            <v>K240801R2</v>
          </cell>
          <cell r="J20140">
            <v>45833</v>
          </cell>
          <cell r="K20140">
            <v>7</v>
          </cell>
        </row>
        <row r="20141">
          <cell r="C20141" t="str">
            <v>王俊博</v>
          </cell>
          <cell r="J20141">
            <v>45833</v>
          </cell>
          <cell r="K20141">
            <v>1</v>
          </cell>
        </row>
        <row r="20142">
          <cell r="C20142" t="str">
            <v>王俊博</v>
          </cell>
          <cell r="F20142" t="str">
            <v>K240801R2</v>
          </cell>
          <cell r="J20142">
            <v>45834</v>
          </cell>
          <cell r="K20142">
            <v>6</v>
          </cell>
        </row>
        <row r="20143">
          <cell r="C20143" t="str">
            <v>王俊博</v>
          </cell>
          <cell r="J20143">
            <v>45834</v>
          </cell>
          <cell r="K20143">
            <v>3</v>
          </cell>
        </row>
        <row r="20144">
          <cell r="C20144" t="str">
            <v>王俊博</v>
          </cell>
          <cell r="F20144" t="str">
            <v>K240801R2</v>
          </cell>
          <cell r="J20144">
            <v>45835</v>
          </cell>
          <cell r="K20144">
            <v>9</v>
          </cell>
        </row>
        <row r="20145">
          <cell r="C20145" t="str">
            <v>王俊博</v>
          </cell>
          <cell r="F20145" t="str">
            <v>K240801R2</v>
          </cell>
          <cell r="J20145">
            <v>45838</v>
          </cell>
          <cell r="K20145">
            <v>9.5</v>
          </cell>
        </row>
        <row r="20146">
          <cell r="C20146" t="str">
            <v>王俊博</v>
          </cell>
          <cell r="F20146" t="str">
            <v>K240801R2</v>
          </cell>
          <cell r="J20146">
            <v>45839</v>
          </cell>
          <cell r="K20146">
            <v>9</v>
          </cell>
        </row>
        <row r="20147">
          <cell r="C20147" t="str">
            <v>王俊博</v>
          </cell>
          <cell r="F20147" t="str">
            <v>K240801R2</v>
          </cell>
          <cell r="J20147">
            <v>45840</v>
          </cell>
          <cell r="K20147">
            <v>9</v>
          </cell>
        </row>
        <row r="20148">
          <cell r="C20148" t="str">
            <v>王俊博</v>
          </cell>
          <cell r="F20148" t="str">
            <v>K240801R2</v>
          </cell>
          <cell r="J20148">
            <v>45841</v>
          </cell>
          <cell r="K20148">
            <v>9</v>
          </cell>
        </row>
        <row r="20149">
          <cell r="C20149" t="str">
            <v>王俊博</v>
          </cell>
          <cell r="J20149">
            <v>45842</v>
          </cell>
          <cell r="K20149">
            <v>8</v>
          </cell>
        </row>
        <row r="20150">
          <cell r="C20150" t="str">
            <v>王俊博</v>
          </cell>
          <cell r="F20150" t="str">
            <v>K240801R2</v>
          </cell>
          <cell r="J20150">
            <v>45845</v>
          </cell>
          <cell r="K20150">
            <v>9</v>
          </cell>
        </row>
        <row r="20151">
          <cell r="C20151" t="str">
            <v>王俊博</v>
          </cell>
          <cell r="J20151">
            <v>45846</v>
          </cell>
          <cell r="K20151">
            <v>8</v>
          </cell>
        </row>
        <row r="20152">
          <cell r="C20152" t="str">
            <v>王俊博</v>
          </cell>
          <cell r="J20152">
            <v>45847</v>
          </cell>
          <cell r="K20152">
            <v>1</v>
          </cell>
        </row>
        <row r="20153">
          <cell r="C20153" t="str">
            <v>王俊博</v>
          </cell>
          <cell r="F20153" t="str">
            <v>M241001R1</v>
          </cell>
          <cell r="J20153">
            <v>45847</v>
          </cell>
          <cell r="K20153">
            <v>1</v>
          </cell>
        </row>
        <row r="20154">
          <cell r="C20154" t="str">
            <v>王俊博</v>
          </cell>
          <cell r="F20154" t="str">
            <v>K240801R2</v>
          </cell>
          <cell r="J20154">
            <v>45847</v>
          </cell>
          <cell r="K20154">
            <v>7</v>
          </cell>
        </row>
        <row r="20155">
          <cell r="C20155" t="str">
            <v>王俊博</v>
          </cell>
          <cell r="J20155">
            <v>45848</v>
          </cell>
          <cell r="K20155">
            <v>8</v>
          </cell>
        </row>
        <row r="20156">
          <cell r="C20156" t="str">
            <v>王俊博</v>
          </cell>
          <cell r="F20156" t="str">
            <v>K240801R2</v>
          </cell>
          <cell r="J20156">
            <v>45848</v>
          </cell>
          <cell r="K20156">
            <v>1</v>
          </cell>
        </row>
        <row r="20157">
          <cell r="C20157" t="str">
            <v>王俊博</v>
          </cell>
          <cell r="J20157">
            <v>45849</v>
          </cell>
          <cell r="K20157">
            <v>8</v>
          </cell>
        </row>
        <row r="20158">
          <cell r="C20158" t="str">
            <v>王俊博</v>
          </cell>
          <cell r="J20158">
            <v>45852</v>
          </cell>
          <cell r="K20158">
            <v>6</v>
          </cell>
        </row>
        <row r="20159">
          <cell r="C20159" t="str">
            <v>王俊博</v>
          </cell>
          <cell r="F20159" t="str">
            <v>K240801R2</v>
          </cell>
          <cell r="J20159">
            <v>45852</v>
          </cell>
          <cell r="K20159">
            <v>3</v>
          </cell>
        </row>
        <row r="20160">
          <cell r="C20160" t="str">
            <v>王俊博</v>
          </cell>
          <cell r="F20160" t="str">
            <v>F200201S1</v>
          </cell>
          <cell r="J20160">
            <v>45853</v>
          </cell>
          <cell r="K20160">
            <v>8</v>
          </cell>
        </row>
        <row r="20161">
          <cell r="C20161" t="str">
            <v>王俊博</v>
          </cell>
          <cell r="J20161">
            <v>45853</v>
          </cell>
          <cell r="K20161">
            <v>1.5</v>
          </cell>
        </row>
        <row r="20162">
          <cell r="C20162" t="str">
            <v>王俊博</v>
          </cell>
          <cell r="F20162" t="str">
            <v>K240801R2</v>
          </cell>
          <cell r="J20162">
            <v>45854</v>
          </cell>
          <cell r="K20162">
            <v>9</v>
          </cell>
        </row>
        <row r="20163">
          <cell r="C20163" t="str">
            <v>王俊博</v>
          </cell>
          <cell r="F20163" t="str">
            <v>K240801R2</v>
          </cell>
          <cell r="J20163">
            <v>45855</v>
          </cell>
          <cell r="K20163">
            <v>9.5</v>
          </cell>
        </row>
        <row r="20164">
          <cell r="C20164" t="str">
            <v>王俊博</v>
          </cell>
          <cell r="F20164" t="str">
            <v>K240801R2</v>
          </cell>
          <cell r="J20164">
            <v>45856</v>
          </cell>
          <cell r="K20164">
            <v>8</v>
          </cell>
        </row>
        <row r="20165">
          <cell r="C20165" t="str">
            <v>王俊博</v>
          </cell>
          <cell r="F20165" t="str">
            <v>K240801R2</v>
          </cell>
          <cell r="J20165">
            <v>45859</v>
          </cell>
          <cell r="K20165">
            <v>5</v>
          </cell>
        </row>
        <row r="20166">
          <cell r="C20166" t="str">
            <v>王俊博</v>
          </cell>
          <cell r="J20166">
            <v>45859</v>
          </cell>
          <cell r="K20166">
            <v>3</v>
          </cell>
        </row>
        <row r="20167">
          <cell r="C20167" t="str">
            <v>王俊博</v>
          </cell>
          <cell r="F20167" t="str">
            <v>K240801R2</v>
          </cell>
          <cell r="J20167">
            <v>45860</v>
          </cell>
          <cell r="K20167">
            <v>9</v>
          </cell>
        </row>
        <row r="20168">
          <cell r="C20168" t="str">
            <v>王俊博</v>
          </cell>
          <cell r="F20168" t="str">
            <v>K240801R2</v>
          </cell>
          <cell r="J20168">
            <v>45861</v>
          </cell>
          <cell r="K20168">
            <v>9</v>
          </cell>
        </row>
        <row r="20169">
          <cell r="C20169" t="str">
            <v>王俊博</v>
          </cell>
          <cell r="F20169" t="str">
            <v>K240801R2</v>
          </cell>
          <cell r="J20169">
            <v>45862</v>
          </cell>
          <cell r="K20169">
            <v>9</v>
          </cell>
        </row>
        <row r="20170">
          <cell r="C20170" t="str">
            <v>王俊博</v>
          </cell>
          <cell r="F20170" t="str">
            <v>K240801R2</v>
          </cell>
          <cell r="J20170">
            <v>45863</v>
          </cell>
          <cell r="K20170">
            <v>8</v>
          </cell>
        </row>
        <row r="20171">
          <cell r="C20171" t="str">
            <v>王俊博</v>
          </cell>
          <cell r="F20171" t="str">
            <v>K240801R2</v>
          </cell>
          <cell r="J20171">
            <v>45866</v>
          </cell>
          <cell r="K20171">
            <v>9.5</v>
          </cell>
        </row>
        <row r="20172">
          <cell r="C20172" t="str">
            <v>王俊博</v>
          </cell>
          <cell r="F20172" t="str">
            <v>F200201S1</v>
          </cell>
          <cell r="J20172">
            <v>45867</v>
          </cell>
          <cell r="K20172">
            <v>6</v>
          </cell>
        </row>
        <row r="20173">
          <cell r="C20173" t="str">
            <v>王俊博</v>
          </cell>
          <cell r="F20173" t="str">
            <v>K240801R2</v>
          </cell>
          <cell r="J20173">
            <v>45867</v>
          </cell>
          <cell r="K20173">
            <v>3</v>
          </cell>
        </row>
        <row r="20174">
          <cell r="C20174" t="str">
            <v>王俊博</v>
          </cell>
          <cell r="J20174">
            <v>45868</v>
          </cell>
          <cell r="K20174">
            <v>1</v>
          </cell>
        </row>
        <row r="20175">
          <cell r="C20175" t="str">
            <v>王俊博</v>
          </cell>
          <cell r="F20175" t="str">
            <v>K240801R2</v>
          </cell>
          <cell r="J20175">
            <v>45868</v>
          </cell>
          <cell r="K20175">
            <v>8</v>
          </cell>
        </row>
        <row r="20176">
          <cell r="C20176" t="str">
            <v>王俊博</v>
          </cell>
          <cell r="F20176" t="str">
            <v>K240801R2</v>
          </cell>
          <cell r="J20176">
            <v>45869</v>
          </cell>
          <cell r="K20176">
            <v>9</v>
          </cell>
        </row>
        <row r="20177">
          <cell r="C20177" t="str">
            <v>王俊博</v>
          </cell>
          <cell r="F20177" t="str">
            <v>K240801R2</v>
          </cell>
          <cell r="J20177">
            <v>45870</v>
          </cell>
          <cell r="K20177">
            <v>8</v>
          </cell>
        </row>
        <row r="20178">
          <cell r="C20178" t="str">
            <v>王俊博</v>
          </cell>
          <cell r="F20178" t="str">
            <v>K240801R2</v>
          </cell>
          <cell r="J20178">
            <v>45873</v>
          </cell>
          <cell r="K20178">
            <v>9</v>
          </cell>
        </row>
        <row r="20179">
          <cell r="C20179" t="str">
            <v>王俊博</v>
          </cell>
          <cell r="F20179" t="str">
            <v>K240801R2</v>
          </cell>
          <cell r="J20179">
            <v>45874</v>
          </cell>
          <cell r="K20179">
            <v>9</v>
          </cell>
        </row>
        <row r="20180">
          <cell r="C20180" t="str">
            <v>王俊博</v>
          </cell>
          <cell r="F20180" t="str">
            <v>K240801R2</v>
          </cell>
          <cell r="J20180">
            <v>45875</v>
          </cell>
          <cell r="K20180">
            <v>8</v>
          </cell>
        </row>
        <row r="20181">
          <cell r="C20181" t="str">
            <v>王俊博</v>
          </cell>
          <cell r="F20181" t="str">
            <v>K240801R2</v>
          </cell>
          <cell r="J20181">
            <v>45876</v>
          </cell>
          <cell r="K20181">
            <v>4</v>
          </cell>
        </row>
        <row r="20182">
          <cell r="C20182" t="str">
            <v>王俊博</v>
          </cell>
          <cell r="F20182" t="str">
            <v>K240801R2</v>
          </cell>
          <cell r="J20182">
            <v>45877</v>
          </cell>
          <cell r="K20182">
            <v>8</v>
          </cell>
        </row>
        <row r="20183">
          <cell r="C20183" t="str">
            <v>王俊博</v>
          </cell>
          <cell r="F20183" t="str">
            <v>K240801R2</v>
          </cell>
          <cell r="J20183">
            <v>45880</v>
          </cell>
          <cell r="K20183">
            <v>9</v>
          </cell>
        </row>
        <row r="20184">
          <cell r="C20184" t="str">
            <v>王俊博</v>
          </cell>
          <cell r="F20184" t="str">
            <v>K240801R2</v>
          </cell>
          <cell r="J20184">
            <v>45881</v>
          </cell>
          <cell r="K20184">
            <v>11</v>
          </cell>
        </row>
        <row r="20185">
          <cell r="C20185" t="str">
            <v>王俊博</v>
          </cell>
          <cell r="F20185" t="str">
            <v>K240801R2</v>
          </cell>
          <cell r="J20185">
            <v>45882</v>
          </cell>
          <cell r="K20185">
            <v>8</v>
          </cell>
        </row>
        <row r="20186">
          <cell r="C20186" t="str">
            <v>王俊博</v>
          </cell>
          <cell r="F20186" t="str">
            <v>K240801R2</v>
          </cell>
          <cell r="J20186">
            <v>45883</v>
          </cell>
          <cell r="K20186">
            <v>11</v>
          </cell>
        </row>
        <row r="20187">
          <cell r="C20187" t="str">
            <v>王俊博</v>
          </cell>
          <cell r="F20187" t="str">
            <v>K240801R2</v>
          </cell>
          <cell r="J20187">
            <v>45884</v>
          </cell>
          <cell r="K20187">
            <v>9.5</v>
          </cell>
        </row>
        <row r="20188">
          <cell r="C20188" t="str">
            <v>王俊博</v>
          </cell>
          <cell r="F20188" t="str">
            <v>K240801R2</v>
          </cell>
          <cell r="J20188">
            <v>45887</v>
          </cell>
          <cell r="K20188">
            <v>9</v>
          </cell>
        </row>
        <row r="20189">
          <cell r="C20189" t="str">
            <v>王俊博</v>
          </cell>
          <cell r="F20189" t="str">
            <v>K240801R2</v>
          </cell>
          <cell r="J20189">
            <v>45888</v>
          </cell>
          <cell r="K20189">
            <v>5.5</v>
          </cell>
        </row>
        <row r="20190">
          <cell r="C20190" t="str">
            <v>王俊博</v>
          </cell>
          <cell r="F20190" t="str">
            <v>K240801R2</v>
          </cell>
          <cell r="J20190">
            <v>45889</v>
          </cell>
          <cell r="K20190">
            <v>9</v>
          </cell>
        </row>
        <row r="20191">
          <cell r="C20191" t="str">
            <v>王俊博</v>
          </cell>
          <cell r="F20191" t="str">
            <v>K240801R2</v>
          </cell>
          <cell r="J20191">
            <v>45890</v>
          </cell>
          <cell r="K20191">
            <v>7</v>
          </cell>
        </row>
        <row r="20192">
          <cell r="C20192" t="str">
            <v>王俊博</v>
          </cell>
          <cell r="F20192" t="str">
            <v>K240801R2</v>
          </cell>
          <cell r="J20192">
            <v>45891</v>
          </cell>
          <cell r="K20192">
            <v>9</v>
          </cell>
        </row>
        <row r="20193">
          <cell r="C20193" t="str">
            <v>王俊博</v>
          </cell>
          <cell r="F20193" t="str">
            <v>K240801R2</v>
          </cell>
          <cell r="J20193">
            <v>45894</v>
          </cell>
          <cell r="K20193">
            <v>9.5</v>
          </cell>
        </row>
        <row r="20194">
          <cell r="C20194" t="str">
            <v>王俊博</v>
          </cell>
          <cell r="F20194" t="str">
            <v>K240801R2</v>
          </cell>
          <cell r="J20194">
            <v>45895</v>
          </cell>
          <cell r="K20194">
            <v>8</v>
          </cell>
        </row>
        <row r="20195">
          <cell r="C20195" t="str">
            <v>王俊博</v>
          </cell>
          <cell r="F20195" t="str">
            <v>F200201S1</v>
          </cell>
          <cell r="J20195">
            <v>45896</v>
          </cell>
          <cell r="K20195">
            <v>9</v>
          </cell>
        </row>
        <row r="20196">
          <cell r="C20196" t="str">
            <v>王俊博</v>
          </cell>
          <cell r="F20196" t="str">
            <v>K240801R2</v>
          </cell>
          <cell r="J20196">
            <v>45897</v>
          </cell>
          <cell r="K20196">
            <v>9</v>
          </cell>
        </row>
        <row r="20197">
          <cell r="C20197" t="str">
            <v>王俊博</v>
          </cell>
          <cell r="F20197" t="str">
            <v>K240801R2</v>
          </cell>
          <cell r="J20197">
            <v>45898</v>
          </cell>
          <cell r="K20197">
            <v>8</v>
          </cell>
        </row>
        <row r="20198">
          <cell r="C20198" t="str">
            <v>王俊博</v>
          </cell>
          <cell r="F20198" t="str">
            <v>K240801R2</v>
          </cell>
          <cell r="J20198">
            <v>45901</v>
          </cell>
          <cell r="K20198">
            <v>9</v>
          </cell>
        </row>
        <row r="20199">
          <cell r="C20199" t="str">
            <v>王俊博</v>
          </cell>
          <cell r="F20199" t="str">
            <v>K240801R2</v>
          </cell>
          <cell r="J20199">
            <v>45902</v>
          </cell>
          <cell r="K20199">
            <v>9</v>
          </cell>
        </row>
        <row r="20200">
          <cell r="C20200" t="str">
            <v>王俊博</v>
          </cell>
          <cell r="F20200" t="str">
            <v>K240801R2</v>
          </cell>
          <cell r="J20200">
            <v>45903</v>
          </cell>
          <cell r="K20200">
            <v>9</v>
          </cell>
        </row>
        <row r="20201">
          <cell r="C20201" t="str">
            <v>王俊博</v>
          </cell>
          <cell r="J20201">
            <v>45904</v>
          </cell>
          <cell r="K20201">
            <v>2.5</v>
          </cell>
        </row>
        <row r="20202">
          <cell r="C20202" t="str">
            <v>王俊博</v>
          </cell>
          <cell r="F20202" t="str">
            <v>D250702R1</v>
          </cell>
          <cell r="J20202">
            <v>45904</v>
          </cell>
          <cell r="K20202">
            <v>1</v>
          </cell>
        </row>
        <row r="20203">
          <cell r="C20203" t="str">
            <v>王俊博</v>
          </cell>
          <cell r="F20203" t="str">
            <v>K240801R2</v>
          </cell>
          <cell r="J20203">
            <v>45904</v>
          </cell>
          <cell r="K20203">
            <v>6</v>
          </cell>
        </row>
        <row r="20204">
          <cell r="C20204" t="str">
            <v>王俊博</v>
          </cell>
          <cell r="F20204" t="str">
            <v>D250702R1</v>
          </cell>
          <cell r="J20204">
            <v>45904</v>
          </cell>
          <cell r="K20204">
            <v>1</v>
          </cell>
        </row>
        <row r="20205">
          <cell r="C20205" t="str">
            <v>王俊博</v>
          </cell>
          <cell r="F20205" t="str">
            <v>K240801R2</v>
          </cell>
          <cell r="J20205">
            <v>45905</v>
          </cell>
          <cell r="K20205">
            <v>8</v>
          </cell>
        </row>
        <row r="20206">
          <cell r="C20206" t="str">
            <v>王俊博</v>
          </cell>
          <cell r="F20206" t="str">
            <v>K240801R2</v>
          </cell>
          <cell r="J20206">
            <v>45908</v>
          </cell>
          <cell r="K20206">
            <v>9</v>
          </cell>
        </row>
        <row r="20207">
          <cell r="C20207" t="str">
            <v>王俊博</v>
          </cell>
          <cell r="F20207" t="str">
            <v>K240801R2</v>
          </cell>
          <cell r="J20207">
            <v>45909</v>
          </cell>
          <cell r="K20207">
            <v>8</v>
          </cell>
        </row>
        <row r="20208">
          <cell r="C20208" t="str">
            <v>王俊博</v>
          </cell>
          <cell r="F20208" t="str">
            <v>K240801R2</v>
          </cell>
          <cell r="J20208">
            <v>45910</v>
          </cell>
          <cell r="K20208">
            <v>7</v>
          </cell>
        </row>
        <row r="20209">
          <cell r="C20209" t="str">
            <v>王俊博</v>
          </cell>
          <cell r="J20209">
            <v>45910</v>
          </cell>
          <cell r="K20209">
            <v>1</v>
          </cell>
        </row>
        <row r="20210">
          <cell r="C20210" t="str">
            <v>王俊博</v>
          </cell>
          <cell r="F20210" t="str">
            <v>K240801R2</v>
          </cell>
          <cell r="J20210">
            <v>45911</v>
          </cell>
          <cell r="K20210">
            <v>9</v>
          </cell>
        </row>
        <row r="20211">
          <cell r="C20211" t="str">
            <v>王俊博</v>
          </cell>
          <cell r="F20211" t="str">
            <v>K240801R2</v>
          </cell>
          <cell r="J20211">
            <v>45912</v>
          </cell>
          <cell r="K20211">
            <v>8</v>
          </cell>
        </row>
        <row r="20212">
          <cell r="C20212" t="str">
            <v>王俊博</v>
          </cell>
          <cell r="J20212">
            <v>45915</v>
          </cell>
          <cell r="K20212">
            <v>1.5</v>
          </cell>
        </row>
        <row r="20213">
          <cell r="C20213" t="str">
            <v>王俊博</v>
          </cell>
          <cell r="F20213" t="str">
            <v>K240801R2</v>
          </cell>
          <cell r="J20213">
            <v>45915</v>
          </cell>
          <cell r="K20213">
            <v>7.5</v>
          </cell>
        </row>
        <row r="20214">
          <cell r="C20214" t="str">
            <v>王俊博</v>
          </cell>
          <cell r="F20214" t="str">
            <v>K240801R2</v>
          </cell>
          <cell r="J20214">
            <v>45916</v>
          </cell>
          <cell r="K20214">
            <v>9</v>
          </cell>
        </row>
        <row r="20215">
          <cell r="C20215" t="str">
            <v>王俊博</v>
          </cell>
          <cell r="F20215" t="str">
            <v>K240801R2</v>
          </cell>
          <cell r="J20215">
            <v>45917</v>
          </cell>
          <cell r="K20215">
            <v>4</v>
          </cell>
        </row>
        <row r="20216">
          <cell r="C20216" t="str">
            <v>王俊博</v>
          </cell>
          <cell r="F20216" t="str">
            <v>K240801R2</v>
          </cell>
          <cell r="J20216">
            <v>45918</v>
          </cell>
          <cell r="K20216">
            <v>9</v>
          </cell>
        </row>
        <row r="20217">
          <cell r="C20217" t="str">
            <v>王俊博</v>
          </cell>
          <cell r="F20217" t="str">
            <v>K240801R2</v>
          </cell>
          <cell r="J20217">
            <v>45919</v>
          </cell>
          <cell r="K20217">
            <v>8</v>
          </cell>
        </row>
        <row r="20218">
          <cell r="C20218" t="str">
            <v>王俊博</v>
          </cell>
          <cell r="F20218" t="str">
            <v>K240801R2</v>
          </cell>
          <cell r="J20218">
            <v>45922</v>
          </cell>
          <cell r="K20218">
            <v>10</v>
          </cell>
        </row>
        <row r="20219">
          <cell r="C20219" t="str">
            <v>王俊博</v>
          </cell>
          <cell r="F20219" t="str">
            <v>K240801R2</v>
          </cell>
          <cell r="J20219">
            <v>45923</v>
          </cell>
          <cell r="K20219">
            <v>9</v>
          </cell>
        </row>
        <row r="20220">
          <cell r="C20220" t="str">
            <v>王俊博</v>
          </cell>
          <cell r="F20220" t="str">
            <v>K240801R2</v>
          </cell>
          <cell r="J20220">
            <v>45924</v>
          </cell>
          <cell r="K20220">
            <v>9</v>
          </cell>
        </row>
        <row r="20221">
          <cell r="C20221" t="str">
            <v>王俊博</v>
          </cell>
          <cell r="F20221" t="str">
            <v>K240801R2</v>
          </cell>
          <cell r="J20221">
            <v>45925</v>
          </cell>
          <cell r="K20221">
            <v>8</v>
          </cell>
        </row>
        <row r="20222">
          <cell r="C20222" t="str">
            <v>王俊博</v>
          </cell>
          <cell r="F20222" t="str">
            <v>K240801R2</v>
          </cell>
          <cell r="J20222">
            <v>45930</v>
          </cell>
          <cell r="K20222">
            <v>9</v>
          </cell>
        </row>
        <row r="20223">
          <cell r="C20223" t="str">
            <v>王俊博</v>
          </cell>
          <cell r="F20223" t="str">
            <v>K240801R2</v>
          </cell>
          <cell r="J20223">
            <v>45931</v>
          </cell>
          <cell r="K20223">
            <v>8</v>
          </cell>
        </row>
        <row r="20224">
          <cell r="C20224" t="str">
            <v>王俊博</v>
          </cell>
          <cell r="F20224" t="str">
            <v>K240801R2</v>
          </cell>
          <cell r="J20224">
            <v>45933</v>
          </cell>
          <cell r="K20224">
            <v>8</v>
          </cell>
        </row>
        <row r="20225">
          <cell r="C20225" t="str">
            <v>王俊博</v>
          </cell>
          <cell r="F20225" t="str">
            <v>K240801R2</v>
          </cell>
          <cell r="J20225">
            <v>45937</v>
          </cell>
          <cell r="K20225">
            <v>9</v>
          </cell>
        </row>
        <row r="20226">
          <cell r="C20226" t="str">
            <v>王俊博</v>
          </cell>
          <cell r="J20226">
            <v>45938</v>
          </cell>
          <cell r="K20226">
            <v>2.5</v>
          </cell>
        </row>
        <row r="20227">
          <cell r="C20227" t="str">
            <v>王俊博</v>
          </cell>
          <cell r="F20227" t="str">
            <v>K240801R2</v>
          </cell>
          <cell r="J20227">
            <v>45938</v>
          </cell>
          <cell r="K20227">
            <v>5.5</v>
          </cell>
        </row>
        <row r="20228">
          <cell r="C20228" t="str">
            <v>王俊博</v>
          </cell>
          <cell r="F20228" t="str">
            <v>K240801R2</v>
          </cell>
          <cell r="J20228">
            <v>45939</v>
          </cell>
          <cell r="K20228">
            <v>8</v>
          </cell>
        </row>
        <row r="20229">
          <cell r="C20229" t="str">
            <v>王俊博</v>
          </cell>
          <cell r="J20229">
            <v>45943</v>
          </cell>
          <cell r="K20229">
            <v>1.5</v>
          </cell>
        </row>
        <row r="20230">
          <cell r="C20230" t="str">
            <v>王俊博</v>
          </cell>
          <cell r="F20230" t="str">
            <v>K240801R2</v>
          </cell>
          <cell r="J20230">
            <v>45943</v>
          </cell>
          <cell r="K20230">
            <v>8.5</v>
          </cell>
        </row>
        <row r="20231">
          <cell r="C20231" t="str">
            <v>王俊博</v>
          </cell>
          <cell r="F20231" t="str">
            <v>K240801R2</v>
          </cell>
          <cell r="J20231">
            <v>45944</v>
          </cell>
          <cell r="K20231">
            <v>9</v>
          </cell>
        </row>
        <row r="20232">
          <cell r="C20232" t="str">
            <v>王俊博</v>
          </cell>
          <cell r="F20232" t="str">
            <v>K240801R2</v>
          </cell>
          <cell r="J20232">
            <v>45945</v>
          </cell>
          <cell r="K20232">
            <v>9</v>
          </cell>
        </row>
        <row r="20233">
          <cell r="C20233" t="str">
            <v>王俊博</v>
          </cell>
          <cell r="F20233" t="str">
            <v>K240801R2</v>
          </cell>
          <cell r="J20233">
            <v>45946</v>
          </cell>
          <cell r="K20233">
            <v>9</v>
          </cell>
        </row>
        <row r="20234">
          <cell r="C20234" t="str">
            <v>王俊博</v>
          </cell>
          <cell r="F20234" t="str">
            <v>K240801R2</v>
          </cell>
          <cell r="J20234">
            <v>45947</v>
          </cell>
          <cell r="K20234">
            <v>8</v>
          </cell>
        </row>
        <row r="20235">
          <cell r="C20235" t="str">
            <v>王俊博</v>
          </cell>
          <cell r="F20235" t="str">
            <v>K240801R2</v>
          </cell>
          <cell r="J20235">
            <v>45950</v>
          </cell>
          <cell r="K20235">
            <v>6.5</v>
          </cell>
        </row>
        <row r="20236">
          <cell r="C20236" t="str">
            <v>王俊博</v>
          </cell>
          <cell r="J20236">
            <v>45950</v>
          </cell>
          <cell r="K20236">
            <v>1.5</v>
          </cell>
        </row>
        <row r="20237">
          <cell r="C20237" t="str">
            <v>王俊博</v>
          </cell>
          <cell r="J20237">
            <v>45951</v>
          </cell>
          <cell r="K20237">
            <v>4</v>
          </cell>
        </row>
        <row r="20238">
          <cell r="C20238" t="str">
            <v>王俊博</v>
          </cell>
          <cell r="F20238" t="str">
            <v>K240801R2</v>
          </cell>
          <cell r="J20238">
            <v>45951</v>
          </cell>
          <cell r="K20238">
            <v>5</v>
          </cell>
        </row>
        <row r="20239">
          <cell r="C20239" t="str">
            <v>王俊博</v>
          </cell>
          <cell r="F20239" t="str">
            <v>K240801R2</v>
          </cell>
          <cell r="J20239">
            <v>45952</v>
          </cell>
          <cell r="K20239">
            <v>2</v>
          </cell>
        </row>
        <row r="20240">
          <cell r="C20240" t="str">
            <v>王俊博</v>
          </cell>
          <cell r="J20240">
            <v>45952</v>
          </cell>
          <cell r="K20240">
            <v>7</v>
          </cell>
        </row>
        <row r="20241">
          <cell r="C20241" t="str">
            <v>王俊博</v>
          </cell>
          <cell r="J20241">
            <v>45953</v>
          </cell>
          <cell r="K20241">
            <v>7</v>
          </cell>
        </row>
        <row r="20242">
          <cell r="C20242" t="str">
            <v>王俊博</v>
          </cell>
          <cell r="F20242" t="str">
            <v>K240801R2</v>
          </cell>
          <cell r="J20242">
            <v>45953</v>
          </cell>
          <cell r="K20242">
            <v>1</v>
          </cell>
        </row>
        <row r="20243">
          <cell r="C20243" t="str">
            <v>王俊博</v>
          </cell>
          <cell r="F20243" t="str">
            <v>K240801R2</v>
          </cell>
          <cell r="J20243">
            <v>45957</v>
          </cell>
          <cell r="K20243">
            <v>3</v>
          </cell>
        </row>
        <row r="20244">
          <cell r="C20244" t="str">
            <v>王俊博</v>
          </cell>
          <cell r="J20244">
            <v>45957</v>
          </cell>
          <cell r="K20244">
            <v>4</v>
          </cell>
        </row>
        <row r="20245">
          <cell r="C20245" t="str">
            <v>王俊博</v>
          </cell>
          <cell r="J20245">
            <v>45957</v>
          </cell>
          <cell r="K20245">
            <v>1</v>
          </cell>
        </row>
        <row r="20246">
          <cell r="C20246" t="str">
            <v>王俊博</v>
          </cell>
          <cell r="F20246" t="str">
            <v>K240801R2</v>
          </cell>
          <cell r="J20246">
            <v>45958</v>
          </cell>
          <cell r="K20246">
            <v>8</v>
          </cell>
        </row>
        <row r="20247">
          <cell r="C20247" t="str">
            <v>王俊博</v>
          </cell>
          <cell r="F20247" t="str">
            <v>F200201S1</v>
          </cell>
          <cell r="J20247">
            <v>45959</v>
          </cell>
          <cell r="K20247">
            <v>8</v>
          </cell>
        </row>
        <row r="20248">
          <cell r="C20248" t="str">
            <v>王俊博</v>
          </cell>
          <cell r="F20248" t="str">
            <v>F200201S1</v>
          </cell>
          <cell r="J20248">
            <v>45960</v>
          </cell>
          <cell r="K20248">
            <v>8</v>
          </cell>
        </row>
        <row r="20249">
          <cell r="C20249" t="str">
            <v>王俊博</v>
          </cell>
          <cell r="F20249" t="str">
            <v>F200201S1</v>
          </cell>
          <cell r="J20249">
            <v>45961</v>
          </cell>
          <cell r="K20249">
            <v>8</v>
          </cell>
        </row>
        <row r="20250">
          <cell r="C20250" t="str">
            <v>王俊博</v>
          </cell>
          <cell r="F20250" t="str">
            <v>K240801R2</v>
          </cell>
          <cell r="J20250">
            <v>45964</v>
          </cell>
          <cell r="K20250">
            <v>4</v>
          </cell>
        </row>
        <row r="20251">
          <cell r="C20251" t="str">
            <v>王俊博</v>
          </cell>
          <cell r="F20251" t="str">
            <v>F200201S1</v>
          </cell>
          <cell r="J20251">
            <v>45964</v>
          </cell>
          <cell r="K20251">
            <v>2</v>
          </cell>
        </row>
        <row r="20252">
          <cell r="C20252" t="str">
            <v>王俊博</v>
          </cell>
          <cell r="F20252" t="str">
            <v>D250702R1</v>
          </cell>
          <cell r="J20252">
            <v>45964</v>
          </cell>
          <cell r="K20252">
            <v>3</v>
          </cell>
        </row>
        <row r="20253">
          <cell r="C20253" t="str">
            <v>王俊博</v>
          </cell>
          <cell r="F20253" t="str">
            <v>K240801R2</v>
          </cell>
          <cell r="J20253">
            <v>45965</v>
          </cell>
          <cell r="K20253">
            <v>9</v>
          </cell>
        </row>
        <row r="20254">
          <cell r="C20254" t="str">
            <v>王俊博</v>
          </cell>
          <cell r="F20254" t="str">
            <v>K240801R2</v>
          </cell>
          <cell r="J20254">
            <v>45966</v>
          </cell>
          <cell r="K20254">
            <v>9</v>
          </cell>
        </row>
        <row r="20255">
          <cell r="C20255" t="str">
            <v>王俊博</v>
          </cell>
          <cell r="F20255" t="str">
            <v>K240801R2</v>
          </cell>
          <cell r="J20255">
            <v>45967</v>
          </cell>
          <cell r="K20255">
            <v>9</v>
          </cell>
        </row>
        <row r="20256">
          <cell r="C20256" t="str">
            <v>王俊博</v>
          </cell>
          <cell r="F20256" t="str">
            <v>K240801R2</v>
          </cell>
          <cell r="J20256">
            <v>45968</v>
          </cell>
          <cell r="K20256">
            <v>8</v>
          </cell>
        </row>
        <row r="20257">
          <cell r="C20257" t="str">
            <v>王俊博</v>
          </cell>
          <cell r="J20257">
            <v>45971</v>
          </cell>
          <cell r="K20257">
            <v>2</v>
          </cell>
        </row>
        <row r="20258">
          <cell r="C20258" t="str">
            <v>王俊博</v>
          </cell>
          <cell r="F20258" t="str">
            <v>K240801R2</v>
          </cell>
          <cell r="J20258">
            <v>45971</v>
          </cell>
          <cell r="K20258">
            <v>6</v>
          </cell>
        </row>
        <row r="20259">
          <cell r="C20259" t="str">
            <v>王俊博</v>
          </cell>
          <cell r="F20259" t="str">
            <v>K240801R2</v>
          </cell>
          <cell r="J20259">
            <v>45972</v>
          </cell>
          <cell r="K20259">
            <v>9</v>
          </cell>
        </row>
        <row r="20260">
          <cell r="C20260" t="str">
            <v>王俊博</v>
          </cell>
          <cell r="F20260" t="str">
            <v>K240801R2</v>
          </cell>
          <cell r="J20260">
            <v>45973</v>
          </cell>
          <cell r="K20260">
            <v>9</v>
          </cell>
        </row>
        <row r="20261">
          <cell r="C20261" t="str">
            <v>王俊博</v>
          </cell>
          <cell r="F20261" t="str">
            <v>K240801R2</v>
          </cell>
          <cell r="J20261">
            <v>45974</v>
          </cell>
          <cell r="K20261">
            <v>9</v>
          </cell>
        </row>
        <row r="20262">
          <cell r="C20262" t="str">
            <v>王俊博</v>
          </cell>
          <cell r="F20262" t="str">
            <v>K240801R2</v>
          </cell>
          <cell r="J20262">
            <v>45975</v>
          </cell>
          <cell r="K20262">
            <v>8</v>
          </cell>
        </row>
        <row r="20263">
          <cell r="C20263" t="str">
            <v>王俊博</v>
          </cell>
          <cell r="F20263" t="str">
            <v>K240801R2</v>
          </cell>
          <cell r="J20263">
            <v>45978</v>
          </cell>
          <cell r="K20263">
            <v>9</v>
          </cell>
        </row>
        <row r="20264">
          <cell r="C20264" t="str">
            <v>王俊博</v>
          </cell>
          <cell r="F20264" t="str">
            <v>K240801R2</v>
          </cell>
          <cell r="J20264">
            <v>45979</v>
          </cell>
          <cell r="K20264">
            <v>9</v>
          </cell>
        </row>
        <row r="20265">
          <cell r="C20265" t="str">
            <v>王俊博</v>
          </cell>
          <cell r="F20265" t="str">
            <v>K240801R2</v>
          </cell>
          <cell r="J20265">
            <v>45980</v>
          </cell>
          <cell r="K20265">
            <v>9</v>
          </cell>
        </row>
        <row r="20266">
          <cell r="C20266" t="str">
            <v>王俊博</v>
          </cell>
          <cell r="F20266" t="str">
            <v>K240801R2</v>
          </cell>
          <cell r="J20266">
            <v>45981</v>
          </cell>
          <cell r="K20266">
            <v>9</v>
          </cell>
        </row>
        <row r="20267">
          <cell r="C20267" t="str">
            <v>王俊博</v>
          </cell>
          <cell r="F20267" t="str">
            <v>K240801R2</v>
          </cell>
          <cell r="J20267">
            <v>45982</v>
          </cell>
          <cell r="K20267">
            <v>8</v>
          </cell>
        </row>
        <row r="20268">
          <cell r="C20268" t="str">
            <v>王俊博</v>
          </cell>
          <cell r="F20268" t="str">
            <v>K240801R2</v>
          </cell>
          <cell r="J20268">
            <v>45985</v>
          </cell>
          <cell r="K20268">
            <v>8</v>
          </cell>
        </row>
        <row r="20269">
          <cell r="C20269" t="str">
            <v>王俊博</v>
          </cell>
          <cell r="F20269" t="str">
            <v>K240801R2</v>
          </cell>
          <cell r="J20269">
            <v>45986</v>
          </cell>
          <cell r="K20269">
            <v>9</v>
          </cell>
        </row>
        <row r="20270">
          <cell r="C20270" t="str">
            <v>王俊博</v>
          </cell>
          <cell r="F20270" t="str">
            <v>K240801R2</v>
          </cell>
          <cell r="J20270">
            <v>45987</v>
          </cell>
          <cell r="K20270">
            <v>9</v>
          </cell>
        </row>
        <row r="20271">
          <cell r="C20271" t="str">
            <v>王俊博</v>
          </cell>
          <cell r="F20271" t="str">
            <v>K240801R2</v>
          </cell>
          <cell r="J20271">
            <v>45992</v>
          </cell>
          <cell r="K20271">
            <v>8</v>
          </cell>
        </row>
        <row r="20272">
          <cell r="C20272" t="str">
            <v>王仁舜</v>
          </cell>
          <cell r="F20272" t="str">
            <v>M240801C1</v>
          </cell>
          <cell r="J20272">
            <v>45524</v>
          </cell>
          <cell r="K20272">
            <v>4</v>
          </cell>
        </row>
        <row r="20273">
          <cell r="C20273" t="str">
            <v>郑仁春</v>
          </cell>
          <cell r="F20273" t="str">
            <v>M240801C1</v>
          </cell>
          <cell r="J20273">
            <v>45520</v>
          </cell>
          <cell r="K20273">
            <v>3</v>
          </cell>
        </row>
        <row r="20274">
          <cell r="C20274" t="str">
            <v>郑仁春</v>
          </cell>
          <cell r="F20274" t="str">
            <v>M240801C1</v>
          </cell>
          <cell r="J20274">
            <v>45523</v>
          </cell>
          <cell r="K20274">
            <v>2</v>
          </cell>
        </row>
        <row r="20275">
          <cell r="C20275" t="str">
            <v>郑仁春</v>
          </cell>
          <cell r="F20275" t="str">
            <v>M240801C1</v>
          </cell>
          <cell r="J20275">
            <v>45523</v>
          </cell>
          <cell r="K20275">
            <v>0.5</v>
          </cell>
        </row>
        <row r="20276">
          <cell r="C20276" t="str">
            <v>郑仁春</v>
          </cell>
          <cell r="F20276" t="str">
            <v>M240801C1</v>
          </cell>
          <cell r="J20276">
            <v>45524</v>
          </cell>
          <cell r="K20276">
            <v>2</v>
          </cell>
        </row>
        <row r="20277">
          <cell r="C20277" t="str">
            <v>郑仁春</v>
          </cell>
          <cell r="F20277" t="str">
            <v>M240801C1</v>
          </cell>
          <cell r="J20277">
            <v>45524</v>
          </cell>
          <cell r="K20277">
            <v>2</v>
          </cell>
        </row>
        <row r="20278">
          <cell r="C20278" t="str">
            <v>郑仁春</v>
          </cell>
          <cell r="F20278" t="str">
            <v>M240801C1</v>
          </cell>
          <cell r="J20278">
            <v>45526</v>
          </cell>
          <cell r="K20278">
            <v>5</v>
          </cell>
        </row>
        <row r="20279">
          <cell r="C20279" t="str">
            <v>郑仁春</v>
          </cell>
          <cell r="F20279" t="str">
            <v>M240801C1</v>
          </cell>
          <cell r="J20279">
            <v>45527</v>
          </cell>
          <cell r="K20279">
            <v>2.5</v>
          </cell>
        </row>
        <row r="20280">
          <cell r="C20280" t="str">
            <v>郑仁春</v>
          </cell>
          <cell r="F20280" t="str">
            <v>M240801C1</v>
          </cell>
          <cell r="J20280">
            <v>45530</v>
          </cell>
          <cell r="K20280">
            <v>1.5</v>
          </cell>
        </row>
        <row r="20281">
          <cell r="C20281" t="str">
            <v>郑仁春</v>
          </cell>
          <cell r="F20281" t="str">
            <v>M240801C1</v>
          </cell>
          <cell r="J20281">
            <v>45531</v>
          </cell>
          <cell r="K20281">
            <v>2.5</v>
          </cell>
        </row>
        <row r="20282">
          <cell r="C20282" t="str">
            <v>郑仁春</v>
          </cell>
          <cell r="F20282" t="str">
            <v>M240801C1</v>
          </cell>
          <cell r="J20282">
            <v>45531</v>
          </cell>
          <cell r="K20282">
            <v>1.5</v>
          </cell>
        </row>
        <row r="20283">
          <cell r="C20283" t="str">
            <v>郑仁春</v>
          </cell>
          <cell r="F20283" t="str">
            <v>M240801C1</v>
          </cell>
          <cell r="J20283">
            <v>45532</v>
          </cell>
          <cell r="K20283">
            <v>2</v>
          </cell>
        </row>
        <row r="20284">
          <cell r="C20284" t="str">
            <v>郑仁春</v>
          </cell>
          <cell r="F20284" t="str">
            <v>M240801C1</v>
          </cell>
          <cell r="J20284">
            <v>45532</v>
          </cell>
          <cell r="K20284">
            <v>2.5</v>
          </cell>
        </row>
        <row r="20285">
          <cell r="C20285" t="str">
            <v>郑仁春</v>
          </cell>
          <cell r="F20285" t="str">
            <v>M240801C1</v>
          </cell>
          <cell r="J20285">
            <v>45532</v>
          </cell>
          <cell r="K20285">
            <v>3.5</v>
          </cell>
        </row>
        <row r="20286">
          <cell r="C20286" t="str">
            <v>郑仁春</v>
          </cell>
          <cell r="F20286" t="str">
            <v>M240801C1</v>
          </cell>
          <cell r="J20286">
            <v>45533</v>
          </cell>
          <cell r="K20286">
            <v>4.5</v>
          </cell>
        </row>
        <row r="20287">
          <cell r="C20287" t="str">
            <v>郑仁春</v>
          </cell>
          <cell r="F20287" t="str">
            <v>M240801C1</v>
          </cell>
          <cell r="J20287">
            <v>45533</v>
          </cell>
          <cell r="K20287">
            <v>3.5</v>
          </cell>
        </row>
        <row r="20288">
          <cell r="C20288" t="str">
            <v>郑仁春</v>
          </cell>
          <cell r="F20288" t="str">
            <v>M240801C1</v>
          </cell>
          <cell r="J20288">
            <v>45537</v>
          </cell>
          <cell r="K20288">
            <v>3</v>
          </cell>
        </row>
        <row r="20289">
          <cell r="C20289" t="str">
            <v>郑仁春</v>
          </cell>
          <cell r="F20289" t="str">
            <v>M240801C1</v>
          </cell>
          <cell r="J20289">
            <v>45539</v>
          </cell>
          <cell r="K20289">
            <v>3.5</v>
          </cell>
        </row>
        <row r="20290">
          <cell r="C20290" t="str">
            <v>郑仁春</v>
          </cell>
          <cell r="F20290" t="str">
            <v>M240801C1</v>
          </cell>
          <cell r="J20290">
            <v>45539</v>
          </cell>
          <cell r="K20290">
            <v>2</v>
          </cell>
        </row>
        <row r="20291">
          <cell r="C20291" t="str">
            <v>郑仁春</v>
          </cell>
          <cell r="F20291" t="str">
            <v>M240801C1</v>
          </cell>
          <cell r="J20291">
            <v>45554</v>
          </cell>
          <cell r="K20291">
            <v>1.5</v>
          </cell>
        </row>
        <row r="20292">
          <cell r="C20292" t="str">
            <v>郑仁春</v>
          </cell>
          <cell r="F20292" t="str">
            <v>M240801C1</v>
          </cell>
          <cell r="J20292">
            <v>45562</v>
          </cell>
          <cell r="K20292">
            <v>18</v>
          </cell>
        </row>
        <row r="20293">
          <cell r="C20293" t="str">
            <v>郑仁春</v>
          </cell>
          <cell r="F20293" t="str">
            <v>M240801C1</v>
          </cell>
          <cell r="J20293">
            <v>45573</v>
          </cell>
          <cell r="K20293">
            <v>3</v>
          </cell>
        </row>
        <row r="20294">
          <cell r="C20294" t="str">
            <v>郑仁春</v>
          </cell>
          <cell r="F20294" t="str">
            <v>M240801C1</v>
          </cell>
          <cell r="J20294">
            <v>45574</v>
          </cell>
          <cell r="K20294">
            <v>6</v>
          </cell>
        </row>
        <row r="20295">
          <cell r="C20295" t="str">
            <v>郑仁春</v>
          </cell>
          <cell r="F20295" t="str">
            <v>M240801C1</v>
          </cell>
          <cell r="J20295">
            <v>45593</v>
          </cell>
          <cell r="K20295">
            <v>3.5</v>
          </cell>
        </row>
        <row r="20296">
          <cell r="C20296" t="str">
            <v>郑仁春</v>
          </cell>
          <cell r="F20296" t="str">
            <v>M240801C1</v>
          </cell>
          <cell r="J20296">
            <v>45594</v>
          </cell>
          <cell r="K20296">
            <v>3</v>
          </cell>
        </row>
        <row r="20297">
          <cell r="C20297" t="str">
            <v>郑仁春</v>
          </cell>
          <cell r="F20297" t="str">
            <v>M240801C1</v>
          </cell>
          <cell r="J20297">
            <v>45595</v>
          </cell>
          <cell r="K20297">
            <v>1</v>
          </cell>
        </row>
        <row r="20298">
          <cell r="C20298" t="str">
            <v>郑仁春</v>
          </cell>
          <cell r="F20298" t="str">
            <v>M240801C1</v>
          </cell>
          <cell r="J20298">
            <v>45602</v>
          </cell>
          <cell r="K20298">
            <v>4</v>
          </cell>
        </row>
        <row r="20299">
          <cell r="C20299" t="str">
            <v>郑仁春</v>
          </cell>
          <cell r="F20299" t="str">
            <v>M240801C1</v>
          </cell>
          <cell r="J20299">
            <v>45604</v>
          </cell>
          <cell r="K20299">
            <v>6</v>
          </cell>
        </row>
        <row r="20300">
          <cell r="C20300" t="str">
            <v>郑仁春</v>
          </cell>
          <cell r="F20300" t="str">
            <v>M240801C1</v>
          </cell>
          <cell r="J20300">
            <v>45607</v>
          </cell>
          <cell r="K20300">
            <v>2</v>
          </cell>
        </row>
        <row r="20301">
          <cell r="C20301" t="str">
            <v>郑仁春</v>
          </cell>
          <cell r="F20301" t="str">
            <v>M240801C1</v>
          </cell>
          <cell r="J20301">
            <v>45609</v>
          </cell>
          <cell r="K20301">
            <v>5</v>
          </cell>
        </row>
        <row r="20302">
          <cell r="C20302" t="str">
            <v>郑仁春</v>
          </cell>
          <cell r="F20302" t="str">
            <v>M240801C1</v>
          </cell>
          <cell r="J20302">
            <v>45629</v>
          </cell>
          <cell r="K20302">
            <v>6</v>
          </cell>
        </row>
        <row r="20303">
          <cell r="C20303" t="str">
            <v>郑仁春</v>
          </cell>
          <cell r="F20303" t="str">
            <v>M240801C1</v>
          </cell>
          <cell r="J20303">
            <v>45630</v>
          </cell>
          <cell r="K20303">
            <v>4</v>
          </cell>
        </row>
        <row r="20304">
          <cell r="C20304" t="str">
            <v>郑仁春</v>
          </cell>
          <cell r="F20304" t="str">
            <v>M240801C1</v>
          </cell>
          <cell r="J20304">
            <v>45638</v>
          </cell>
          <cell r="K20304">
            <v>3</v>
          </cell>
        </row>
        <row r="20305">
          <cell r="C20305" t="str">
            <v>郑仁春</v>
          </cell>
          <cell r="F20305" t="str">
            <v>M240801C1</v>
          </cell>
          <cell r="J20305">
            <v>45650</v>
          </cell>
          <cell r="K20305">
            <v>3.5</v>
          </cell>
        </row>
        <row r="20306">
          <cell r="C20306" t="str">
            <v>郑仁春</v>
          </cell>
          <cell r="F20306" t="str">
            <v>M240801C1</v>
          </cell>
          <cell r="J20306">
            <v>45651</v>
          </cell>
          <cell r="K20306">
            <v>1.5</v>
          </cell>
        </row>
        <row r="20307">
          <cell r="C20307" t="str">
            <v>郑仁春</v>
          </cell>
          <cell r="F20307" t="str">
            <v>M240801C1</v>
          </cell>
          <cell r="J20307">
            <v>45660</v>
          </cell>
          <cell r="K20307">
            <v>1</v>
          </cell>
        </row>
        <row r="20308">
          <cell r="C20308" t="str">
            <v>郑仁春</v>
          </cell>
          <cell r="F20308" t="str">
            <v>M240801C1</v>
          </cell>
          <cell r="J20308">
            <v>45667</v>
          </cell>
          <cell r="K20308">
            <v>5</v>
          </cell>
        </row>
        <row r="20309">
          <cell r="C20309" t="str">
            <v>郑仁春</v>
          </cell>
          <cell r="F20309" t="str">
            <v>M240801C1</v>
          </cell>
          <cell r="J20309">
            <v>45702</v>
          </cell>
          <cell r="K20309">
            <v>2</v>
          </cell>
        </row>
        <row r="20310">
          <cell r="C20310" t="str">
            <v>郑仁春</v>
          </cell>
          <cell r="F20310" t="str">
            <v>M240801C1</v>
          </cell>
          <cell r="J20310">
            <v>45713</v>
          </cell>
          <cell r="K20310">
            <v>10</v>
          </cell>
        </row>
        <row r="20311">
          <cell r="C20311" t="str">
            <v>郑仁春</v>
          </cell>
          <cell r="F20311" t="str">
            <v>M240801C1</v>
          </cell>
          <cell r="J20311">
            <v>45714</v>
          </cell>
          <cell r="K20311">
            <v>10</v>
          </cell>
        </row>
        <row r="20312">
          <cell r="C20312" t="str">
            <v>郑仁春</v>
          </cell>
          <cell r="F20312" t="str">
            <v>M240801C1</v>
          </cell>
          <cell r="J20312">
            <v>45715</v>
          </cell>
          <cell r="K20312">
            <v>5</v>
          </cell>
        </row>
        <row r="20313">
          <cell r="C20313" t="str">
            <v>郑仁春</v>
          </cell>
          <cell r="F20313" t="str">
            <v>M240801C1</v>
          </cell>
          <cell r="J20313">
            <v>45742</v>
          </cell>
          <cell r="K20313">
            <v>16</v>
          </cell>
        </row>
        <row r="20314">
          <cell r="C20314" t="str">
            <v>郑仁春</v>
          </cell>
          <cell r="F20314" t="str">
            <v>M240801C1</v>
          </cell>
          <cell r="J20314">
            <v>45744</v>
          </cell>
          <cell r="K20314">
            <v>4</v>
          </cell>
        </row>
        <row r="20315">
          <cell r="C20315" t="str">
            <v>汪佳凯</v>
          </cell>
          <cell r="F20315" t="str">
            <v>M240803R1</v>
          </cell>
          <cell r="J20315">
            <v>45519</v>
          </cell>
          <cell r="K20315">
            <v>1</v>
          </cell>
        </row>
        <row r="20316">
          <cell r="C20316" t="str">
            <v>汪佳凯</v>
          </cell>
          <cell r="F20316" t="str">
            <v>M240803R1</v>
          </cell>
          <cell r="J20316">
            <v>45520</v>
          </cell>
          <cell r="K20316">
            <v>1</v>
          </cell>
        </row>
        <row r="20317">
          <cell r="C20317" t="str">
            <v>汪佳凯</v>
          </cell>
          <cell r="F20317" t="str">
            <v>M240803R1</v>
          </cell>
          <cell r="J20317">
            <v>45520</v>
          </cell>
          <cell r="K20317">
            <v>1</v>
          </cell>
        </row>
        <row r="20318">
          <cell r="C20318" t="str">
            <v>汪佳凯</v>
          </cell>
          <cell r="F20318" t="str">
            <v>M240803R1</v>
          </cell>
          <cell r="J20318">
            <v>45520</v>
          </cell>
          <cell r="K20318">
            <v>1</v>
          </cell>
        </row>
        <row r="20319">
          <cell r="C20319" t="str">
            <v>汪佳凯</v>
          </cell>
          <cell r="F20319" t="str">
            <v>M240803R1</v>
          </cell>
          <cell r="J20319">
            <v>45523</v>
          </cell>
          <cell r="K20319">
            <v>1</v>
          </cell>
        </row>
        <row r="20320">
          <cell r="C20320" t="str">
            <v>汪佳凯</v>
          </cell>
          <cell r="F20320" t="str">
            <v>M240803R1</v>
          </cell>
          <cell r="J20320">
            <v>45523</v>
          </cell>
          <cell r="K20320">
            <v>1</v>
          </cell>
        </row>
        <row r="20321">
          <cell r="C20321" t="str">
            <v>汪佳凯</v>
          </cell>
          <cell r="F20321" t="str">
            <v>M240803R1</v>
          </cell>
          <cell r="J20321">
            <v>45524</v>
          </cell>
          <cell r="K20321">
            <v>2</v>
          </cell>
        </row>
        <row r="20322">
          <cell r="C20322" t="str">
            <v>汪佳凯</v>
          </cell>
          <cell r="F20322" t="str">
            <v>M240803R1</v>
          </cell>
          <cell r="J20322">
            <v>45524</v>
          </cell>
          <cell r="K20322">
            <v>2</v>
          </cell>
        </row>
        <row r="20323">
          <cell r="C20323" t="str">
            <v>汪佳凯</v>
          </cell>
          <cell r="F20323" t="str">
            <v>M240803R1</v>
          </cell>
          <cell r="J20323">
            <v>45525</v>
          </cell>
          <cell r="K20323">
            <v>1</v>
          </cell>
        </row>
        <row r="20324">
          <cell r="C20324" t="str">
            <v>汪佳凯</v>
          </cell>
          <cell r="F20324" t="str">
            <v>M240803R1</v>
          </cell>
          <cell r="J20324">
            <v>45525</v>
          </cell>
          <cell r="K20324">
            <v>2</v>
          </cell>
        </row>
        <row r="20325">
          <cell r="C20325" t="str">
            <v>汪佳凯</v>
          </cell>
          <cell r="F20325" t="str">
            <v>M240803R1</v>
          </cell>
          <cell r="J20325">
            <v>45525</v>
          </cell>
          <cell r="K20325">
            <v>1</v>
          </cell>
        </row>
        <row r="20326">
          <cell r="C20326" t="str">
            <v>汪佳凯</v>
          </cell>
          <cell r="F20326" t="str">
            <v>M240803R1</v>
          </cell>
          <cell r="J20326">
            <v>45525</v>
          </cell>
          <cell r="K20326">
            <v>2</v>
          </cell>
        </row>
        <row r="20327">
          <cell r="C20327" t="str">
            <v>汪佳凯</v>
          </cell>
          <cell r="F20327" t="str">
            <v>M240803R1</v>
          </cell>
          <cell r="J20327">
            <v>45526</v>
          </cell>
          <cell r="K20327">
            <v>2</v>
          </cell>
        </row>
        <row r="20328">
          <cell r="C20328" t="str">
            <v>汪佳凯</v>
          </cell>
          <cell r="F20328" t="str">
            <v>M240803R1</v>
          </cell>
          <cell r="J20328">
            <v>45527</v>
          </cell>
          <cell r="K20328">
            <v>2</v>
          </cell>
        </row>
        <row r="20329">
          <cell r="C20329" t="str">
            <v>汪佳凯</v>
          </cell>
          <cell r="F20329" t="str">
            <v>M240803R1</v>
          </cell>
          <cell r="J20329">
            <v>45530</v>
          </cell>
          <cell r="K20329">
            <v>2</v>
          </cell>
        </row>
        <row r="20330">
          <cell r="C20330" t="str">
            <v>汪佳凯</v>
          </cell>
          <cell r="F20330" t="str">
            <v>M240803R1</v>
          </cell>
          <cell r="J20330">
            <v>45532</v>
          </cell>
          <cell r="K20330">
            <v>2</v>
          </cell>
        </row>
        <row r="20331">
          <cell r="C20331" t="str">
            <v>汪佳凯</v>
          </cell>
          <cell r="F20331" t="str">
            <v>M240803R1</v>
          </cell>
          <cell r="J20331">
            <v>45534</v>
          </cell>
          <cell r="K20331">
            <v>2</v>
          </cell>
        </row>
        <row r="20332">
          <cell r="C20332" t="str">
            <v>汪佳凯</v>
          </cell>
          <cell r="F20332" t="str">
            <v>M240803R1</v>
          </cell>
          <cell r="J20332">
            <v>45537</v>
          </cell>
          <cell r="K20332">
            <v>2</v>
          </cell>
        </row>
        <row r="20333">
          <cell r="C20333" t="str">
            <v>汪佳凯</v>
          </cell>
          <cell r="F20333" t="str">
            <v>M240803R1</v>
          </cell>
          <cell r="J20333">
            <v>45539</v>
          </cell>
          <cell r="K20333">
            <v>2</v>
          </cell>
        </row>
        <row r="20334">
          <cell r="C20334" t="str">
            <v>汪佳凯</v>
          </cell>
          <cell r="F20334" t="str">
            <v>M240803R1</v>
          </cell>
          <cell r="J20334">
            <v>45540</v>
          </cell>
          <cell r="K20334">
            <v>2</v>
          </cell>
        </row>
        <row r="20335">
          <cell r="C20335" t="str">
            <v>汪佳凯</v>
          </cell>
          <cell r="F20335" t="str">
            <v>M240803R1</v>
          </cell>
          <cell r="J20335">
            <v>45545</v>
          </cell>
          <cell r="K20335">
            <v>2</v>
          </cell>
        </row>
        <row r="20336">
          <cell r="C20336" t="str">
            <v>汪佳凯</v>
          </cell>
          <cell r="F20336" t="str">
            <v>M240803R1</v>
          </cell>
          <cell r="J20336">
            <v>45547</v>
          </cell>
          <cell r="K20336">
            <v>2</v>
          </cell>
        </row>
        <row r="20337">
          <cell r="C20337" t="str">
            <v>汪佳凯</v>
          </cell>
          <cell r="F20337" t="str">
            <v>M240803R1</v>
          </cell>
          <cell r="J20337">
            <v>45553</v>
          </cell>
          <cell r="K20337">
            <v>1</v>
          </cell>
        </row>
        <row r="20338">
          <cell r="C20338" t="str">
            <v>汪佳凯</v>
          </cell>
          <cell r="F20338" t="str">
            <v>M240803R1</v>
          </cell>
          <cell r="J20338">
            <v>45554</v>
          </cell>
          <cell r="K20338">
            <v>1</v>
          </cell>
        </row>
        <row r="20339">
          <cell r="C20339" t="str">
            <v>汪佳凯</v>
          </cell>
          <cell r="F20339" t="str">
            <v>M240803R1</v>
          </cell>
          <cell r="J20339">
            <v>45558</v>
          </cell>
          <cell r="K20339">
            <v>2</v>
          </cell>
        </row>
        <row r="20340">
          <cell r="C20340" t="str">
            <v>汪佳凯</v>
          </cell>
          <cell r="F20340" t="str">
            <v>M240803R1</v>
          </cell>
          <cell r="J20340">
            <v>45559</v>
          </cell>
          <cell r="K20340">
            <v>1</v>
          </cell>
        </row>
        <row r="20341">
          <cell r="C20341" t="str">
            <v>汪佳凯</v>
          </cell>
          <cell r="F20341" t="str">
            <v>M240803R1</v>
          </cell>
          <cell r="J20341">
            <v>45560</v>
          </cell>
          <cell r="K20341">
            <v>1</v>
          </cell>
        </row>
        <row r="20342">
          <cell r="C20342" t="str">
            <v>汪佳凯</v>
          </cell>
          <cell r="F20342" t="str">
            <v>M240803R1</v>
          </cell>
          <cell r="J20342">
            <v>45561</v>
          </cell>
          <cell r="K20342">
            <v>1</v>
          </cell>
        </row>
        <row r="20343">
          <cell r="C20343" t="str">
            <v>汪佳凯</v>
          </cell>
          <cell r="F20343" t="str">
            <v>M240803R1</v>
          </cell>
          <cell r="J20343">
            <v>45562</v>
          </cell>
          <cell r="K20343">
            <v>1</v>
          </cell>
        </row>
        <row r="20344">
          <cell r="C20344" t="str">
            <v>汪佳凯</v>
          </cell>
          <cell r="F20344" t="str">
            <v>M240803R1</v>
          </cell>
          <cell r="J20344">
            <v>45565</v>
          </cell>
          <cell r="K20344">
            <v>2</v>
          </cell>
        </row>
        <row r="20345">
          <cell r="C20345" t="str">
            <v>汪佳凯</v>
          </cell>
          <cell r="F20345" t="str">
            <v>M240803R1</v>
          </cell>
          <cell r="J20345">
            <v>45573</v>
          </cell>
          <cell r="K20345">
            <v>1</v>
          </cell>
        </row>
        <row r="20346">
          <cell r="C20346" t="str">
            <v>汪佳凯</v>
          </cell>
          <cell r="F20346" t="str">
            <v>M240803R1</v>
          </cell>
          <cell r="J20346">
            <v>45575</v>
          </cell>
          <cell r="K20346">
            <v>1</v>
          </cell>
        </row>
        <row r="20347">
          <cell r="C20347" t="str">
            <v>汪佳凯</v>
          </cell>
          <cell r="F20347" t="str">
            <v>M240803R1</v>
          </cell>
          <cell r="J20347">
            <v>45577</v>
          </cell>
          <cell r="K20347">
            <v>1</v>
          </cell>
        </row>
        <row r="20348">
          <cell r="C20348" t="str">
            <v>汪佳凯</v>
          </cell>
          <cell r="F20348" t="str">
            <v>M240803R1</v>
          </cell>
          <cell r="J20348">
            <v>45580</v>
          </cell>
          <cell r="K20348">
            <v>1</v>
          </cell>
        </row>
        <row r="20349">
          <cell r="C20349" t="str">
            <v>汪佳凯</v>
          </cell>
          <cell r="F20349" t="str">
            <v>M240803R1</v>
          </cell>
          <cell r="J20349">
            <v>45582</v>
          </cell>
          <cell r="K20349">
            <v>1</v>
          </cell>
        </row>
        <row r="20350">
          <cell r="C20350" t="str">
            <v>汪佳凯</v>
          </cell>
          <cell r="F20350" t="str">
            <v>M240803R1</v>
          </cell>
          <cell r="J20350">
            <v>45587</v>
          </cell>
          <cell r="K20350">
            <v>4</v>
          </cell>
        </row>
        <row r="20351">
          <cell r="C20351" t="str">
            <v>汪佳凯</v>
          </cell>
          <cell r="F20351" t="str">
            <v>M240803R1</v>
          </cell>
          <cell r="J20351">
            <v>45588</v>
          </cell>
          <cell r="K20351">
            <v>4</v>
          </cell>
        </row>
        <row r="20352">
          <cell r="C20352" t="str">
            <v>汪佳凯</v>
          </cell>
          <cell r="F20352" t="str">
            <v>M240803R1</v>
          </cell>
          <cell r="J20352">
            <v>45589</v>
          </cell>
          <cell r="K20352">
            <v>4</v>
          </cell>
        </row>
        <row r="20353">
          <cell r="C20353" t="str">
            <v>汪佳凯</v>
          </cell>
          <cell r="F20353" t="str">
            <v>M240803R1</v>
          </cell>
          <cell r="J20353">
            <v>45589</v>
          </cell>
          <cell r="K20353">
            <v>2</v>
          </cell>
        </row>
        <row r="20354">
          <cell r="C20354" t="str">
            <v>汪佳凯</v>
          </cell>
          <cell r="F20354" t="str">
            <v>M240803R1</v>
          </cell>
          <cell r="J20354">
            <v>45590</v>
          </cell>
          <cell r="K20354">
            <v>4</v>
          </cell>
        </row>
        <row r="20355">
          <cell r="C20355" t="str">
            <v>汪佳凯</v>
          </cell>
          <cell r="F20355" t="str">
            <v>M240803R1</v>
          </cell>
          <cell r="J20355">
            <v>45593</v>
          </cell>
          <cell r="K20355">
            <v>2</v>
          </cell>
        </row>
        <row r="20356">
          <cell r="C20356" t="str">
            <v>汪佳凯</v>
          </cell>
          <cell r="F20356" t="str">
            <v>M240803R1</v>
          </cell>
          <cell r="J20356">
            <v>45594</v>
          </cell>
          <cell r="K20356">
            <v>2</v>
          </cell>
        </row>
        <row r="20357">
          <cell r="C20357" t="str">
            <v>汪佳凯</v>
          </cell>
          <cell r="F20357" t="str">
            <v>M240803R1</v>
          </cell>
          <cell r="J20357">
            <v>45595</v>
          </cell>
          <cell r="K20357">
            <v>3</v>
          </cell>
        </row>
        <row r="20358">
          <cell r="C20358" t="str">
            <v>汪佳凯</v>
          </cell>
          <cell r="F20358" t="str">
            <v>M240803R1</v>
          </cell>
          <cell r="J20358">
            <v>45596</v>
          </cell>
          <cell r="K20358">
            <v>2</v>
          </cell>
        </row>
        <row r="20359">
          <cell r="C20359" t="str">
            <v>汪佳凯</v>
          </cell>
          <cell r="F20359" t="str">
            <v>M240803R1</v>
          </cell>
          <cell r="J20359">
            <v>45596</v>
          </cell>
          <cell r="K20359">
            <v>1</v>
          </cell>
        </row>
        <row r="20360">
          <cell r="C20360" t="str">
            <v>汪佳凯</v>
          </cell>
          <cell r="F20360" t="str">
            <v>M240803R1</v>
          </cell>
          <cell r="J20360">
            <v>45597</v>
          </cell>
          <cell r="K20360">
            <v>1</v>
          </cell>
        </row>
        <row r="20361">
          <cell r="C20361" t="str">
            <v>汪佳凯</v>
          </cell>
          <cell r="F20361" t="str">
            <v>M240803R1</v>
          </cell>
          <cell r="J20361">
            <v>45597</v>
          </cell>
          <cell r="K20361">
            <v>1</v>
          </cell>
        </row>
        <row r="20362">
          <cell r="C20362" t="str">
            <v>汪佳凯</v>
          </cell>
          <cell r="F20362" t="str">
            <v>M240803R1</v>
          </cell>
          <cell r="J20362">
            <v>45601</v>
          </cell>
          <cell r="K20362">
            <v>2</v>
          </cell>
        </row>
        <row r="20363">
          <cell r="C20363" t="str">
            <v>汪佳凯</v>
          </cell>
          <cell r="F20363" t="str">
            <v>M240803R1</v>
          </cell>
          <cell r="J20363">
            <v>45602</v>
          </cell>
          <cell r="K20363">
            <v>2</v>
          </cell>
        </row>
        <row r="20364">
          <cell r="C20364" t="str">
            <v>汪佳凯</v>
          </cell>
          <cell r="F20364" t="str">
            <v>M240803R1</v>
          </cell>
          <cell r="J20364">
            <v>45603</v>
          </cell>
          <cell r="K20364">
            <v>2</v>
          </cell>
        </row>
        <row r="20365">
          <cell r="C20365" t="str">
            <v>汪佳凯</v>
          </cell>
          <cell r="F20365" t="str">
            <v>M240803R1</v>
          </cell>
          <cell r="J20365">
            <v>45604</v>
          </cell>
          <cell r="K20365">
            <v>2</v>
          </cell>
        </row>
        <row r="20366">
          <cell r="C20366" t="str">
            <v>汪佳凯</v>
          </cell>
          <cell r="F20366" t="str">
            <v>M240803R1</v>
          </cell>
          <cell r="J20366">
            <v>45608</v>
          </cell>
          <cell r="K20366">
            <v>2</v>
          </cell>
        </row>
        <row r="20367">
          <cell r="C20367" t="str">
            <v>汪佳凯</v>
          </cell>
          <cell r="F20367" t="str">
            <v>M240803R1</v>
          </cell>
          <cell r="J20367">
            <v>45610</v>
          </cell>
          <cell r="K20367">
            <v>2</v>
          </cell>
        </row>
        <row r="20368">
          <cell r="C20368" t="str">
            <v>汪佳凯</v>
          </cell>
          <cell r="F20368" t="str">
            <v>M240803R1</v>
          </cell>
          <cell r="J20368">
            <v>45610</v>
          </cell>
          <cell r="K20368">
            <v>2</v>
          </cell>
        </row>
        <row r="20369">
          <cell r="C20369" t="str">
            <v>汪佳凯</v>
          </cell>
          <cell r="F20369" t="str">
            <v>M240803R1</v>
          </cell>
          <cell r="J20369">
            <v>45616</v>
          </cell>
          <cell r="K20369">
            <v>1.5</v>
          </cell>
        </row>
        <row r="20370">
          <cell r="C20370" t="str">
            <v>汪佳凯</v>
          </cell>
          <cell r="F20370" t="str">
            <v>M240803R1</v>
          </cell>
          <cell r="J20370">
            <v>45621</v>
          </cell>
          <cell r="K20370">
            <v>2</v>
          </cell>
        </row>
        <row r="20371">
          <cell r="C20371" t="str">
            <v>汪佳凯</v>
          </cell>
          <cell r="F20371" t="str">
            <v>M240803R1</v>
          </cell>
          <cell r="J20371">
            <v>45621</v>
          </cell>
          <cell r="K20371">
            <v>1</v>
          </cell>
        </row>
        <row r="20372">
          <cell r="C20372" t="str">
            <v>汪佳凯</v>
          </cell>
          <cell r="F20372" t="str">
            <v>M240803R1</v>
          </cell>
          <cell r="J20372">
            <v>45622</v>
          </cell>
          <cell r="K20372">
            <v>2</v>
          </cell>
        </row>
        <row r="20373">
          <cell r="C20373" t="str">
            <v>汪佳凯</v>
          </cell>
          <cell r="F20373" t="str">
            <v>M240803R1</v>
          </cell>
          <cell r="J20373">
            <v>45622</v>
          </cell>
          <cell r="K20373">
            <v>2</v>
          </cell>
        </row>
        <row r="20374">
          <cell r="C20374" t="str">
            <v>汪佳凯</v>
          </cell>
          <cell r="F20374" t="str">
            <v>M240803R1</v>
          </cell>
          <cell r="J20374">
            <v>45622</v>
          </cell>
          <cell r="K20374">
            <v>2</v>
          </cell>
        </row>
        <row r="20375">
          <cell r="C20375" t="str">
            <v>汪佳凯</v>
          </cell>
          <cell r="F20375" t="str">
            <v>M240803R1</v>
          </cell>
          <cell r="J20375">
            <v>45623</v>
          </cell>
          <cell r="K20375">
            <v>1</v>
          </cell>
        </row>
        <row r="20376">
          <cell r="C20376" t="str">
            <v>汪佳凯</v>
          </cell>
          <cell r="F20376" t="str">
            <v>M240803R1</v>
          </cell>
          <cell r="J20376">
            <v>45623</v>
          </cell>
          <cell r="K20376">
            <v>1</v>
          </cell>
        </row>
        <row r="20377">
          <cell r="C20377" t="str">
            <v>汪佳凯</v>
          </cell>
          <cell r="F20377" t="str">
            <v>M240803R1</v>
          </cell>
          <cell r="J20377">
            <v>45624</v>
          </cell>
          <cell r="K20377">
            <v>1</v>
          </cell>
        </row>
        <row r="20378">
          <cell r="C20378" t="str">
            <v>汪佳凯</v>
          </cell>
          <cell r="F20378" t="str">
            <v>M240803R1</v>
          </cell>
          <cell r="J20378">
            <v>45624</v>
          </cell>
          <cell r="K20378">
            <v>1</v>
          </cell>
        </row>
        <row r="20379">
          <cell r="C20379" t="str">
            <v>汪佳凯</v>
          </cell>
          <cell r="F20379" t="str">
            <v>M240803R1</v>
          </cell>
          <cell r="J20379">
            <v>45624</v>
          </cell>
          <cell r="K20379">
            <v>2</v>
          </cell>
        </row>
        <row r="20380">
          <cell r="C20380" t="str">
            <v>汪佳凯</v>
          </cell>
          <cell r="F20380" t="str">
            <v>M240803R1</v>
          </cell>
          <cell r="J20380">
            <v>45624</v>
          </cell>
          <cell r="K20380">
            <v>1</v>
          </cell>
        </row>
        <row r="20381">
          <cell r="C20381" t="str">
            <v>汪佳凯</v>
          </cell>
          <cell r="F20381" t="str">
            <v>M240803R1</v>
          </cell>
          <cell r="J20381">
            <v>45628</v>
          </cell>
          <cell r="K20381">
            <v>2</v>
          </cell>
        </row>
        <row r="20382">
          <cell r="C20382" t="str">
            <v>汪佳凯</v>
          </cell>
          <cell r="F20382" t="str">
            <v>M240803R1</v>
          </cell>
          <cell r="J20382">
            <v>45628</v>
          </cell>
          <cell r="K20382">
            <v>1</v>
          </cell>
        </row>
        <row r="20383">
          <cell r="C20383" t="str">
            <v>汪佳凯</v>
          </cell>
          <cell r="F20383" t="str">
            <v>M240803R1</v>
          </cell>
          <cell r="J20383">
            <v>45629</v>
          </cell>
          <cell r="K20383">
            <v>1</v>
          </cell>
        </row>
        <row r="20384">
          <cell r="C20384" t="str">
            <v>汪佳凯</v>
          </cell>
          <cell r="F20384" t="str">
            <v>M240803R1</v>
          </cell>
          <cell r="J20384">
            <v>45629</v>
          </cell>
          <cell r="K20384">
            <v>2</v>
          </cell>
        </row>
        <row r="20385">
          <cell r="C20385" t="str">
            <v>汪佳凯</v>
          </cell>
          <cell r="F20385" t="str">
            <v>M240803R1</v>
          </cell>
          <cell r="J20385">
            <v>45629</v>
          </cell>
          <cell r="K20385">
            <v>1</v>
          </cell>
        </row>
        <row r="20386">
          <cell r="C20386" t="str">
            <v>汪佳凯</v>
          </cell>
          <cell r="F20386" t="str">
            <v>M240803R1</v>
          </cell>
          <cell r="J20386">
            <v>45629</v>
          </cell>
          <cell r="K20386">
            <v>2</v>
          </cell>
        </row>
        <row r="20387">
          <cell r="C20387" t="str">
            <v>汪佳凯</v>
          </cell>
          <cell r="F20387" t="str">
            <v>M240803R1</v>
          </cell>
          <cell r="J20387">
            <v>45629</v>
          </cell>
          <cell r="K20387">
            <v>1</v>
          </cell>
        </row>
        <row r="20388">
          <cell r="C20388" t="str">
            <v>汪佳凯</v>
          </cell>
          <cell r="F20388" t="str">
            <v>M240803R1</v>
          </cell>
          <cell r="J20388">
            <v>45630</v>
          </cell>
          <cell r="K20388">
            <v>2</v>
          </cell>
        </row>
        <row r="20389">
          <cell r="C20389" t="str">
            <v>汪佳凯</v>
          </cell>
          <cell r="F20389" t="str">
            <v>M240803R1</v>
          </cell>
          <cell r="J20389">
            <v>45631</v>
          </cell>
          <cell r="K20389">
            <v>1</v>
          </cell>
        </row>
        <row r="20390">
          <cell r="C20390" t="str">
            <v>汪佳凯</v>
          </cell>
          <cell r="F20390" t="str">
            <v>M240803R1</v>
          </cell>
          <cell r="J20390">
            <v>45631</v>
          </cell>
          <cell r="K20390">
            <v>2</v>
          </cell>
        </row>
        <row r="20391">
          <cell r="C20391" t="str">
            <v>汪佳凯</v>
          </cell>
          <cell r="F20391" t="str">
            <v>M240803R1</v>
          </cell>
          <cell r="J20391">
            <v>45631</v>
          </cell>
          <cell r="K20391">
            <v>2</v>
          </cell>
        </row>
        <row r="20392">
          <cell r="C20392" t="str">
            <v>汪佳凯</v>
          </cell>
          <cell r="F20392" t="str">
            <v>M240803R1</v>
          </cell>
          <cell r="J20392">
            <v>45635</v>
          </cell>
          <cell r="K20392">
            <v>1</v>
          </cell>
        </row>
        <row r="20393">
          <cell r="C20393" t="str">
            <v>汪佳凯</v>
          </cell>
          <cell r="F20393" t="str">
            <v>M240803R1</v>
          </cell>
          <cell r="J20393">
            <v>45635</v>
          </cell>
          <cell r="K20393">
            <v>1</v>
          </cell>
        </row>
        <row r="20394">
          <cell r="C20394" t="str">
            <v>汪佳凯</v>
          </cell>
          <cell r="F20394" t="str">
            <v>M240803R1</v>
          </cell>
          <cell r="J20394">
            <v>45636</v>
          </cell>
          <cell r="K20394">
            <v>2</v>
          </cell>
        </row>
        <row r="20395">
          <cell r="C20395" t="str">
            <v>汪佳凯</v>
          </cell>
          <cell r="F20395" t="str">
            <v>M240803R1</v>
          </cell>
          <cell r="J20395">
            <v>45637</v>
          </cell>
          <cell r="K20395">
            <v>1</v>
          </cell>
        </row>
        <row r="20396">
          <cell r="C20396" t="str">
            <v>汪佳凯</v>
          </cell>
          <cell r="F20396" t="str">
            <v>M240803R1</v>
          </cell>
          <cell r="J20396">
            <v>45637</v>
          </cell>
          <cell r="K20396">
            <v>1</v>
          </cell>
        </row>
        <row r="20397">
          <cell r="C20397" t="str">
            <v>汪佳凯</v>
          </cell>
          <cell r="F20397" t="str">
            <v>M240803R1</v>
          </cell>
          <cell r="J20397">
            <v>45638</v>
          </cell>
          <cell r="K20397">
            <v>2</v>
          </cell>
        </row>
        <row r="20398">
          <cell r="C20398" t="str">
            <v>汪佳凯</v>
          </cell>
          <cell r="F20398" t="str">
            <v>M240803R1</v>
          </cell>
          <cell r="J20398">
            <v>45643</v>
          </cell>
          <cell r="K20398">
            <v>2</v>
          </cell>
        </row>
        <row r="20399">
          <cell r="C20399" t="str">
            <v>汪佳凯</v>
          </cell>
          <cell r="F20399" t="str">
            <v>M240803R1</v>
          </cell>
          <cell r="J20399">
            <v>45643</v>
          </cell>
          <cell r="K20399">
            <v>1</v>
          </cell>
        </row>
        <row r="20400">
          <cell r="C20400" t="str">
            <v>汪佳凯</v>
          </cell>
          <cell r="F20400" t="str">
            <v>M240803R1</v>
          </cell>
          <cell r="J20400">
            <v>45643</v>
          </cell>
          <cell r="K20400">
            <v>2</v>
          </cell>
        </row>
        <row r="20401">
          <cell r="C20401" t="str">
            <v>汪佳凯</v>
          </cell>
          <cell r="F20401" t="str">
            <v>M240803R1</v>
          </cell>
          <cell r="J20401">
            <v>45643</v>
          </cell>
          <cell r="K20401">
            <v>2</v>
          </cell>
        </row>
        <row r="20402">
          <cell r="C20402" t="str">
            <v>汪佳凯</v>
          </cell>
          <cell r="F20402" t="str">
            <v>M240803R1</v>
          </cell>
          <cell r="J20402">
            <v>45645</v>
          </cell>
          <cell r="K20402">
            <v>1</v>
          </cell>
        </row>
        <row r="20403">
          <cell r="C20403" t="str">
            <v>汪佳凯</v>
          </cell>
          <cell r="F20403" t="str">
            <v>M240803R1</v>
          </cell>
          <cell r="J20403">
            <v>45645</v>
          </cell>
          <cell r="K20403">
            <v>1</v>
          </cell>
        </row>
        <row r="20404">
          <cell r="C20404" t="str">
            <v>汪佳凯</v>
          </cell>
          <cell r="F20404" t="str">
            <v>M240803R1</v>
          </cell>
          <cell r="J20404">
            <v>45649</v>
          </cell>
          <cell r="K20404">
            <v>1</v>
          </cell>
        </row>
        <row r="20405">
          <cell r="C20405" t="str">
            <v>汪佳凯</v>
          </cell>
          <cell r="F20405" t="str">
            <v>M240803R1</v>
          </cell>
          <cell r="J20405">
            <v>45649</v>
          </cell>
          <cell r="K20405">
            <v>1</v>
          </cell>
        </row>
        <row r="20406">
          <cell r="C20406" t="str">
            <v>汪佳凯</v>
          </cell>
          <cell r="F20406" t="str">
            <v>M240803R1</v>
          </cell>
          <cell r="J20406">
            <v>45650</v>
          </cell>
          <cell r="K20406">
            <v>1</v>
          </cell>
        </row>
        <row r="20407">
          <cell r="C20407" t="str">
            <v>汪佳凯</v>
          </cell>
          <cell r="F20407" t="str">
            <v>M240803R1</v>
          </cell>
          <cell r="J20407">
            <v>45651</v>
          </cell>
          <cell r="K20407">
            <v>1</v>
          </cell>
        </row>
        <row r="20408">
          <cell r="C20408" t="str">
            <v>汪佳凯</v>
          </cell>
          <cell r="F20408" t="str">
            <v>M240803R1</v>
          </cell>
          <cell r="J20408">
            <v>45651</v>
          </cell>
          <cell r="K2040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46163.474386574075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60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D260401R1</v>
          </cell>
          <cell r="C14" t="str">
            <v>倉溫物料雙感測器+FineLink優化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46233.666666666664</v>
          </cell>
          <cell r="J14">
            <v>83</v>
          </cell>
          <cell r="K14">
            <v>4.0333333333333332</v>
          </cell>
          <cell r="L14">
            <v>46137</v>
          </cell>
          <cell r="O14">
            <v>14</v>
          </cell>
          <cell r="Q14">
            <v>14</v>
          </cell>
        </row>
        <row r="15">
          <cell r="B15" t="str">
            <v>D260402R1</v>
          </cell>
          <cell r="C15" t="str">
            <v>音叉式開關優化</v>
          </cell>
          <cell r="D15" t="str">
            <v>RD1000</v>
          </cell>
          <cell r="E15" t="str">
            <v>研發一處</v>
          </cell>
          <cell r="F15" t="str">
            <v>賴慶樺</v>
          </cell>
          <cell r="G15" t="str">
            <v>Active</v>
          </cell>
          <cell r="H15">
            <v>46112.666666666664</v>
          </cell>
          <cell r="I15">
            <v>46264.666666666664</v>
          </cell>
          <cell r="J15">
            <v>104</v>
          </cell>
          <cell r="K15">
            <v>5.0666666666666664</v>
          </cell>
          <cell r="O15">
            <v>0</v>
          </cell>
        </row>
        <row r="16">
          <cell r="B16" t="str">
            <v>D260403R1</v>
          </cell>
          <cell r="C16" t="str">
            <v>熱質流量開關優化</v>
          </cell>
          <cell r="D16" t="str">
            <v>RD1100</v>
          </cell>
          <cell r="E16" t="str">
            <v>研一部</v>
          </cell>
          <cell r="F16" t="str">
            <v>張良琪</v>
          </cell>
          <cell r="G16" t="str">
            <v>Active</v>
          </cell>
          <cell r="H16">
            <v>46138.666666666664</v>
          </cell>
          <cell r="I16">
            <v>46232.666666666664</v>
          </cell>
          <cell r="J16">
            <v>66</v>
          </cell>
          <cell r="K16">
            <v>3.1333333333333333</v>
          </cell>
          <cell r="O16">
            <v>0</v>
          </cell>
        </row>
        <row r="17">
          <cell r="B17" t="str">
            <v>D260501R1</v>
          </cell>
          <cell r="C17" t="str">
            <v>[測試]同任務掛2個以上的負責人</v>
          </cell>
          <cell r="D17" t="str">
            <v>RD1000</v>
          </cell>
          <cell r="E17" t="str">
            <v>研三部</v>
          </cell>
          <cell r="F17" t="str">
            <v>陳俊儒</v>
          </cell>
          <cell r="G17" t="str">
            <v>Active</v>
          </cell>
          <cell r="H17">
            <v>46148.666666666664</v>
          </cell>
          <cell r="I17">
            <v>46188.666666666664</v>
          </cell>
          <cell r="J17">
            <v>28</v>
          </cell>
          <cell r="K17">
            <v>1.3333333333333333</v>
          </cell>
          <cell r="O17">
            <v>0</v>
          </cell>
          <cell r="Q17">
            <v>22</v>
          </cell>
        </row>
        <row r="18">
          <cell r="B18" t="str">
            <v>G260401I1</v>
          </cell>
          <cell r="C18" t="str">
            <v>SE電源座保護殼+電源板壓合治具</v>
          </cell>
          <cell r="D18" t="str">
            <v>RD2200</v>
          </cell>
          <cell r="E18" t="str">
            <v>自動化</v>
          </cell>
          <cell r="F18" t="str">
            <v>羅友彥</v>
          </cell>
          <cell r="G18" t="str">
            <v>Active</v>
          </cell>
          <cell r="H18">
            <v>46140.666666666664</v>
          </cell>
          <cell r="I18">
            <v>46170.666666666664</v>
          </cell>
          <cell r="J18">
            <v>21</v>
          </cell>
          <cell r="K18">
            <v>1</v>
          </cell>
          <cell r="L18">
            <v>46140</v>
          </cell>
          <cell r="O18">
            <v>15</v>
          </cell>
          <cell r="Q18">
            <v>93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46086.666666666664</v>
          </cell>
          <cell r="J20">
            <v>416</v>
          </cell>
          <cell r="K20">
            <v>20.533333333333335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301</v>
          </cell>
          <cell r="K21">
            <v>14.766666666666667</v>
          </cell>
          <cell r="L21">
            <v>45597</v>
          </cell>
          <cell r="O21">
            <v>229</v>
          </cell>
          <cell r="Q21">
            <v>75</v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MA1300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393</v>
          </cell>
          <cell r="K22">
            <v>19.5</v>
          </cell>
          <cell r="L22">
            <v>45533</v>
          </cell>
          <cell r="O22">
            <v>302</v>
          </cell>
          <cell r="Q22">
            <v>100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384</v>
          </cell>
          <cell r="Q23">
            <v>95</v>
          </cell>
          <cell r="R23">
            <v>45709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J24">
            <v>202</v>
          </cell>
          <cell r="K24">
            <v>10.066666666666666</v>
          </cell>
          <cell r="L24">
            <v>46013</v>
          </cell>
          <cell r="O24">
            <v>94</v>
          </cell>
          <cell r="Q24">
            <v>16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114</v>
          </cell>
          <cell r="Q26">
            <v>14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M240703P1</v>
          </cell>
          <cell r="C28" t="str">
            <v>首次生產-SDX光電系列整併與優化案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46216.666666666664</v>
          </cell>
          <cell r="J28">
            <v>94</v>
          </cell>
          <cell r="K28">
            <v>4.6333333333333337</v>
          </cell>
          <cell r="L28">
            <v>46083</v>
          </cell>
          <cell r="O28">
            <v>51</v>
          </cell>
          <cell r="Q28">
            <v>40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56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36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226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210</v>
          </cell>
          <cell r="Q33">
            <v>56</v>
          </cell>
          <cell r="R33">
            <v>45916</v>
          </cell>
        </row>
        <row r="34">
          <cell r="B34" t="str">
            <v>M251001R1</v>
          </cell>
          <cell r="C34" t="str">
            <v>SDX緊湊型光電開關設計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124</v>
          </cell>
          <cell r="Q34">
            <v>65</v>
          </cell>
          <cell r="R34">
            <v>46065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RD1100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111</v>
          </cell>
          <cell r="K37">
            <v>5.4333333333333336</v>
          </cell>
          <cell r="L37">
            <v>45887</v>
          </cell>
          <cell r="M37">
            <v>46079.351574074077</v>
          </cell>
          <cell r="N37">
            <v>46052</v>
          </cell>
          <cell r="O37">
            <v>128</v>
          </cell>
          <cell r="P37">
            <v>6.4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RD2300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49</v>
          </cell>
          <cell r="K42">
            <v>2.2333333333333334</v>
          </cell>
          <cell r="L42">
            <v>45811</v>
          </cell>
          <cell r="M42">
            <v>46058.405266203707</v>
          </cell>
          <cell r="N42">
            <v>46063</v>
          </cell>
          <cell r="O42">
            <v>172</v>
          </cell>
          <cell r="P42">
            <v>8.23</v>
          </cell>
          <cell r="Q42">
            <v>100</v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RD1000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146</v>
          </cell>
          <cell r="K43">
            <v>7.3</v>
          </cell>
          <cell r="L43">
            <v>45537</v>
          </cell>
          <cell r="M43">
            <v>46031.231979166667</v>
          </cell>
          <cell r="N43">
            <v>46078</v>
          </cell>
          <cell r="O43">
            <v>337</v>
          </cell>
          <cell r="P43">
            <v>16.47</v>
          </cell>
          <cell r="Q43">
            <v>100</v>
          </cell>
        </row>
        <row r="44">
          <cell r="B44" t="str">
            <v>M251201C1</v>
          </cell>
          <cell r="C44" t="str">
            <v>GPX 申請UL-61010認證</v>
          </cell>
          <cell r="D44" t="str">
            <v>RD1000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59</v>
          </cell>
          <cell r="K44">
            <v>3.0666666666666669</v>
          </cell>
          <cell r="L44">
            <v>46024</v>
          </cell>
          <cell r="M44">
            <v>46112.047881944447</v>
          </cell>
          <cell r="N44">
            <v>46112</v>
          </cell>
          <cell r="O44">
            <v>57</v>
          </cell>
          <cell r="P44">
            <v>2.93</v>
          </cell>
          <cell r="Q44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46163.472453703704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莊汶蓉</v>
          </cell>
          <cell r="C42" t="str">
            <v>RD2100</v>
          </cell>
          <cell r="D42" t="str">
            <v>生技</v>
          </cell>
          <cell r="E42">
            <v>46125</v>
          </cell>
          <cell r="G42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3"/>
  <sheetViews>
    <sheetView tabSelected="1" zoomScaleNormal="100" workbookViewId="0">
      <selection activeCell="B14" sqref="B14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35" t="s">
        <v>31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15" x14ac:dyDescent="0.25">
      <c r="A2" s="137" t="s">
        <v>66</v>
      </c>
      <c r="B2" s="138" t="s">
        <v>67</v>
      </c>
      <c r="C2" s="137" t="s">
        <v>51</v>
      </c>
      <c r="D2" s="137" t="s">
        <v>50</v>
      </c>
      <c r="E2" s="139" t="s">
        <v>3</v>
      </c>
      <c r="F2" s="139" t="s">
        <v>4</v>
      </c>
      <c r="G2" s="139" t="s">
        <v>5</v>
      </c>
      <c r="H2" s="139" t="s">
        <v>6</v>
      </c>
      <c r="I2" s="145" t="s">
        <v>30</v>
      </c>
      <c r="J2" s="145"/>
      <c r="K2" s="145"/>
      <c r="L2" s="137" t="s">
        <v>2</v>
      </c>
      <c r="M2" s="144" t="s">
        <v>7</v>
      </c>
      <c r="N2" s="139" t="s">
        <v>55</v>
      </c>
      <c r="O2" s="136" t="s">
        <v>8</v>
      </c>
    </row>
    <row r="3" spans="1:15" ht="18" customHeight="1" x14ac:dyDescent="0.25">
      <c r="A3" s="137"/>
      <c r="B3" s="138"/>
      <c r="C3" s="137"/>
      <c r="D3" s="137"/>
      <c r="E3" s="139"/>
      <c r="F3" s="139"/>
      <c r="G3" s="139"/>
      <c r="H3" s="139"/>
      <c r="I3" s="16" t="s">
        <v>41</v>
      </c>
      <c r="J3" s="16" t="s">
        <v>43</v>
      </c>
      <c r="K3" s="16" t="s">
        <v>42</v>
      </c>
      <c r="L3" s="137"/>
      <c r="M3" s="144"/>
      <c r="N3" s="139"/>
      <c r="O3" s="136"/>
    </row>
    <row r="4" spans="1:15" ht="16.5" x14ac:dyDescent="0.25">
      <c r="A4" s="59" t="s">
        <v>88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1039</v>
      </c>
      <c r="K4" s="5">
        <f>J4/I4</f>
        <v>4.7227272727272727</v>
      </c>
      <c r="L4" s="19" t="str">
        <f>VLOOKUP(A4,[1]總表!$A:$L,5,FALSE)</f>
        <v>Active</v>
      </c>
      <c r="M4" s="2" t="str">
        <f ca="1">VLOOKUP(A4,[1]總表!$A:$M,13,FALSE)</f>
        <v>專案延遲 543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1485.5</v>
      </c>
      <c r="K5" s="5">
        <f t="shared" ref="K5:K18" si="0">J5/I5</f>
        <v>2.1374100719424463</v>
      </c>
      <c r="L5" s="19" t="str">
        <f>VLOOKUP(A5,[1]總表!$A:$L,5,FALSE)</f>
        <v>Active</v>
      </c>
      <c r="M5" s="2" t="str">
        <f ca="1">VLOOKUP(A5,[1]總表!$A:$M,13,FALSE)</f>
        <v>專案延遲 387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180</v>
      </c>
      <c r="B6" s="28" t="str">
        <f>VLOOKUP(A6,[1]總表!$A:$L,2,FALSE)</f>
        <v>2026年程式碼審查1st</v>
      </c>
      <c r="C6" s="2" t="str">
        <f>VLOOKUP(A6,[1]總表!$A:$L,3,FALSE)</f>
        <v>技術中心</v>
      </c>
      <c r="D6" s="2" t="str">
        <f>VLOOKUP(A6,[1]總表!$A:$L,4,FALSE)</f>
        <v>蕭金椿</v>
      </c>
      <c r="E6" s="3">
        <f>VLOOKUP(A6,[1]總表!$A:$L,6,FALSE)</f>
        <v>46040.666666666664</v>
      </c>
      <c r="F6" s="3">
        <f>VLOOKUP(A6,[1]總表!$A:$L,7,FALSE)</f>
        <v>46140.666666666664</v>
      </c>
      <c r="G6" s="4">
        <f>VLOOKUP(A6,[1]總表!$A:$L,8,FALSE)</f>
        <v>46066</v>
      </c>
      <c r="H6" s="4" t="str">
        <f>VLOOKUP(A6,[1]總表!$A:$L,9,FALSE)</f>
        <v/>
      </c>
      <c r="I6" s="18">
        <f>VLOOKUP(A6,[1]專案進度表!$B:$DJ,20,FALSE)</f>
        <v>530</v>
      </c>
      <c r="J6" s="18">
        <f>VLOOKUP(A6,[1]專案進度表!$B:$DT,21,FALSE)</f>
        <v>555</v>
      </c>
      <c r="K6" s="5">
        <f t="shared" si="0"/>
        <v>1.0471698113207548</v>
      </c>
      <c r="L6" s="19" t="str">
        <f>VLOOKUP(A6,[1]總表!$A:$L,5,FALSE)</f>
        <v>Active</v>
      </c>
      <c r="M6" s="2" t="str">
        <f ca="1">VLOOKUP(A6,[1]總表!$A:$M,13,FALSE)</f>
        <v>專案延遲 23 天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181</v>
      </c>
      <c r="B7" s="28" t="str">
        <f>VLOOKUP(A7,[1]總表!$A:$L,2,FALSE)</f>
        <v>HART dd先期研究案</v>
      </c>
      <c r="C7" s="2" t="str">
        <f>VLOOKUP(A7,[1]總表!$A:$L,3,FALSE)</f>
        <v>技術中心</v>
      </c>
      <c r="D7" s="2" t="str">
        <f>VLOOKUP(A7,[1]總表!$A:$L,4,FALSE)</f>
        <v>蕭金椿</v>
      </c>
      <c r="E7" s="3">
        <f>VLOOKUP(A7,[1]總表!$A:$L,6,FALSE)</f>
        <v>46054.666666666664</v>
      </c>
      <c r="F7" s="3">
        <f>VLOOKUP(A7,[1]總表!$A:$L,7,FALSE)</f>
        <v>46170.666666666664</v>
      </c>
      <c r="G7" s="4">
        <f>VLOOKUP(A7,[1]總表!$A:$L,8,FALSE)</f>
        <v>44980</v>
      </c>
      <c r="H7" s="4" t="str">
        <f>VLOOKUP(A7,[1]總表!$A:$L,9,FALSE)</f>
        <v/>
      </c>
      <c r="I7" s="18">
        <f>VLOOKUP(A7,[1]專案進度表!$B:$DJ,20,FALSE)</f>
        <v>728</v>
      </c>
      <c r="J7" s="18">
        <f>VLOOKUP(A7,[1]專案進度表!$B:$DT,21,FALSE)</f>
        <v>6</v>
      </c>
      <c r="K7" s="5">
        <f t="shared" si="0"/>
        <v>8.241758241758242E-3</v>
      </c>
      <c r="L7" s="19" t="str">
        <f>VLOOKUP(A7,[1]總表!$A:$L,5,FALSE)</f>
        <v>Active</v>
      </c>
      <c r="M7" s="2" t="str">
        <f ca="1">VLOOKUP(A7,[1]總表!$A:$M,13,FALSE)</f>
        <v>專案即將異常</v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205</v>
      </c>
      <c r="B8" s="28" t="str">
        <f>VLOOKUP(A8,[1]總表!$A:$L,2,FALSE)</f>
        <v>倉溫物料雙感測器+FineLink優化</v>
      </c>
      <c r="C8" s="2" t="str">
        <f>VLOOKUP(A8,[1]總表!$A:$L,3,FALSE)</f>
        <v>研發一處</v>
      </c>
      <c r="D8" s="2" t="str">
        <f>VLOOKUP(A8,[1]總表!$A:$L,4,FALSE)</f>
        <v>賴慶樺</v>
      </c>
      <c r="E8" s="3">
        <f>VLOOKUP(A8,[1]總表!$A:$L,6,FALSE)</f>
        <v>46112.666666666664</v>
      </c>
      <c r="F8" s="3">
        <f>VLOOKUP(A8,[1]總表!$A:$L,7,FALSE)</f>
        <v>46233.666666666664</v>
      </c>
      <c r="G8" s="4">
        <f>VLOOKUP(A8,[1]總表!$A:$L,8,FALSE)</f>
        <v>46137</v>
      </c>
      <c r="H8" s="4" t="str">
        <f>VLOOKUP(A8,[1]總表!$A:$L,9,FALSE)</f>
        <v/>
      </c>
      <c r="I8" s="18">
        <f>VLOOKUP(A8,[1]專案進度表!$B:$DJ,20,FALSE)</f>
        <v>405</v>
      </c>
      <c r="J8" s="18">
        <f>VLOOKUP(A8,[1]專案進度表!$B:$DT,21,FALSE)</f>
        <v>124</v>
      </c>
      <c r="K8" s="5">
        <f t="shared" si="0"/>
        <v>0.30617283950617286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211</v>
      </c>
      <c r="B9" s="28" t="str">
        <f>VLOOKUP(A9,[1]總表!$A:$L,2,FALSE)</f>
        <v>音叉式開關優化</v>
      </c>
      <c r="C9" s="2" t="str">
        <f>VLOOKUP(A9,[1]總表!$A:$L,3,FALSE)</f>
        <v>研發一處</v>
      </c>
      <c r="D9" s="2" t="str">
        <f>VLOOKUP(A9,[1]總表!$A:$L,4,FALSE)</f>
        <v>賴慶樺</v>
      </c>
      <c r="E9" s="3">
        <f>VLOOKUP(A9,[1]總表!$A:$L,6,FALSE)</f>
        <v>46112.666666666664</v>
      </c>
      <c r="F9" s="3">
        <f>VLOOKUP(A9,[1]總表!$A:$L,7,FALSE)</f>
        <v>46264.666666666664</v>
      </c>
      <c r="G9" s="4" t="str">
        <f>VLOOKUP(A9,[1]總表!$A:$L,8,FALSE)</f>
        <v/>
      </c>
      <c r="H9" s="4" t="str">
        <f>VLOOKUP(A9,[1]總表!$A:$L,9,FALSE)</f>
        <v/>
      </c>
      <c r="I9" s="18">
        <f>VLOOKUP(A9,[1]專案進度表!$B:$DJ,20,FALSE)</f>
        <v>245</v>
      </c>
      <c r="J9" s="18">
        <f>VLOOKUP(A9,[1]專案進度表!$B:$DT,21,FALSE)</f>
        <v>28.5</v>
      </c>
      <c r="K9" s="5">
        <f t="shared" si="0"/>
        <v>0.11632653061224489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9" t="s">
        <v>212</v>
      </c>
      <c r="B10" s="28" t="str">
        <f>VLOOKUP(A10,[1]總表!$A:$L,2,FALSE)</f>
        <v>熱質流量開關優化</v>
      </c>
      <c r="C10" s="2" t="str">
        <f>VLOOKUP(A10,[1]總表!$A:$L,3,FALSE)</f>
        <v>研一部</v>
      </c>
      <c r="D10" s="2" t="str">
        <f>VLOOKUP(A10,[1]總表!$A:$L,4,FALSE)</f>
        <v>張良琪</v>
      </c>
      <c r="E10" s="3">
        <f>VLOOKUP(A10,[1]總表!$A:$L,6,FALSE)</f>
        <v>46138.666666666664</v>
      </c>
      <c r="F10" s="3">
        <f>VLOOKUP(A10,[1]總表!$A:$L,7,FALSE)</f>
        <v>46232.666666666664</v>
      </c>
      <c r="G10" s="4" t="str">
        <f>VLOOKUP(A10,[1]總表!$A:$L,8,FALSE)</f>
        <v/>
      </c>
      <c r="H10" s="4" t="str">
        <f>VLOOKUP(A10,[1]總表!$A:$L,9,FALSE)</f>
        <v/>
      </c>
      <c r="I10" s="18">
        <f>VLOOKUP(A10,[1]專案進度表!$B:$DJ,20,FALSE)</f>
        <v>730</v>
      </c>
      <c r="J10" s="18">
        <f>VLOOKUP(A10,[1]專案進度表!$B:$DT,21,FALSE)</f>
        <v>55.5</v>
      </c>
      <c r="K10" s="5">
        <f t="shared" si="0"/>
        <v>7.6027397260273979E-2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213</v>
      </c>
      <c r="B11" s="28" t="str">
        <f>VLOOKUP(A11,[1]總表!$A:$L,2,FALSE)</f>
        <v>[測試]同任務掛2個以上的負責人</v>
      </c>
      <c r="C11" s="2" t="str">
        <f>VLOOKUP(A11,[1]總表!$A:$L,3,FALSE)</f>
        <v>研三部</v>
      </c>
      <c r="D11" s="2" t="str">
        <f>VLOOKUP(A11,[1]總表!$A:$L,4,FALSE)</f>
        <v>陳俊儒</v>
      </c>
      <c r="E11" s="3">
        <f>VLOOKUP(A11,[1]總表!$A:$L,6,FALSE)</f>
        <v>46148.666666666664</v>
      </c>
      <c r="F11" s="3">
        <f>VLOOKUP(A11,[1]總表!$A:$L,7,FALSE)</f>
        <v>46188.666666666664</v>
      </c>
      <c r="G11" s="4" t="str">
        <f>VLOOKUP(A11,[1]總表!$A:$L,8,FALSE)</f>
        <v/>
      </c>
      <c r="H11" s="4" t="str">
        <f>VLOOKUP(A11,[1]總表!$A:$L,9,FALSE)</f>
        <v/>
      </c>
      <c r="I11" s="18">
        <f>VLOOKUP(A11,[1]專案進度表!$B:$DJ,20,FALSE)</f>
        <v>110</v>
      </c>
      <c r="J11" s="18">
        <f>VLOOKUP(A11,[1]專案進度表!$B:$DT,21,FALSE)</f>
        <v>0</v>
      </c>
      <c r="K11" s="5">
        <f t="shared" si="0"/>
        <v>0</v>
      </c>
      <c r="L11" s="19" t="str">
        <f>VLOOKUP(A11,[1]總表!$A:$L,5,FALSE)</f>
        <v>Active</v>
      </c>
      <c r="M11" s="2" t="str">
        <f ca="1">VLOOKUP(A11,[1]總表!$A:$M,13,FALSE)</f>
        <v/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9" t="s">
        <v>91</v>
      </c>
      <c r="B12" s="28" t="str">
        <f>VLOOKUP(A12,[1]總表!$A:$L,2,FALSE)</f>
        <v>PCB濕製程用插入式壓力感測器</v>
      </c>
      <c r="C12" s="2" t="str">
        <f>VLOOKUP(A12,[1]總表!$A:$L,3,FALSE)</f>
        <v>研一部</v>
      </c>
      <c r="D12" s="2" t="str">
        <f>VLOOKUP(A12,[1]總表!$A:$L,4,FALSE)</f>
        <v>張良琪</v>
      </c>
      <c r="E12" s="3">
        <f>VLOOKUP(A12,[1]總表!$A:$L,6,FALSE)</f>
        <v>45641.666666666664</v>
      </c>
      <c r="F12" s="3">
        <f>VLOOKUP(A12,[1]總表!$A:$L,7,FALSE)</f>
        <v>45807.666666666664</v>
      </c>
      <c r="G12" s="4">
        <f>VLOOKUP(A12,[1]總表!$A:$L,8,FALSE)</f>
        <v>45524</v>
      </c>
      <c r="H12" s="4" t="str">
        <f>VLOOKUP(A12,[1]總表!$A:$L,9,FALSE)</f>
        <v/>
      </c>
      <c r="I12" s="127">
        <f>VLOOKUP(A12,[1]專案進度表!$B:$DJ,20,FALSE)</f>
        <v>846</v>
      </c>
      <c r="J12" s="127">
        <f>VLOOKUP(A12,[1]專案進度表!$B:$DT,21,FALSE)</f>
        <v>3311.2</v>
      </c>
      <c r="K12" s="5">
        <f t="shared" ref="K12:K14" si="1">J12/I12</f>
        <v>3.9139479905437349</v>
      </c>
      <c r="L12" s="19" t="str">
        <f>VLOOKUP(A12,[1]總表!$A:$L,5,FALSE)</f>
        <v>Active</v>
      </c>
      <c r="M12" s="2" t="str">
        <f ca="1">VLOOKUP(A12,[1]總表!$A:$M,13,FALSE)</f>
        <v>專案延遲 356 天</v>
      </c>
      <c r="N12" s="4">
        <f>IF(VLOOKUP(A12,[1]PLM014!$B:$R,17,FALSE)=0,"",VLOOKUP(A12,[1]PLM014!$B:$R,17,FALSE))</f>
        <v>45709</v>
      </c>
      <c r="O12" s="6"/>
    </row>
    <row r="13" spans="1:15" ht="16.5" x14ac:dyDescent="0.25">
      <c r="A13" s="59" t="s">
        <v>198</v>
      </c>
      <c r="B13" s="28" t="str">
        <f>VLOOKUP(A13,[1]總表!$A:$L,2,FALSE)</f>
        <v>C級奧多曼電子水量計</v>
      </c>
      <c r="C13" s="2" t="str">
        <f>VLOOKUP(A13,[1]總表!$A:$L,3,FALSE)</f>
        <v>產品開發</v>
      </c>
      <c r="D13" s="2" t="str">
        <f>VLOOKUP(A13,[1]總表!$A:$L,4,FALSE)</f>
        <v>鄭貫中</v>
      </c>
      <c r="E13" s="3">
        <f>VLOOKUP(A13,[1]總表!$A:$L,6,FALSE)</f>
        <v>46001.666666666664</v>
      </c>
      <c r="F13" s="3">
        <f>VLOOKUP(A13,[1]總表!$A:$L,7,FALSE)</f>
        <v>46303.666666666664</v>
      </c>
      <c r="G13" s="4">
        <f>VLOOKUP(A13,[1]總表!$A:$L,8,FALSE)</f>
        <v>46013</v>
      </c>
      <c r="H13" s="4" t="str">
        <f>VLOOKUP(A13,[1]總表!$A:$L,9,FALSE)</f>
        <v/>
      </c>
      <c r="I13" s="127">
        <f>VLOOKUP(A13,[1]專案進度表!$B:$DJ,20,FALSE)</f>
        <v>461</v>
      </c>
      <c r="J13" s="127">
        <f>VLOOKUP(A13,[1]專案進度表!$B:$DT,21,FALSE)</f>
        <v>1765</v>
      </c>
      <c r="K13" s="5">
        <f t="shared" si="1"/>
        <v>3.8286334056399132</v>
      </c>
      <c r="L13" s="19" t="str">
        <f>VLOOKUP(A13,[1]總表!$A:$L,5,FALSE)</f>
        <v>Active</v>
      </c>
      <c r="M13" s="2" t="str">
        <f ca="1">VLOOKUP(A13,[1]總表!$A:$M,13,FALSE)</f>
        <v/>
      </c>
      <c r="N13" s="4" t="str">
        <f>IF(VLOOKUP(A13,[1]PLM014!$B:$R,17,FALSE)=0,"",VLOOKUP(A13,[1]PLM014!$B:$R,17,FALSE))</f>
        <v/>
      </c>
      <c r="O13" s="6"/>
    </row>
    <row r="14" spans="1:15" ht="16.5" x14ac:dyDescent="0.25">
      <c r="A14" s="59" t="s">
        <v>133</v>
      </c>
      <c r="B14" s="28" t="str">
        <f>VLOOKUP(A14,[1]總表!$A:$L,2,FALSE)</f>
        <v>EPH水量計型式認證技術規範CNPA49第4版結構驗證與改善</v>
      </c>
      <c r="C14" s="2" t="str">
        <f>VLOOKUP(A14,[1]總表!$A:$L,3,FALSE)</f>
        <v>產品開發</v>
      </c>
      <c r="D14" s="2" t="str">
        <f>VLOOKUP(A14,[1]總表!$A:$L,4,FALSE)</f>
        <v>王瀚霆</v>
      </c>
      <c r="E14" s="3">
        <f>VLOOKUP(A14,[1]總表!$A:$L,6,FALSE)</f>
        <v>45985.666666666664</v>
      </c>
      <c r="F14" s="3">
        <f>VLOOKUP(A14,[1]總表!$A:$L,7,FALSE)</f>
        <v>46202.666666666664</v>
      </c>
      <c r="G14" s="4">
        <f>VLOOKUP(A14,[1]總表!$A:$L,8,FALSE)</f>
        <v>46036</v>
      </c>
      <c r="H14" s="4" t="str">
        <f>VLOOKUP(A14,[1]總表!$A:$L,9,FALSE)</f>
        <v/>
      </c>
      <c r="I14" s="127">
        <f>VLOOKUP(A14,[1]專案進度表!$B:$DJ,20,FALSE)</f>
        <v>558</v>
      </c>
      <c r="J14" s="127">
        <f>VLOOKUP(A14,[1]專案進度表!$B:$DT,21,FALSE)</f>
        <v>85</v>
      </c>
      <c r="K14" s="5">
        <f t="shared" si="1"/>
        <v>0.15232974910394265</v>
      </c>
      <c r="L14" s="19" t="str">
        <f>VLOOKUP(A14,[1]總表!$A:$L,5,FALSE)</f>
        <v>Active</v>
      </c>
      <c r="M14" s="2" t="str">
        <f ca="1">VLOOKUP(A14,[1]總表!$A:$M,13,FALSE)</f>
        <v>專案即將異常</v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9" t="s">
        <v>152</v>
      </c>
      <c r="B15" s="28" t="str">
        <f>VLOOKUP(A15,[1]總表!$A:$L,2,FALSE)</f>
        <v>精巧型電磁流量計</v>
      </c>
      <c r="C15" s="2" t="str">
        <f>VLOOKUP(A15,[1]總表!$A:$L,3,FALSE)</f>
        <v>研三部</v>
      </c>
      <c r="D15" s="2" t="str">
        <f>VLOOKUP(A15,[1]總表!$A:$L,4,FALSE)</f>
        <v>魏暉恩</v>
      </c>
      <c r="E15" s="3">
        <f>VLOOKUP(A15,[1]總表!$A:$L,6,FALSE)</f>
        <v>46022.666666666664</v>
      </c>
      <c r="F15" s="3">
        <f>VLOOKUP(A15,[1]總表!$A:$L,7,FALSE)</f>
        <v>46257.666666666664</v>
      </c>
      <c r="G15" s="4">
        <f>VLOOKUP(A15,[1]總表!$A:$L,8,FALSE)</f>
        <v>45943</v>
      </c>
      <c r="H15" s="4" t="str">
        <f>VLOOKUP(A15,[1]總表!$A:$L,9,FALSE)</f>
        <v/>
      </c>
      <c r="I15" s="18">
        <f>VLOOKUP(A15,[1]專案進度表!$B:$DJ,20,FALSE)</f>
        <v>1361</v>
      </c>
      <c r="J15" s="18">
        <f>VLOOKUP(A15,[1]專案進度表!$B:$DT,21,FALSE)</f>
        <v>1338.5</v>
      </c>
      <c r="K15" s="5">
        <f t="shared" si="0"/>
        <v>0.98346803820720063</v>
      </c>
      <c r="L15" s="19" t="str">
        <f>VLOOKUP(A15,[1]總表!$A:$L,5,FALSE)</f>
        <v>Active</v>
      </c>
      <c r="M15" s="2" t="str">
        <f ca="1">VLOOKUP(A15,[1]總表!$A:$M,13,FALSE)</f>
        <v/>
      </c>
      <c r="N15" s="4">
        <f>IF(VLOOKUP(A15,[1]PLM014!$B:$R,17,FALSE)=0,"",VLOOKUP(A15,[1]PLM014!$B:$R,17,FALSE))</f>
        <v>46136</v>
      </c>
      <c r="O15" s="6"/>
    </row>
    <row r="16" spans="1:15" ht="16.5" x14ac:dyDescent="0.25">
      <c r="A16" s="59" t="s">
        <v>89</v>
      </c>
      <c r="B16" s="28" t="str">
        <f>VLOOKUP(A16,[1]總表!$A:$L,2,FALSE)</f>
        <v>PVD二口二位閥展型(DN15、DN20)</v>
      </c>
      <c r="C16" s="2" t="str">
        <f>VLOOKUP(A16,[1]總表!$A:$L,3,FALSE)</f>
        <v>產品開發</v>
      </c>
      <c r="D16" s="2" t="str">
        <f>VLOOKUP(A16,[1]總表!$A:$L,4,FALSE)</f>
        <v>葉宏政</v>
      </c>
      <c r="E16" s="3">
        <f>VLOOKUP(A16,[1]總表!$A:$L,6,FALSE)</f>
        <v>45529.666666666664</v>
      </c>
      <c r="F16" s="3">
        <f>VLOOKUP(A16,[1]總表!$A:$L,7,FALSE)</f>
        <v>45896.666666666664</v>
      </c>
      <c r="G16" s="4">
        <f>VLOOKUP(A16,[1]總表!$A:$L,8,FALSE)</f>
        <v>45531</v>
      </c>
      <c r="H16" s="4" t="str">
        <f>VLOOKUP(A16,[1]總表!$A:$L,9,FALSE)</f>
        <v/>
      </c>
      <c r="I16" s="18">
        <f>VLOOKUP(A16,[1]專案進度表!$B:$DJ,20,FALSE)</f>
        <v>510</v>
      </c>
      <c r="J16" s="18">
        <f>VLOOKUP(A16,[1]專案進度表!$B:$DT,21,FALSE)</f>
        <v>1351</v>
      </c>
      <c r="K16" s="5">
        <f t="shared" si="0"/>
        <v>2.6490196078431372</v>
      </c>
      <c r="L16" s="19" t="str">
        <f>VLOOKUP(A16,[1]總表!$A:$L,5,FALSE)</f>
        <v>Active</v>
      </c>
      <c r="M16" s="2" t="str">
        <f ca="1">VLOOKUP(A16,[1]總表!$A:$M,13,FALSE)</f>
        <v>專案延遲 267 天</v>
      </c>
      <c r="N16" s="4">
        <f>IF(VLOOKUP(A16,[1]PLM014!$B:$R,17,FALSE)=0,"",VLOOKUP(A16,[1]PLM014!$B:$R,17,FALSE))</f>
        <v>45841</v>
      </c>
      <c r="O16" s="6"/>
    </row>
    <row r="17" spans="1:15" ht="16.5" x14ac:dyDescent="0.25">
      <c r="A17" s="59" t="s">
        <v>95</v>
      </c>
      <c r="B17" s="28" t="str">
        <f>VLOOKUP(A17,[1]總表!$A:$L,2,FALSE)</f>
        <v>工業爆炸環境防爆型音叉感測器</v>
      </c>
      <c r="C17" s="2" t="str">
        <f>VLOOKUP(A17,[1]總表!$A:$L,3,FALSE)</f>
        <v>研二部</v>
      </c>
      <c r="D17" s="2" t="str">
        <f>VLOOKUP(A17,[1]總表!$A:$L,4,FALSE)</f>
        <v>黃胤綸</v>
      </c>
      <c r="E17" s="3">
        <f>VLOOKUP(A17,[1]總表!$A:$L,6,FALSE)</f>
        <v>45713.666666666664</v>
      </c>
      <c r="F17" s="3">
        <f>VLOOKUP(A17,[1]總表!$A:$L,7,FALSE)</f>
        <v>45922.666666666664</v>
      </c>
      <c r="G17" s="4">
        <f>VLOOKUP(A17,[1]總表!$A:$L,8,FALSE)</f>
        <v>45713</v>
      </c>
      <c r="H17" s="4" t="str">
        <f>VLOOKUP(A17,[1]總表!$A:$L,9,FALSE)</f>
        <v/>
      </c>
      <c r="I17" s="18">
        <f>VLOOKUP(A17,[1]專案進度表!$B:$DJ,20,FALSE)</f>
        <v>649</v>
      </c>
      <c r="J17" s="18">
        <f>VLOOKUP(A17,[1]專案進度表!$B:$DT,21,FALSE)</f>
        <v>1169</v>
      </c>
      <c r="K17" s="5">
        <f t="shared" si="0"/>
        <v>1.8012326656394453</v>
      </c>
      <c r="L17" s="19" t="str">
        <f>VLOOKUP(A17,[1]總表!$A:$L,5,FALSE)</f>
        <v>Active</v>
      </c>
      <c r="M17" s="2" t="str">
        <f ca="1">VLOOKUP(A17,[1]總表!$A:$M,13,FALSE)</f>
        <v>專案延遲 241 天</v>
      </c>
      <c r="N17" s="4" t="str">
        <f>IF(VLOOKUP(A17,[1]PLM014!$B:$R,17,FALSE)=0,"",VLOOKUP(A17,[1]PLM014!$B:$R,17,FALSE))</f>
        <v/>
      </c>
      <c r="O17" s="6"/>
    </row>
    <row r="18" spans="1:15" ht="16.5" x14ac:dyDescent="0.25">
      <c r="A18" s="59" t="s">
        <v>97</v>
      </c>
      <c r="B18" s="28" t="str">
        <f>VLOOKUP(A18,[1]總表!$A:$L,2,FALSE)</f>
        <v>一體型電磁流量計北美多重防爆認證</v>
      </c>
      <c r="C18" s="2" t="str">
        <f>VLOOKUP(A18,[1]總表!$A:$L,3,FALSE)</f>
        <v>研發一處</v>
      </c>
      <c r="D18" s="2" t="str">
        <f>VLOOKUP(A18,[1]總表!$A:$L,4,FALSE)</f>
        <v>陳威諭</v>
      </c>
      <c r="E18" s="3">
        <f>VLOOKUP(A18,[1]總表!$A:$L,6,FALSE)</f>
        <v>45725.666666666664</v>
      </c>
      <c r="F18" s="3">
        <f>VLOOKUP(A18,[1]總表!$A:$L,7,FALSE)</f>
        <v>46190.666666666664</v>
      </c>
      <c r="G18" s="4">
        <f>VLOOKUP(A18,[1]總表!$A:$L,8,FALSE)</f>
        <v>45727</v>
      </c>
      <c r="H18" s="4" t="str">
        <f>VLOOKUP(A18,[1]總表!$A:$L,9,FALSE)</f>
        <v/>
      </c>
      <c r="I18" s="18">
        <f>VLOOKUP(A18,[1]專案進度表!$B:$DJ,20,FALSE)</f>
        <v>337</v>
      </c>
      <c r="J18" s="18">
        <f>VLOOKUP(A18,[1]專案進度表!$B:$DT,21,FALSE)</f>
        <v>1597</v>
      </c>
      <c r="K18" s="5">
        <f t="shared" si="0"/>
        <v>4.7388724035608307</v>
      </c>
      <c r="L18" s="19" t="str">
        <f>VLOOKUP(A18,[1]總表!$A:$L,5,FALSE)</f>
        <v>Active</v>
      </c>
      <c r="M18" s="2" t="str">
        <f ca="1">VLOOKUP(A18,[1]總表!$A:$M,13,FALSE)</f>
        <v>專案即將異常</v>
      </c>
      <c r="N18" s="4" t="str">
        <f>IF(VLOOKUP(A18,[1]PLM014!$B:$R,17,FALSE)=0,"",VLOOKUP(A18,[1]PLM014!$B:$R,17,FALSE))</f>
        <v/>
      </c>
      <c r="O18" s="42"/>
    </row>
    <row r="19" spans="1:15" ht="16.5" x14ac:dyDescent="0.25">
      <c r="A19" s="59" t="s">
        <v>103</v>
      </c>
      <c r="B19" s="28" t="str">
        <f>VLOOKUP(A19,[1]總表!$A:$L,2,FALSE)</f>
        <v>軌道型顯示器夾管式超音波流量計</v>
      </c>
      <c r="C19" s="2" t="str">
        <f>VLOOKUP(A19,[1]總表!$A:$L,3,FALSE)</f>
        <v>研三部</v>
      </c>
      <c r="D19" s="2" t="str">
        <f>VLOOKUP(A19,[1]總表!$A:$L,4,FALSE)</f>
        <v>陳俊儒</v>
      </c>
      <c r="E19" s="3">
        <f>VLOOKUP(A19,[1]總表!$A:$L,6,FALSE)</f>
        <v>45747.666666666664</v>
      </c>
      <c r="F19" s="3">
        <f>VLOOKUP(A19,[1]總表!$A:$L,7,FALSE)</f>
        <v>46008.666666666664</v>
      </c>
      <c r="G19" s="4">
        <f>VLOOKUP(A19,[1]總表!$A:$L,8,FALSE)</f>
        <v>45748</v>
      </c>
      <c r="H19" s="4" t="str">
        <f>VLOOKUP(A19,[1]總表!$A:$L,9,FALSE)</f>
        <v/>
      </c>
      <c r="I19" s="74">
        <f>VLOOKUP(A19,[1]專案進度表!$B:$DJ,20,FALSE)</f>
        <v>534</v>
      </c>
      <c r="J19" s="74">
        <f>VLOOKUP(A19,[1]專案進度表!$B:$DT,21,FALSE)</f>
        <v>1308.0999999999999</v>
      </c>
      <c r="K19" s="5">
        <f t="shared" ref="K19:K22" si="2">J19/I19</f>
        <v>2.4496254681647938</v>
      </c>
      <c r="L19" s="19" t="str">
        <f>VLOOKUP(A19,[1]總表!$A:$L,5,FALSE)</f>
        <v>Active</v>
      </c>
      <c r="M19" s="2" t="str">
        <f ca="1">VLOOKUP(A19,[1]總表!$A:$M,13,FALSE)</f>
        <v>專案延遲 155 天</v>
      </c>
      <c r="N19" s="4">
        <f>IF(VLOOKUP(A19,[1]PLM014!$B:$R,17,FALSE)=0,"",VLOOKUP(A19,[1]PLM014!$B:$R,17,FALSE))</f>
        <v>45916</v>
      </c>
      <c r="O19" s="42"/>
    </row>
    <row r="20" spans="1:15" ht="16.5" x14ac:dyDescent="0.25">
      <c r="A20" s="59" t="s">
        <v>119</v>
      </c>
      <c r="B20" s="28" t="str">
        <f>VLOOKUP(A20,[1]總表!$A:$L,2,FALSE)</f>
        <v>SDX緊湊型光電開關設計</v>
      </c>
      <c r="C20" s="2" t="str">
        <f>VLOOKUP(A20,[1]總表!$A:$L,3,FALSE)</f>
        <v>研二部</v>
      </c>
      <c r="D20" s="2" t="str">
        <f>VLOOKUP(A20,[1]總表!$A:$L,4,FALSE)</f>
        <v>彭志豪</v>
      </c>
      <c r="E20" s="3">
        <f>VLOOKUP(A20,[1]總表!$A:$L,6,FALSE)</f>
        <v>45966.666666666664</v>
      </c>
      <c r="F20" s="3">
        <f>VLOOKUP(A20,[1]總表!$A:$L,7,FALSE)</f>
        <v>46128.666666666664</v>
      </c>
      <c r="G20" s="4">
        <f>VLOOKUP(A20,[1]總表!$A:$L,8,FALSE)</f>
        <v>45950</v>
      </c>
      <c r="H20" s="4" t="str">
        <f>VLOOKUP(A20,[1]總表!$A:$L,9,FALSE)</f>
        <v/>
      </c>
      <c r="I20" s="75">
        <f>VLOOKUP(A20,[1]專案進度表!$B:$DJ,20,FALSE)</f>
        <v>319</v>
      </c>
      <c r="J20" s="75">
        <f>VLOOKUP(A20,[1]專案進度表!$B:$DT,21,FALSE)</f>
        <v>1752.5</v>
      </c>
      <c r="K20" s="5">
        <f t="shared" si="2"/>
        <v>5.4937304075235112</v>
      </c>
      <c r="L20" s="19" t="str">
        <f>VLOOKUP(A20,[1]總表!$A:$L,5,FALSE)</f>
        <v>Active</v>
      </c>
      <c r="M20" s="2" t="str">
        <f ca="1">VLOOKUP(A20,[1]總表!$A:$M,13,FALSE)</f>
        <v>專案延遲 35 天</v>
      </c>
      <c r="N20" s="4">
        <f>IF(VLOOKUP(A20,[1]PLM014!$B:$R,17,FALSE)=0,"",VLOOKUP(A20,[1]PLM014!$B:$R,17,FALSE))</f>
        <v>46065</v>
      </c>
      <c r="O20" s="42"/>
    </row>
    <row r="21" spans="1:15" ht="16.5" x14ac:dyDescent="0.25">
      <c r="A21" s="59" t="s">
        <v>114</v>
      </c>
      <c r="B21" s="28" t="str">
        <f>VLOOKUP(A21,[1]總表!$A:$L,2,FALSE)</f>
        <v>2025年度-硬體模組化專案</v>
      </c>
      <c r="C21" s="2" t="str">
        <f>VLOOKUP(A21,[1]總表!$A:$L,3,FALSE)</f>
        <v>研二部</v>
      </c>
      <c r="D21" s="2" t="str">
        <f>VLOOKUP(A21,[1]總表!$A:$L,4,FALSE)</f>
        <v>黃胤綸</v>
      </c>
      <c r="E21" s="3">
        <f>VLOOKUP(A21,[1]總表!$A:$L,6,FALSE)</f>
        <v>45657.666666666664</v>
      </c>
      <c r="F21" s="3">
        <f>VLOOKUP(A21,[1]總表!$A:$L,7,FALSE)</f>
        <v>46021.666666666664</v>
      </c>
      <c r="G21" s="4">
        <f>VLOOKUP(A21,[1]總表!$A:$L,8,FALSE)</f>
        <v>45847</v>
      </c>
      <c r="H21" s="4">
        <f>VLOOKUP(A21,[1]總表!$A:$L,9,FALSE)</f>
        <v>46076</v>
      </c>
      <c r="I21" s="76">
        <f>VLOOKUP(A21,[1]專案進度表!$B:$DJ,20,FALSE)</f>
        <v>448</v>
      </c>
      <c r="J21" s="76">
        <f>VLOOKUP(A21,[1]專案進度表!$B:$DT,21,FALSE)</f>
        <v>589.6</v>
      </c>
      <c r="K21" s="5">
        <f t="shared" si="2"/>
        <v>1.3160714285714286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6.5" x14ac:dyDescent="0.25">
      <c r="A22" s="59" t="s">
        <v>107</v>
      </c>
      <c r="B22" s="28" t="str">
        <f>VLOOKUP(A22,[1]總表!$A:$L,2,FALSE)</f>
        <v>EPH連板電測治具</v>
      </c>
      <c r="C22" s="2" t="str">
        <f>VLOOKUP(A22,[1]總表!$A:$L,3,FALSE)</f>
        <v>研發一處</v>
      </c>
      <c r="D22" s="2" t="str">
        <f>VLOOKUP(A22,[1]總表!$A:$L,4,FALSE)</f>
        <v>賴慶樺</v>
      </c>
      <c r="E22" s="3">
        <f>VLOOKUP(A22,[1]總表!$A:$L,6,FALSE)</f>
        <v>45862.666666666664</v>
      </c>
      <c r="F22" s="3">
        <f>VLOOKUP(A22,[1]總表!$A:$L,7,FALSE)</f>
        <v>46051.666666666664</v>
      </c>
      <c r="G22" s="4">
        <f>VLOOKUP(A22,[1]總表!$A:$L,8,FALSE)</f>
        <v>45866</v>
      </c>
      <c r="H22" s="4">
        <f>VLOOKUP(A22,[1]總表!$A:$L,9,FALSE)</f>
        <v>46049</v>
      </c>
      <c r="I22" s="76" t="str">
        <f>VLOOKUP(A22,[1]專案進度表!$B:$DJ,20,FALSE)</f>
        <v>未登入</v>
      </c>
      <c r="J22" s="76">
        <f>VLOOKUP(A22,[1]專案進度表!$B:$DT,21,FALSE)</f>
        <v>88</v>
      </c>
      <c r="K22" s="5" t="e">
        <f t="shared" si="2"/>
        <v>#VALUE!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6.5" x14ac:dyDescent="0.25">
      <c r="A23" s="59" t="s">
        <v>113</v>
      </c>
      <c r="B23" s="28" t="str">
        <f>VLOOKUP(A23,[1]總表!$A:$L,2,FALSE)</f>
        <v>申請量桶量槽製作資格</v>
      </c>
      <c r="C23" s="2" t="str">
        <f>VLOOKUP(A23,[1]總表!$A:$L,3,FALSE)</f>
        <v>研一部</v>
      </c>
      <c r="D23" s="2" t="str">
        <f>VLOOKUP(A23,[1]總表!$A:$L,4,FALSE)</f>
        <v>何昆達</v>
      </c>
      <c r="E23" s="3">
        <f>VLOOKUP(A23,[1]總表!$A:$L,6,FALSE)</f>
        <v>45886.666666666664</v>
      </c>
      <c r="F23" s="3">
        <f>VLOOKUP(A23,[1]總表!$A:$L,7,FALSE)</f>
        <v>46049.666666666664</v>
      </c>
      <c r="G23" s="4">
        <f>VLOOKUP(A23,[1]總表!$A:$L,8,FALSE)</f>
        <v>45887</v>
      </c>
      <c r="H23" s="4">
        <f>VLOOKUP(A23,[1]總表!$A:$L,9,FALSE)</f>
        <v>46052</v>
      </c>
      <c r="I23" s="103">
        <f>VLOOKUP(A23,[1]專案進度表!$B:$DJ,20,FALSE)</f>
        <v>184</v>
      </c>
      <c r="J23" s="103">
        <f>VLOOKUP(A23,[1]專案進度表!$B:$DT,21,FALSE)</f>
        <v>215.7</v>
      </c>
      <c r="K23" s="5">
        <f t="shared" ref="K23:K24" si="3">J23/I23</f>
        <v>1.1722826086956522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6.5" x14ac:dyDescent="0.25">
      <c r="A24" s="59" t="s">
        <v>118</v>
      </c>
      <c r="B24" s="28" t="str">
        <f>VLOOKUP(A24,[1]總表!$A:$L,2,FALSE)</f>
        <v>台大超音波探頭貼合技術技轉案</v>
      </c>
      <c r="C24" s="2" t="str">
        <f>VLOOKUP(A24,[1]總表!$A:$L,3,FALSE)</f>
        <v>研三部</v>
      </c>
      <c r="D24" s="2" t="str">
        <f>VLOOKUP(A24,[1]總表!$A:$L,4,FALSE)</f>
        <v>陳俊儒</v>
      </c>
      <c r="E24" s="3">
        <f>VLOOKUP(A24,[1]總表!$A:$L,6,FALSE)</f>
        <v>45900.666666666664</v>
      </c>
      <c r="F24" s="3">
        <f>VLOOKUP(A24,[1]總表!$A:$L,7,FALSE)</f>
        <v>45988.666666666664</v>
      </c>
      <c r="G24" s="4">
        <f>VLOOKUP(A24,[1]總表!$A:$L,8,FALSE)</f>
        <v>45939</v>
      </c>
      <c r="H24" s="4">
        <f>VLOOKUP(A24,[1]總表!$A:$L,9,FALSE)</f>
        <v>46030</v>
      </c>
      <c r="I24" s="103" t="str">
        <f>VLOOKUP(A24,[1]專案進度表!$B:$DJ,20,FALSE)</f>
        <v>未登入</v>
      </c>
      <c r="J24" s="103">
        <f>VLOOKUP(A24,[1]專案進度表!$B:$DT,21,FALSE)</f>
        <v>221.5</v>
      </c>
      <c r="K24" s="5" t="e">
        <f t="shared" si="3"/>
        <v>#VALUE!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7.25" customHeight="1" x14ac:dyDescent="0.25">
      <c r="A25" s="59" t="s">
        <v>105</v>
      </c>
      <c r="B25" s="28" t="str">
        <f>VLOOKUP(A25,[1]總表!$A:$L,2,FALSE)</f>
        <v>C級奧多曼電子水表先期研究</v>
      </c>
      <c r="C25" s="2" t="str">
        <f>VLOOKUP(A25,[1]總表!$A:$L,3,FALSE)</f>
        <v>產品開發</v>
      </c>
      <c r="D25" s="2" t="str">
        <f>VLOOKUP(A25,[1]總表!$A:$L,4,FALSE)</f>
        <v>鄭貫中</v>
      </c>
      <c r="E25" s="3">
        <f>VLOOKUP(A25,[1]總表!$A:$L,6,FALSE)</f>
        <v>45816.666666666664</v>
      </c>
      <c r="F25" s="3">
        <f>VLOOKUP(A25,[1]總表!$A:$L,7,FALSE)</f>
        <v>45883.666666666664</v>
      </c>
      <c r="G25" s="4">
        <f>VLOOKUP(A25,[1]總表!$A:$L,8,FALSE)</f>
        <v>45811</v>
      </c>
      <c r="H25" s="4">
        <f>VLOOKUP(A25,[1]總表!$A:$L,9,FALSE)</f>
        <v>46063</v>
      </c>
      <c r="I25" s="104">
        <f>VLOOKUP(A25,[1]專案進度表!$B:$DJ,20,FALSE)</f>
        <v>462</v>
      </c>
      <c r="J25" s="104">
        <f>VLOOKUP(A25,[1]專案進度表!$B:$DT,21,FALSE)</f>
        <v>855</v>
      </c>
      <c r="K25" s="5">
        <f t="shared" ref="K25" si="4">J25/I25</f>
        <v>1.8506493506493507</v>
      </c>
      <c r="L25" s="19" t="str">
        <f>VLOOKUP(A25,[1]總表!$A:$L,5,FALSE)</f>
        <v>Closed</v>
      </c>
      <c r="M25" s="2" t="str">
        <f ca="1">VLOOKUP(A25,[1]總表!$A:$M,13,FALSE)</f>
        <v/>
      </c>
      <c r="N25" s="4" t="str">
        <f>IF(VLOOKUP(A25,[1]PLM014!$B:$R,17,FALSE)=0,"",VLOOKUP(A25,[1]PLM014!$B:$R,17,FALSE))</f>
        <v/>
      </c>
      <c r="O25" s="42"/>
    </row>
    <row r="26" spans="1:15" ht="17.25" customHeight="1" x14ac:dyDescent="0.25">
      <c r="A26" s="59" t="s">
        <v>87</v>
      </c>
      <c r="B26" s="28" t="str">
        <f>VLOOKUP(A26,[1]總表!$A:$L,2,FALSE)</f>
        <v>一體式夾管超音波流量計(DN25)[RD4]</v>
      </c>
      <c r="C26" s="2" t="str">
        <f>VLOOKUP(A26,[1]總表!$A:$L,3,FALSE)</f>
        <v>研三部</v>
      </c>
      <c r="D26" s="2" t="str">
        <f>VLOOKUP(A26,[1]總表!$A:$L,4,FALSE)</f>
        <v>陳俊儒</v>
      </c>
      <c r="E26" s="3">
        <f>VLOOKUP(A26,[1]總表!$A:$L,6,FALSE)</f>
        <v>45536.666666666664</v>
      </c>
      <c r="F26" s="3">
        <f>VLOOKUP(A26,[1]總表!$A:$L,7,FALSE)</f>
        <v>45755.666666666664</v>
      </c>
      <c r="G26" s="4">
        <f>VLOOKUP(A26,[1]總表!$A:$L,8,FALSE)</f>
        <v>45537</v>
      </c>
      <c r="H26" s="4">
        <f>VLOOKUP(A26,[1]總表!$A:$L,9,FALSE)</f>
        <v>46078</v>
      </c>
      <c r="I26" s="117">
        <f>VLOOKUP(A26,[1]專案進度表!$B:$DJ,20,FALSE)</f>
        <v>1792</v>
      </c>
      <c r="J26" s="117">
        <f>VLOOKUP(A26,[1]專案進度表!$B:$DT,21,FALSE)</f>
        <v>7748.1</v>
      </c>
      <c r="K26" s="5">
        <f t="shared" ref="K26" si="5">J26/I26</f>
        <v>4.3237165178571431</v>
      </c>
      <c r="L26" s="19" t="str">
        <f>VLOOKUP(A26,[1]總表!$A:$L,5,FALSE)</f>
        <v>Closed</v>
      </c>
      <c r="M26" s="2" t="str">
        <f ca="1">VLOOKUP(A26,[1]總表!$A:$M,13,FALSE)</f>
        <v/>
      </c>
      <c r="N26" s="4" t="str">
        <f>IF(VLOOKUP(A26,[1]PLM014!$B:$R,17,FALSE)=0,"",VLOOKUP(A26,[1]PLM014!$B:$R,17,FALSE))</f>
        <v/>
      </c>
      <c r="O26" s="42"/>
    </row>
    <row r="27" spans="1:15" ht="17.25" customHeight="1" x14ac:dyDescent="0.25">
      <c r="A27" s="59" t="s">
        <v>132</v>
      </c>
      <c r="B27" s="28" t="str">
        <f>VLOOKUP(A27,[1]總表!$A:$L,2,FALSE)</f>
        <v>GPX 申請UL-61010認證</v>
      </c>
      <c r="C27" s="2" t="str">
        <f>VLOOKUP(A27,[1]總表!$A:$L,3,FALSE)</f>
        <v>研發一處</v>
      </c>
      <c r="D27" s="2" t="str">
        <f>VLOOKUP(A27,[1]總表!$A:$L,4,FALSE)</f>
        <v>賴慶樺</v>
      </c>
      <c r="E27" s="3">
        <f>VLOOKUP(A27,[1]總表!$A:$L,6,FALSE)</f>
        <v>46019.666666666664</v>
      </c>
      <c r="F27" s="3">
        <f>VLOOKUP(A27,[1]總表!$A:$L,7,FALSE)</f>
        <v>46111.666666666664</v>
      </c>
      <c r="G27" s="4">
        <f>VLOOKUP(A27,[1]總表!$A:$L,8,FALSE)</f>
        <v>46024</v>
      </c>
      <c r="H27" s="4">
        <f>VLOOKUP(A27,[1]總表!$A:$L,9,FALSE)</f>
        <v>46112</v>
      </c>
      <c r="I27" s="125">
        <f>VLOOKUP(A27,[1]專案進度表!$B:$DJ,20,FALSE)</f>
        <v>306</v>
      </c>
      <c r="J27" s="125">
        <f>VLOOKUP(A27,[1]專案進度表!$B:$DT,21,FALSE)</f>
        <v>264</v>
      </c>
      <c r="K27" s="5">
        <f t="shared" ref="K27" si="6">J27/I27</f>
        <v>0.86274509803921573</v>
      </c>
      <c r="L27" s="19" t="str">
        <f>VLOOKUP(A27,[1]總表!$A:$L,5,FALSE)</f>
        <v>Closed</v>
      </c>
      <c r="M27" s="2" t="str">
        <f ca="1">VLOOKUP(A27,[1]總表!$A:$M,13,FALSE)</f>
        <v/>
      </c>
      <c r="N27" s="4" t="str">
        <f>IF(VLOOKUP(A27,[1]PLM014!$B:$R,17,FALSE)=0,"",VLOOKUP(A27,[1]PLM014!$B:$R,17,FALSE))</f>
        <v/>
      </c>
      <c r="O27" s="42"/>
    </row>
    <row r="28" spans="1:15" ht="17.25" customHeight="1" x14ac:dyDescent="0.25">
      <c r="A28" s="61"/>
      <c r="B28" s="32"/>
      <c r="C28" s="21"/>
      <c r="D28" s="21"/>
      <c r="E28" s="22"/>
      <c r="F28" s="22"/>
      <c r="G28" s="23"/>
      <c r="H28" s="23"/>
      <c r="I28" s="24"/>
      <c r="J28" s="24"/>
      <c r="K28" s="25"/>
      <c r="L28" s="26"/>
      <c r="M28" s="21"/>
      <c r="N28" s="23"/>
      <c r="O28" s="79"/>
    </row>
    <row r="29" spans="1:15" ht="17.25" thickBot="1" x14ac:dyDescent="0.3">
      <c r="A29" s="61"/>
      <c r="B29" s="32"/>
      <c r="C29" s="21"/>
      <c r="D29" s="21"/>
      <c r="E29" s="22"/>
      <c r="F29" s="22"/>
      <c r="G29" s="23"/>
      <c r="H29" s="23"/>
      <c r="I29" s="24"/>
      <c r="J29" s="24"/>
      <c r="K29" s="25"/>
      <c r="L29" s="26"/>
      <c r="M29" s="21"/>
      <c r="N29" s="62"/>
      <c r="O29" s="27"/>
    </row>
    <row r="30" spans="1:15" ht="16.5" customHeight="1" x14ac:dyDescent="0.25">
      <c r="A30" s="155" t="s">
        <v>76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7"/>
    </row>
    <row r="31" spans="1:15" s="46" customFormat="1" ht="30.75" customHeight="1" x14ac:dyDescent="0.25">
      <c r="A31" s="47" t="s">
        <v>66</v>
      </c>
      <c r="B31" s="45" t="s">
        <v>67</v>
      </c>
      <c r="C31" s="45" t="s">
        <v>69</v>
      </c>
      <c r="D31" s="45" t="s">
        <v>77</v>
      </c>
      <c r="E31" s="45" t="s">
        <v>78</v>
      </c>
      <c r="F31" s="45" t="s">
        <v>73</v>
      </c>
      <c r="G31" s="137" t="s">
        <v>79</v>
      </c>
      <c r="H31" s="137"/>
      <c r="I31" s="137"/>
      <c r="J31" s="137"/>
      <c r="K31" s="137"/>
      <c r="L31" s="137"/>
      <c r="M31" s="137"/>
      <c r="N31" s="137"/>
      <c r="O31" s="158"/>
    </row>
    <row r="32" spans="1:15" ht="16.5" customHeight="1" x14ac:dyDescent="0.25">
      <c r="A32" s="48"/>
      <c r="B32" s="28"/>
      <c r="C32" s="2"/>
      <c r="D32" s="3"/>
      <c r="E32" s="3"/>
      <c r="F32" s="3"/>
      <c r="G32" s="132"/>
      <c r="H32" s="133"/>
      <c r="I32" s="133"/>
      <c r="J32" s="133"/>
      <c r="K32" s="133"/>
      <c r="L32" s="133"/>
      <c r="M32" s="133"/>
      <c r="N32" s="133"/>
      <c r="O32" s="134"/>
    </row>
    <row r="33" spans="1:15" ht="16.5" customHeight="1" x14ac:dyDescent="0.25">
      <c r="A33" s="48"/>
      <c r="B33" s="28"/>
      <c r="C33" s="2"/>
      <c r="D33" s="2"/>
      <c r="E33" s="3"/>
      <c r="F33" s="3"/>
      <c r="G33" s="132"/>
      <c r="H33" s="133"/>
      <c r="I33" s="133"/>
      <c r="J33" s="133"/>
      <c r="K33" s="133"/>
      <c r="L33" s="133"/>
      <c r="M33" s="133"/>
      <c r="N33" s="133"/>
      <c r="O33" s="134"/>
    </row>
    <row r="34" spans="1:15" ht="16.5" customHeight="1" thickBot="1" x14ac:dyDescent="0.3">
      <c r="A34" s="49"/>
      <c r="B34" s="50"/>
      <c r="C34" s="51"/>
      <c r="D34" s="51"/>
      <c r="E34" s="52"/>
      <c r="F34" s="52"/>
      <c r="G34" s="159"/>
      <c r="H34" s="160"/>
      <c r="I34" s="160"/>
      <c r="J34" s="160"/>
      <c r="K34" s="160"/>
      <c r="L34" s="160"/>
      <c r="M34" s="160"/>
      <c r="N34" s="160"/>
      <c r="O34" s="161"/>
    </row>
    <row r="35" spans="1:15" ht="9" customHeight="1" x14ac:dyDescent="0.25">
      <c r="A35" s="53"/>
      <c r="B35" s="54"/>
      <c r="C35" s="55"/>
      <c r="D35" s="55"/>
      <c r="E35" s="56"/>
      <c r="F35" s="56"/>
      <c r="G35" s="57"/>
      <c r="H35" s="57"/>
      <c r="I35" s="57"/>
      <c r="J35" s="57"/>
      <c r="K35" s="57"/>
      <c r="L35" s="57"/>
      <c r="M35" s="57"/>
      <c r="N35" s="57"/>
      <c r="O35" s="57"/>
    </row>
    <row r="36" spans="1:15" ht="17.25" thickBot="1" x14ac:dyDescent="0.3">
      <c r="A36" s="43"/>
      <c r="B36" s="32"/>
      <c r="C36" s="21"/>
      <c r="D36" s="21"/>
      <c r="E36" s="22"/>
      <c r="F36" s="22"/>
      <c r="G36" s="23"/>
      <c r="H36" s="23"/>
      <c r="I36" s="24"/>
      <c r="J36" s="24"/>
      <c r="K36" s="25"/>
      <c r="L36" s="26"/>
      <c r="M36" s="21"/>
      <c r="N36" s="62"/>
      <c r="O36" s="27"/>
    </row>
    <row r="37" spans="1:15" ht="13.5" x14ac:dyDescent="0.25">
      <c r="A37" s="155" t="s">
        <v>80</v>
      </c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7"/>
    </row>
    <row r="38" spans="1:15" s="46" customFormat="1" ht="22.5" x14ac:dyDescent="0.25">
      <c r="A38" s="47" t="s">
        <v>68</v>
      </c>
      <c r="B38" s="45" t="s">
        <v>75</v>
      </c>
      <c r="C38" s="45" t="s">
        <v>70</v>
      </c>
      <c r="D38" s="45" t="s">
        <v>71</v>
      </c>
      <c r="E38" s="45" t="s">
        <v>72</v>
      </c>
      <c r="F38" s="45" t="s">
        <v>73</v>
      </c>
      <c r="G38" s="137" t="s">
        <v>74</v>
      </c>
      <c r="H38" s="137"/>
      <c r="I38" s="137"/>
      <c r="J38" s="137"/>
      <c r="K38" s="137"/>
      <c r="L38" s="137"/>
      <c r="M38" s="137"/>
      <c r="N38" s="137"/>
      <c r="O38" s="158"/>
    </row>
    <row r="39" spans="1:15" ht="13.5" x14ac:dyDescent="0.25">
      <c r="A39" s="48"/>
      <c r="B39" s="28"/>
      <c r="C39" s="2"/>
      <c r="D39" s="2"/>
      <c r="E39" s="3"/>
      <c r="F39" s="3"/>
      <c r="G39" s="132"/>
      <c r="H39" s="133"/>
      <c r="I39" s="133"/>
      <c r="J39" s="133"/>
      <c r="K39" s="133"/>
      <c r="L39" s="133"/>
      <c r="M39" s="133"/>
      <c r="N39" s="133"/>
      <c r="O39" s="134"/>
    </row>
    <row r="40" spans="1:15" ht="13.5" x14ac:dyDescent="0.25">
      <c r="A40" s="48"/>
      <c r="B40" s="28"/>
      <c r="C40" s="2"/>
      <c r="D40" s="2"/>
      <c r="E40" s="3"/>
      <c r="F40" s="3"/>
      <c r="G40" s="132"/>
      <c r="H40" s="133"/>
      <c r="I40" s="133"/>
      <c r="J40" s="133"/>
      <c r="K40" s="133"/>
      <c r="L40" s="133"/>
      <c r="M40" s="133"/>
      <c r="N40" s="133"/>
      <c r="O40" s="134"/>
    </row>
    <row r="41" spans="1:15" ht="14.25" thickBot="1" x14ac:dyDescent="0.3">
      <c r="A41" s="49"/>
      <c r="B41" s="50"/>
      <c r="C41" s="51"/>
      <c r="D41" s="51"/>
      <c r="E41" s="52"/>
      <c r="F41" s="52"/>
      <c r="G41" s="159"/>
      <c r="H41" s="160"/>
      <c r="I41" s="160"/>
      <c r="J41" s="160"/>
      <c r="K41" s="160"/>
      <c r="L41" s="160"/>
      <c r="M41" s="160"/>
      <c r="N41" s="160"/>
      <c r="O41" s="161"/>
    </row>
    <row r="42" spans="1:15" ht="9" customHeight="1" x14ac:dyDescent="0.25">
      <c r="A42" s="53"/>
      <c r="B42" s="54"/>
      <c r="C42" s="55"/>
      <c r="D42" s="55"/>
      <c r="E42" s="56"/>
      <c r="F42" s="56"/>
      <c r="G42" s="57"/>
      <c r="H42" s="57"/>
      <c r="I42" s="57"/>
      <c r="J42" s="57"/>
      <c r="K42" s="57"/>
      <c r="L42" s="57"/>
      <c r="M42" s="57"/>
      <c r="N42" s="57"/>
      <c r="O42" s="57"/>
    </row>
    <row r="43" spans="1:15" ht="12" thickBot="1" x14ac:dyDescent="0.3">
      <c r="N43" s="22"/>
    </row>
    <row r="44" spans="1:15" s="11" customFormat="1" x14ac:dyDescent="0.25">
      <c r="A44" s="152" t="s">
        <v>40</v>
      </c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4"/>
      <c r="N44" s="22"/>
    </row>
    <row r="45" spans="1:15" ht="15" customHeight="1" x14ac:dyDescent="0.25">
      <c r="A45" s="10" t="s">
        <v>37</v>
      </c>
      <c r="B45" s="30" t="s">
        <v>38</v>
      </c>
      <c r="C45" s="17" t="s">
        <v>19</v>
      </c>
      <c r="D45" s="17" t="s">
        <v>20</v>
      </c>
      <c r="E45" s="146" t="s">
        <v>8</v>
      </c>
      <c r="F45" s="147"/>
      <c r="G45" s="147"/>
      <c r="H45" s="147"/>
      <c r="I45" s="147"/>
      <c r="J45" s="147"/>
      <c r="K45" s="147"/>
      <c r="L45" s="147"/>
      <c r="M45" s="148"/>
      <c r="N45" s="22"/>
    </row>
    <row r="46" spans="1:15" x14ac:dyDescent="0.25">
      <c r="A46" s="20" t="s">
        <v>53</v>
      </c>
      <c r="B46" s="31" t="str">
        <f>VLOOKUP(A46,[1]研發處人員資料!$B:$G,6,FALSE)</f>
        <v>處長</v>
      </c>
      <c r="C46" s="5"/>
      <c r="D46" s="5"/>
      <c r="E46" s="149"/>
      <c r="F46" s="150"/>
      <c r="G46" s="150"/>
      <c r="H46" s="150"/>
      <c r="I46" s="150"/>
      <c r="J46" s="150"/>
      <c r="K46" s="150"/>
      <c r="L46" s="150"/>
      <c r="M46" s="151"/>
      <c r="N46" s="22"/>
    </row>
    <row r="47" spans="1:15" x14ac:dyDescent="0.25">
      <c r="A47" s="38" t="s">
        <v>81</v>
      </c>
      <c r="B47" s="31" t="str">
        <f>VLOOKUP(A47,[1]研發處人員資料!$B:$G,6,FALSE)</f>
        <v>工程師</v>
      </c>
      <c r="C47" s="5">
        <f>VLOOKUP(A47,工時統計細目!$B:$D,2,FALSE)</f>
        <v>0.6875</v>
      </c>
      <c r="D47" s="5">
        <f>VLOOKUP(A47,工時統計細目!$B:$D,3,FALSE)</f>
        <v>0.3125</v>
      </c>
      <c r="E47" s="39"/>
      <c r="F47" s="40"/>
      <c r="G47" s="40"/>
      <c r="H47" s="40"/>
      <c r="I47" s="40"/>
      <c r="J47" s="40"/>
      <c r="K47" s="40"/>
      <c r="L47" s="40"/>
      <c r="M47" s="41"/>
      <c r="N47" s="23"/>
    </row>
    <row r="48" spans="1:15" x14ac:dyDescent="0.25">
      <c r="A48" s="20" t="s">
        <v>85</v>
      </c>
      <c r="B48" s="31" t="str">
        <f>VLOOKUP(A48,[1]研發處人員資料!$B:$G,6,FALSE)</f>
        <v>高級工程師</v>
      </c>
      <c r="C48" s="5">
        <f>VLOOKUP(A48,工時統計細目!$B:$D,2,FALSE)</f>
        <v>0.82499999999999996</v>
      </c>
      <c r="D48" s="5">
        <f>VLOOKUP(A48,工時統計細目!$B:$D,3,FALSE)</f>
        <v>0.17499999999999999</v>
      </c>
      <c r="E48" s="39"/>
      <c r="F48" s="40"/>
      <c r="G48" s="40"/>
      <c r="H48" s="40"/>
      <c r="I48" s="40"/>
      <c r="J48" s="40"/>
      <c r="K48" s="40"/>
      <c r="L48" s="40"/>
      <c r="M48" s="41"/>
      <c r="N48" s="23"/>
    </row>
    <row r="49" spans="1:14" x14ac:dyDescent="0.25">
      <c r="A49" s="20" t="s">
        <v>102</v>
      </c>
      <c r="B49" s="31" t="str">
        <f>VLOOKUP(A49,[1]研發處人員資料!$B:$G,6,FALSE)</f>
        <v>副工程師</v>
      </c>
      <c r="C49" s="5">
        <f>VLOOKUP(A49,工時統計細目!$B:$D,2,FALSE)</f>
        <v>0</v>
      </c>
      <c r="D49" s="5">
        <f>VLOOKUP(A49,工時統計細目!$B:$D,3,FALSE)</f>
        <v>1</v>
      </c>
      <c r="E49" s="39"/>
      <c r="F49" s="40"/>
      <c r="G49" s="40"/>
      <c r="H49" s="40"/>
      <c r="I49" s="40"/>
      <c r="J49" s="40"/>
      <c r="K49" s="40"/>
      <c r="L49" s="40"/>
      <c r="M49" s="41"/>
      <c r="N49" s="23"/>
    </row>
    <row r="50" spans="1:14" ht="12" thickBot="1" x14ac:dyDescent="0.3">
      <c r="A50" s="20"/>
      <c r="B50" s="31"/>
      <c r="C50" s="5"/>
      <c r="D50" s="5"/>
      <c r="E50" s="141"/>
      <c r="F50" s="142"/>
      <c r="G50" s="142"/>
      <c r="H50" s="142"/>
      <c r="I50" s="142"/>
      <c r="J50" s="142"/>
      <c r="K50" s="142"/>
      <c r="L50" s="142"/>
      <c r="M50" s="143"/>
      <c r="N50" s="23"/>
    </row>
    <row r="51" spans="1:14" ht="15.75" customHeight="1" x14ac:dyDescent="0.25">
      <c r="A51" s="140" t="s">
        <v>39</v>
      </c>
      <c r="B51" s="140"/>
      <c r="C51" s="12">
        <f>AVERAGE(C46:C50)</f>
        <v>0.50416666666666665</v>
      </c>
      <c r="D51" s="12">
        <f>AVERAGE(D46:D50)</f>
        <v>0.49583333333333335</v>
      </c>
      <c r="E51" s="9"/>
    </row>
    <row r="53" spans="1:14" x14ac:dyDescent="0.25">
      <c r="C53" s="9"/>
    </row>
  </sheetData>
  <autoFilter ref="A3:O22" xr:uid="{00000000-0009-0000-0000-000000000000}"/>
  <mergeCells count="29">
    <mergeCell ref="A51:B51"/>
    <mergeCell ref="E50:M50"/>
    <mergeCell ref="M2:M3"/>
    <mergeCell ref="I2:K2"/>
    <mergeCell ref="E45:M45"/>
    <mergeCell ref="E46:M46"/>
    <mergeCell ref="A44:M44"/>
    <mergeCell ref="A30:O30"/>
    <mergeCell ref="A37:O37"/>
    <mergeCell ref="G31:O31"/>
    <mergeCell ref="G41:O41"/>
    <mergeCell ref="G38:O38"/>
    <mergeCell ref="G32:O32"/>
    <mergeCell ref="G33:O33"/>
    <mergeCell ref="G34:O34"/>
    <mergeCell ref="G39:O39"/>
    <mergeCell ref="G40:O40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43:N46 M36 M4:M11 M24:M29 M15:M22">
    <cfRule type="cellIs" dxfId="20" priority="58" operator="equal">
      <formula>"專案即將異常"</formula>
    </cfRule>
    <cfRule type="notContainsBlanks" dxfId="19" priority="59">
      <formula>LEN(TRIM(M2))&gt;0</formula>
    </cfRule>
  </conditionalFormatting>
  <conditionalFormatting sqref="K2 J70:J1048576 J54 G54 H51 J43 K36 E46:E51 K4:K11 K24:K29 K15:K22">
    <cfRule type="cellIs" dxfId="18" priority="55" operator="greaterThan">
      <formula>1</formula>
    </cfRule>
  </conditionalFormatting>
  <conditionalFormatting sqref="L36 L4:L11 L24:L29 L15:L22">
    <cfRule type="cellIs" dxfId="17" priority="51" operator="equal">
      <formula>"Cancelled"</formula>
    </cfRule>
    <cfRule type="cellIs" dxfId="16" priority="52" operator="equal">
      <formula>"Closed"</formula>
    </cfRule>
  </conditionalFormatting>
  <conditionalFormatting sqref="M23">
    <cfRule type="cellIs" dxfId="15" priority="14" operator="equal">
      <formula>"專案即將異常"</formula>
    </cfRule>
    <cfRule type="notContainsBlanks" dxfId="14" priority="15">
      <formula>LEN(TRIM(M23))&gt;0</formula>
    </cfRule>
  </conditionalFormatting>
  <conditionalFormatting sqref="K23">
    <cfRule type="cellIs" dxfId="13" priority="13" operator="greaterThan">
      <formula>1</formula>
    </cfRule>
  </conditionalFormatting>
  <conditionalFormatting sqref="L23">
    <cfRule type="cellIs" dxfId="12" priority="11" operator="equal">
      <formula>"Cancelled"</formula>
    </cfRule>
    <cfRule type="cellIs" dxfId="11" priority="12" operator="equal">
      <formula>"Closed"</formula>
    </cfRule>
  </conditionalFormatting>
  <conditionalFormatting sqref="M12:M14">
    <cfRule type="cellIs" dxfId="10" priority="4" operator="equal">
      <formula>"專案即將異常"</formula>
    </cfRule>
    <cfRule type="notContainsBlanks" dxfId="9" priority="5">
      <formula>LEN(TRIM(M12))&gt;0</formula>
    </cfRule>
  </conditionalFormatting>
  <conditionalFormatting sqref="K12:K14">
    <cfRule type="cellIs" dxfId="8" priority="3" operator="greaterThan">
      <formula>1</formula>
    </cfRule>
  </conditionalFormatting>
  <conditionalFormatting sqref="L12:L14">
    <cfRule type="cellIs" dxfId="7" priority="1" operator="equal">
      <formula>"Cancelled"</formula>
    </cfRule>
    <cfRule type="cellIs" dxfId="6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2"/>
  <sheetViews>
    <sheetView workbookViewId="0">
      <selection activeCell="B15" sqref="B1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7" t="s">
        <v>32</v>
      </c>
      <c r="B2" s="167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46156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46162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72" t="s">
        <v>49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</row>
    <row r="6" spans="1:23" ht="16.5" customHeight="1" x14ac:dyDescent="0.25">
      <c r="A6" s="168" t="s">
        <v>0</v>
      </c>
      <c r="B6" s="137" t="s">
        <v>1</v>
      </c>
      <c r="C6" s="169" t="s">
        <v>51</v>
      </c>
      <c r="D6" s="137" t="s">
        <v>2</v>
      </c>
      <c r="E6" s="145" t="s">
        <v>47</v>
      </c>
      <c r="F6" s="145"/>
      <c r="G6" s="145"/>
      <c r="H6" s="163" t="s">
        <v>52</v>
      </c>
      <c r="I6" s="163"/>
      <c r="J6" s="163"/>
      <c r="K6" s="163"/>
      <c r="L6" s="164" t="s">
        <v>82</v>
      </c>
      <c r="M6" s="165"/>
      <c r="N6" s="165"/>
      <c r="O6" s="166"/>
      <c r="P6" s="164" t="s">
        <v>85</v>
      </c>
      <c r="Q6" s="165"/>
      <c r="R6" s="165"/>
      <c r="S6" s="166"/>
      <c r="T6" s="164" t="s">
        <v>102</v>
      </c>
      <c r="U6" s="165"/>
      <c r="V6" s="165"/>
      <c r="W6" s="166"/>
    </row>
    <row r="7" spans="1:23" ht="16.5" customHeight="1" x14ac:dyDescent="0.25">
      <c r="A7" s="168"/>
      <c r="B7" s="137"/>
      <c r="C7" s="170"/>
      <c r="D7" s="137"/>
      <c r="E7" s="145"/>
      <c r="F7" s="145"/>
      <c r="G7" s="145"/>
      <c r="H7" s="162" t="str">
        <f>VLOOKUP(H6,[1]研發處人員資料!$B:$G,6,FALSE)</f>
        <v>處長</v>
      </c>
      <c r="I7" s="162"/>
      <c r="J7" s="162"/>
      <c r="K7" s="162"/>
      <c r="L7" s="162" t="str">
        <f>VLOOKUP(L6,[1]研發處人員資料!$B:$G,6,FALSE)</f>
        <v>工程師</v>
      </c>
      <c r="M7" s="162"/>
      <c r="N7" s="162"/>
      <c r="O7" s="162"/>
      <c r="P7" s="162" t="str">
        <f>VLOOKUP(P6,[1]研發處人員資料!$B:$G,6,FALSE)</f>
        <v>高級工程師</v>
      </c>
      <c r="Q7" s="162"/>
      <c r="R7" s="162"/>
      <c r="S7" s="162"/>
      <c r="T7" s="162" t="str">
        <f>VLOOKUP(T6,[1]研發處人員資料!$B:$G,6,FALSE)</f>
        <v>副工程師</v>
      </c>
      <c r="U7" s="162"/>
      <c r="V7" s="162"/>
      <c r="W7" s="162"/>
    </row>
    <row r="8" spans="1:23" ht="22.5" x14ac:dyDescent="0.25">
      <c r="A8" s="168"/>
      <c r="B8" s="137"/>
      <c r="C8" s="171"/>
      <c r="D8" s="137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88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7" si="0">SUMIF($H$8:$O$8,E$8,H9:O9)</f>
        <v>0</v>
      </c>
      <c r="F9" s="35">
        <f t="shared" ref="F9:F27" si="1">SUMIF($H$8:$O$8,F$8,H9:O9)</f>
        <v>0</v>
      </c>
      <c r="G9" s="5" t="e">
        <f t="shared" ref="G9:G24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4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4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7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9" si="6">U9+V9</f>
        <v>0</v>
      </c>
    </row>
    <row r="10" spans="1:23" x14ac:dyDescent="0.15">
      <c r="A10" s="59" t="s">
        <v>92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180</v>
      </c>
      <c r="B11" s="15" t="str">
        <f>VLOOKUP(A11,[1]專案進度表!B:DT,2,FALSE)</f>
        <v>2026年程式碼審查1st</v>
      </c>
      <c r="C11" s="15" t="str">
        <f>VLOOKUP(A11,[1]總表!$A:$L,3,FALSE)</f>
        <v>技術中心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181</v>
      </c>
      <c r="B12" s="15" t="str">
        <f>VLOOKUP(A12,[1]專案進度表!B:DT,2,FALSE)</f>
        <v>HART dd先期研究案</v>
      </c>
      <c r="C12" s="15" t="str">
        <f>VLOOKUP(A12,[1]總表!$A:$L,3,FALSE)</f>
        <v>技術中心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205</v>
      </c>
      <c r="B13" s="15" t="str">
        <f>VLOOKUP(A13,[1]專案進度表!B:DT,2,FALSE)</f>
        <v>倉溫物料雙感測器+FineLink優化</v>
      </c>
      <c r="C13" s="15" t="str">
        <f>VLOOKUP(A13,[1]總表!$A:$L,3,FALSE)</f>
        <v>研發一處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211</v>
      </c>
      <c r="B14" s="15" t="str">
        <f>VLOOKUP(A14,[1]專案進度表!B:DT,2,FALSE)</f>
        <v>音叉式開關優化</v>
      </c>
      <c r="C14" s="15" t="str">
        <f>VLOOKUP(A14,[1]總表!$A:$L,3,FALSE)</f>
        <v>研發一處</v>
      </c>
      <c r="D14" s="2" t="str">
        <f>VLOOKUP(A14,[1]總表!$A:$L,5,FALSE)</f>
        <v>Active</v>
      </c>
      <c r="E14" s="127">
        <f t="shared" ref="E14:E16" si="7">SUMIF($H$8:$O$8,E$8,H14:O14)</f>
        <v>0</v>
      </c>
      <c r="F14" s="127">
        <f t="shared" ref="F14:F16" si="8">SUMIF($H$8:$O$8,F$8,H14:O14)</f>
        <v>0</v>
      </c>
      <c r="G14" s="5" t="e">
        <f t="shared" ref="G14:G16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:K16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:O16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:S16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:W16" si="13">U14+V14</f>
        <v>0</v>
      </c>
    </row>
    <row r="15" spans="1:23" ht="16.5" customHeight="1" x14ac:dyDescent="0.15">
      <c r="A15" s="59" t="s">
        <v>212</v>
      </c>
      <c r="B15" s="15" t="str">
        <f>VLOOKUP(A15,[1]專案進度表!B:DT,2,FALSE)</f>
        <v>熱質流量開關優化</v>
      </c>
      <c r="C15" s="15" t="str">
        <f>VLOOKUP(A15,[1]總表!$A:$L,3,FALSE)</f>
        <v>研一部</v>
      </c>
      <c r="D15" s="2" t="str">
        <f>VLOOKUP(A15,[1]總表!$A:$L,5,FALSE)</f>
        <v>Active</v>
      </c>
      <c r="E15" s="127">
        <f t="shared" si="7"/>
        <v>0</v>
      </c>
      <c r="F15" s="127">
        <f t="shared" si="8"/>
        <v>0</v>
      </c>
      <c r="G15" s="5" t="e">
        <f t="shared" si="9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10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11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12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13"/>
        <v>0</v>
      </c>
    </row>
    <row r="16" spans="1:23" ht="16.5" customHeight="1" x14ac:dyDescent="0.15">
      <c r="A16" s="59" t="s">
        <v>213</v>
      </c>
      <c r="B16" s="15" t="str">
        <f>VLOOKUP(A16,[1]專案進度表!B:DT,2,FALSE)</f>
        <v>[測試]同任務掛2個以上的負責人</v>
      </c>
      <c r="C16" s="15" t="str">
        <f>VLOOKUP(A16,[1]總表!$A:$L,3,FALSE)</f>
        <v>研三部</v>
      </c>
      <c r="D16" s="2" t="str">
        <f>VLOOKUP(A16,[1]總表!$A:$L,5,FALSE)</f>
        <v>Active</v>
      </c>
      <c r="E16" s="127">
        <f t="shared" si="7"/>
        <v>0</v>
      </c>
      <c r="F16" s="127">
        <f t="shared" si="8"/>
        <v>0</v>
      </c>
      <c r="G16" s="5" t="e">
        <f t="shared" si="9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10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11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12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13"/>
        <v>0</v>
      </c>
    </row>
    <row r="17" spans="1:23" ht="16.5" customHeight="1" x14ac:dyDescent="0.15">
      <c r="A17" s="59" t="s">
        <v>91</v>
      </c>
      <c r="B17" s="15" t="str">
        <f>VLOOKUP(A17,[1]專案進度表!B:DT,2,FALSE)</f>
        <v>PCB濕製程用插入式壓力感測器</v>
      </c>
      <c r="C17" s="15" t="str">
        <f>VLOOKUP(A17,[1]總表!$A:$L,3,FALSE)</f>
        <v>研一部</v>
      </c>
      <c r="D17" s="2" t="str">
        <f>VLOOKUP(A17,[1]總表!$A:$L,5,FALSE)</f>
        <v>Active</v>
      </c>
      <c r="E17" s="80">
        <f t="shared" ref="E17" si="14">SUMIF($H$8:$O$8,E$8,H17:O17)</f>
        <v>0</v>
      </c>
      <c r="F17" s="80">
        <f t="shared" ref="F17" si="15">SUMIF($H$8:$O$8,F$8,H17:O17)</f>
        <v>0</v>
      </c>
      <c r="G17" s="5" t="e">
        <f t="shared" ref="G17" si="16">F17/E17</f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ref="K17" si="17">I17+J17</f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ref="O17" si="18">M17+N17</f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ref="S17" si="19">Q17+R17</f>
        <v>0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0</v>
      </c>
      <c r="V17" s="13">
        <f>SUMIFS([1]PLM002!$K:$K,[1]PLM002!$J:$J,"&gt;="&amp;$B$3,[1]PLM002!$J:$J,"&lt;="&amp;$B$4,[1]PLM002!$F:$F,$A17,[1]PLM002!$C:$C,T$6)</f>
        <v>0</v>
      </c>
      <c r="W17" s="13">
        <f t="shared" ref="W17" si="20">U17+V17</f>
        <v>0</v>
      </c>
    </row>
    <row r="18" spans="1:23" ht="16.5" customHeight="1" x14ac:dyDescent="0.15">
      <c r="A18" s="59" t="s">
        <v>198</v>
      </c>
      <c r="B18" s="15" t="str">
        <f>VLOOKUP(A18,[1]專案進度表!B:DT,2,FALSE)</f>
        <v>C級奧多曼電子水量計</v>
      </c>
      <c r="C18" s="15" t="str">
        <f>VLOOKUP(A18,[1]總表!$A:$L,3,FALSE)</f>
        <v>產品開發</v>
      </c>
      <c r="D18" s="2" t="str">
        <f>VLOOKUP(A18,[1]總表!$A:$L,5,FALSE)</f>
        <v>Active</v>
      </c>
      <c r="E18" s="44">
        <f t="shared" si="0"/>
        <v>0</v>
      </c>
      <c r="F18" s="44">
        <f t="shared" si="1"/>
        <v>0</v>
      </c>
      <c r="G18" s="5" t="e">
        <f t="shared" si="2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0</v>
      </c>
      <c r="V18" s="13">
        <f>SUMIFS([1]PLM002!$K:$K,[1]PLM002!$J:$J,"&gt;="&amp;$B$3,[1]PLM002!$J:$J,"&lt;="&amp;$B$4,[1]PLM002!$F:$F,$A18,[1]PLM002!$C:$C,T$6)</f>
        <v>0</v>
      </c>
      <c r="W18" s="13">
        <f t="shared" si="6"/>
        <v>0</v>
      </c>
    </row>
    <row r="19" spans="1:23" ht="16.5" customHeight="1" x14ac:dyDescent="0.15">
      <c r="A19" s="59" t="s">
        <v>133</v>
      </c>
      <c r="B19" s="15" t="str">
        <f>VLOOKUP(A19,[1]專案進度表!B:DT,2,FALSE)</f>
        <v>EPH水量計型式認證技術規範CNPA49第4版結構驗證與改善</v>
      </c>
      <c r="C19" s="15" t="str">
        <f>VLOOKUP(A19,[1]總表!$A:$L,3,FALSE)</f>
        <v>產品開發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6"/>
        <v>0</v>
      </c>
    </row>
    <row r="20" spans="1:23" x14ac:dyDescent="0.15">
      <c r="A20" s="59" t="s">
        <v>152</v>
      </c>
      <c r="B20" s="15" t="str">
        <f>VLOOKUP(A20,[1]專案進度表!B:DT,2,FALSE)</f>
        <v>精巧型電磁流量計</v>
      </c>
      <c r="C20" s="15" t="str">
        <f>VLOOKUP(A20,[1]總表!$A:$L,3,FALSE)</f>
        <v>研三部</v>
      </c>
      <c r="D20" s="2" t="str">
        <f>VLOOKUP(A20,[1]總表!$A:$L,5,FALSE)</f>
        <v>Active</v>
      </c>
      <c r="E20" s="44">
        <f t="shared" si="0"/>
        <v>329</v>
      </c>
      <c r="F20" s="44">
        <f t="shared" si="1"/>
        <v>562</v>
      </c>
      <c r="G20" s="5">
        <f t="shared" si="2"/>
        <v>1.7082066869300911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0</v>
      </c>
      <c r="L20" s="13">
        <f>SUMIFS('[1]PLM001-財務計算用'!$P:$P,'[1]PLM001-財務計算用'!$N:$N,"&lt;"&amp;$B$4,'[1]PLM001-財務計算用'!$A:$A,$A20,'[1]PLM001-財務計算用'!$J:$J,L$6)</f>
        <v>329</v>
      </c>
      <c r="M20" s="13">
        <f>SUMIFS([1]PLM002!$K:$K,[1]PLM002!$J:$J,"&lt;"&amp;$B$3,[1]PLM002!$F:$F,$A20,[1]PLM002!$C:$C,L$6)</f>
        <v>534.5</v>
      </c>
      <c r="N20" s="13">
        <f>SUMIFS([1]PLM002!$K:$K,[1]PLM002!$J:$J,"&gt;="&amp;$B$3,[1]PLM002!$J:$J,"&lt;="&amp;$B$4,[1]PLM002!$F:$F,$A20,[1]PLM002!$C:$C,L$6)</f>
        <v>27.5</v>
      </c>
      <c r="O20" s="13">
        <f t="shared" si="4"/>
        <v>562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28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28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64</v>
      </c>
      <c r="V20" s="13">
        <f>SUMIFS([1]PLM002!$K:$K,[1]PLM002!$J:$J,"&gt;="&amp;$B$3,[1]PLM002!$J:$J,"&lt;="&amp;$B$4,[1]PLM002!$F:$F,$A20,[1]PLM002!$C:$C,T$6)</f>
        <v>0</v>
      </c>
      <c r="W20" s="13">
        <f t="shared" ref="W20:W27" si="21">U20+V20</f>
        <v>64</v>
      </c>
    </row>
    <row r="21" spans="1:23" x14ac:dyDescent="0.15">
      <c r="A21" s="59" t="s">
        <v>89</v>
      </c>
      <c r="B21" s="15" t="str">
        <f>VLOOKUP(A21,[1]專案進度表!B:DT,2,FALSE)</f>
        <v>PVD二口二位閥展型(DN15、DN20)</v>
      </c>
      <c r="C21" s="15" t="str">
        <f>VLOOKUP(A21,[1]總表!$A:$L,3,FALSE)</f>
        <v>產品開發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0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0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0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0</v>
      </c>
      <c r="V21" s="13">
        <f>SUMIFS([1]PLM002!$K:$K,[1]PLM002!$J:$J,"&gt;="&amp;$B$3,[1]PLM002!$J:$J,"&lt;="&amp;$B$4,[1]PLM002!$F:$F,$A21,[1]PLM002!$C:$C,T$6)</f>
        <v>0</v>
      </c>
      <c r="W21" s="13">
        <f t="shared" si="21"/>
        <v>0</v>
      </c>
    </row>
    <row r="22" spans="1:23" x14ac:dyDescent="0.15">
      <c r="A22" s="59" t="s">
        <v>95</v>
      </c>
      <c r="B22" s="15" t="str">
        <f>VLOOKUP(A22,[1]專案進度表!B:DT,2,FALSE)</f>
        <v>工業爆炸環境防爆型音叉感測器</v>
      </c>
      <c r="C22" s="15" t="str">
        <f>VLOOKUP(A22,[1]總表!$A:$L,3,FALSE)</f>
        <v>研二部</v>
      </c>
      <c r="D22" s="2" t="str">
        <f>VLOOKUP(A22,[1]總表!$A:$L,5,FALSE)</f>
        <v>Active</v>
      </c>
      <c r="E22" s="44">
        <f t="shared" si="0"/>
        <v>0</v>
      </c>
      <c r="F22" s="44">
        <f t="shared" si="1"/>
        <v>0</v>
      </c>
      <c r="G22" s="5" t="e">
        <f t="shared" si="2"/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si="3"/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0</v>
      </c>
      <c r="N22" s="13">
        <f>SUMIFS([1]PLM002!$K:$K,[1]PLM002!$J:$J,"&gt;="&amp;$B$3,[1]PLM002!$J:$J,"&lt;="&amp;$B$4,[1]PLM002!$F:$F,$A22,[1]PLM002!$C:$C,L$6)</f>
        <v>0</v>
      </c>
      <c r="O22" s="13">
        <f t="shared" si="4"/>
        <v>0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0</v>
      </c>
      <c r="V22" s="13">
        <f>SUMIFS([1]PLM002!$K:$K,[1]PLM002!$J:$J,"&gt;="&amp;$B$3,[1]PLM002!$J:$J,"&lt;="&amp;$B$4,[1]PLM002!$F:$F,$A22,[1]PLM002!$C:$C,T$6)</f>
        <v>0</v>
      </c>
      <c r="W22" s="13">
        <f t="shared" si="21"/>
        <v>0</v>
      </c>
    </row>
    <row r="23" spans="1:23" x14ac:dyDescent="0.15">
      <c r="A23" s="59" t="s">
        <v>97</v>
      </c>
      <c r="B23" s="15" t="str">
        <f>VLOOKUP(A23,[1]專案進度表!B:DT,2,FALSE)</f>
        <v>一體型電磁流量計北美多重防爆認證</v>
      </c>
      <c r="C23" s="15" t="str">
        <f>VLOOKUP(A23,[1]總表!$A:$L,3,FALSE)</f>
        <v>研發一處</v>
      </c>
      <c r="D23" s="2" t="str">
        <f>VLOOKUP(A23,[1]總表!$A:$L,5,FALSE)</f>
        <v>Active</v>
      </c>
      <c r="E23" s="44">
        <f t="shared" si="0"/>
        <v>0</v>
      </c>
      <c r="F23" s="44">
        <f t="shared" si="1"/>
        <v>198.5</v>
      </c>
      <c r="G23" s="5" t="e">
        <f t="shared" si="2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191</v>
      </c>
      <c r="J23" s="13">
        <f>SUMIFS([1]PLM002!$K:$K,[1]PLM002!$J:$J,"&gt;="&amp;$B$3,[1]PLM002!$J:$J,"&lt;="&amp;$B$4,[1]PLM002!$F:$F,$A23,[1]PLM002!$C:$C,H$6)</f>
        <v>0</v>
      </c>
      <c r="K23" s="13">
        <f t="shared" si="3"/>
        <v>191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7.5</v>
      </c>
      <c r="N23" s="13">
        <f>SUMIFS([1]PLM002!$K:$K,[1]PLM002!$J:$J,"&gt;="&amp;$B$3,[1]PLM002!$J:$J,"&lt;="&amp;$B$4,[1]PLM002!$F:$F,$A23,[1]PLM002!$C:$C,L$6)</f>
        <v>0</v>
      </c>
      <c r="O23" s="13">
        <f t="shared" si="4"/>
        <v>7.5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124</v>
      </c>
      <c r="U23" s="13">
        <f>SUMIFS([1]PLM002!$K:$K,[1]PLM002!$J:$J,"&lt;"&amp;$B$3,[1]PLM002!$F:$F,$A23,[1]PLM002!$C:$C,T$6)</f>
        <v>210</v>
      </c>
      <c r="V23" s="13">
        <f>SUMIFS([1]PLM002!$K:$K,[1]PLM002!$J:$J,"&gt;="&amp;$B$3,[1]PLM002!$J:$J,"&lt;="&amp;$B$4,[1]PLM002!$F:$F,$A23,[1]PLM002!$C:$C,T$6)</f>
        <v>0</v>
      </c>
      <c r="W23" s="13">
        <f t="shared" si="21"/>
        <v>210</v>
      </c>
    </row>
    <row r="24" spans="1:23" x14ac:dyDescent="0.15">
      <c r="A24" s="59" t="s">
        <v>103</v>
      </c>
      <c r="B24" s="15" t="str">
        <f>VLOOKUP(A24,[1]專案進度表!B:DT,2,FALSE)</f>
        <v>軌道型顯示器夾管式超音波流量計</v>
      </c>
      <c r="C24" s="15" t="str">
        <f>VLOOKUP(A24,[1]總表!$A:$L,3,FALSE)</f>
        <v>研三部</v>
      </c>
      <c r="D24" s="2" t="str">
        <f>VLOOKUP(A24,[1]總表!$A:$L,5,FALSE)</f>
        <v>Active</v>
      </c>
      <c r="E24" s="44">
        <f t="shared" si="0"/>
        <v>526</v>
      </c>
      <c r="F24" s="44">
        <f t="shared" si="1"/>
        <v>38.5</v>
      </c>
      <c r="G24" s="5">
        <f t="shared" si="2"/>
        <v>7.3193916349809887E-2</v>
      </c>
      <c r="H24" s="13">
        <f>SUMIFS('[1]PLM001-財務計算用'!$P:$P,'[1]PLM001-財務計算用'!$N:$N,"&lt;"&amp;$B$4,'[1]PLM001-財務計算用'!$A:$A,$A24,'[1]PLM001-財務計算用'!$J:$J,H$6)</f>
        <v>304</v>
      </c>
      <c r="I24" s="13">
        <f>SUMIFS([1]PLM002!$K:$K,[1]PLM002!$J:$J,"&lt;"&amp;$B$3,[1]PLM002!$F:$F,$A24,[1]PLM002!$C:$C,H$6)</f>
        <v>33.5</v>
      </c>
      <c r="J24" s="13">
        <f>SUMIFS([1]PLM002!$K:$K,[1]PLM002!$J:$J,"&gt;="&amp;$B$3,[1]PLM002!$J:$J,"&lt;="&amp;$B$4,[1]PLM002!$F:$F,$A24,[1]PLM002!$C:$C,H$6)</f>
        <v>0</v>
      </c>
      <c r="K24" s="13">
        <f t="shared" si="3"/>
        <v>33.5</v>
      </c>
      <c r="L24" s="13">
        <f>SUMIFS('[1]PLM001-財務計算用'!$P:$P,'[1]PLM001-財務計算用'!$N:$N,"&lt;"&amp;$B$4,'[1]PLM001-財務計算用'!$A:$A,$A24,'[1]PLM001-財務計算用'!$J:$J,L$6)</f>
        <v>222</v>
      </c>
      <c r="M24" s="13">
        <f>SUMIFS([1]PLM002!$K:$K,[1]PLM002!$J:$J,"&lt;"&amp;$B$3,[1]PLM002!$F:$F,$A24,[1]PLM002!$C:$C,L$6)</f>
        <v>5</v>
      </c>
      <c r="N24" s="13">
        <f>SUMIFS([1]PLM002!$K:$K,[1]PLM002!$J:$J,"&gt;="&amp;$B$3,[1]PLM002!$J:$J,"&lt;="&amp;$B$4,[1]PLM002!$F:$F,$A24,[1]PLM002!$C:$C,L$6)</f>
        <v>0</v>
      </c>
      <c r="O24" s="13">
        <f t="shared" si="4"/>
        <v>5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470</v>
      </c>
      <c r="V24" s="13">
        <f>SUMIFS([1]PLM002!$K:$K,[1]PLM002!$J:$J,"&gt;="&amp;$B$3,[1]PLM002!$J:$J,"&lt;="&amp;$B$4,[1]PLM002!$F:$F,$A24,[1]PLM002!$C:$C,T$6)</f>
        <v>0</v>
      </c>
      <c r="W24" s="13">
        <f t="shared" si="21"/>
        <v>470</v>
      </c>
    </row>
    <row r="25" spans="1:23" x14ac:dyDescent="0.15">
      <c r="A25" s="59" t="s">
        <v>119</v>
      </c>
      <c r="B25" s="15" t="str">
        <f>VLOOKUP(A25,[1]專案進度表!B:DT,2,FALSE)</f>
        <v>SDX緊湊型光電開關設計</v>
      </c>
      <c r="C25" s="15" t="str">
        <f>VLOOKUP(A25,[1]總表!$A:$L,3,FALSE)</f>
        <v>研二部</v>
      </c>
      <c r="D25" s="2" t="str">
        <f>VLOOKUP(A25,[1]總表!$A:$L,5,FALSE)</f>
        <v>Active</v>
      </c>
      <c r="E25" s="74">
        <f t="shared" si="0"/>
        <v>0</v>
      </c>
      <c r="F25" s="74">
        <f t="shared" si="1"/>
        <v>0</v>
      </c>
      <c r="G25" s="5" t="e">
        <f t="shared" ref="G25:G27" si="22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7" si="23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7" si="24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si="5"/>
        <v>0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0</v>
      </c>
      <c r="V25" s="13">
        <f>SUMIFS([1]PLM002!$K:$K,[1]PLM002!$J:$J,"&gt;="&amp;$B$3,[1]PLM002!$J:$J,"&lt;="&amp;$B$4,[1]PLM002!$F:$F,$A25,[1]PLM002!$C:$C,T$6)</f>
        <v>0</v>
      </c>
      <c r="W25" s="13">
        <f t="shared" si="21"/>
        <v>0</v>
      </c>
    </row>
    <row r="26" spans="1:23" x14ac:dyDescent="0.15">
      <c r="A26" s="59" t="s">
        <v>114</v>
      </c>
      <c r="B26" s="15" t="str">
        <f>VLOOKUP(A26,[1]專案進度表!B:DT,2,FALSE)</f>
        <v>2025年度-硬體模組化專案</v>
      </c>
      <c r="C26" s="15" t="str">
        <f>VLOOKUP(A26,[1]總表!$A:$L,3,FALSE)</f>
        <v>研二部</v>
      </c>
      <c r="D26" s="2" t="str">
        <f>VLOOKUP(A26,[1]總表!$A:$L,5,FALSE)</f>
        <v>Closed</v>
      </c>
      <c r="E26" s="75">
        <f t="shared" si="0"/>
        <v>40</v>
      </c>
      <c r="F26" s="75">
        <f t="shared" si="1"/>
        <v>57.5</v>
      </c>
      <c r="G26" s="5">
        <f t="shared" si="22"/>
        <v>1.4375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3"/>
        <v>0</v>
      </c>
      <c r="L26" s="13">
        <f>SUMIFS('[1]PLM001-財務計算用'!$P:$P,'[1]PLM001-財務計算用'!$N:$N,"&lt;"&amp;$B$4,'[1]PLM001-財務計算用'!$A:$A,$A26,'[1]PLM001-財務計算用'!$J:$J,L$6)</f>
        <v>40</v>
      </c>
      <c r="M26" s="13">
        <f>SUMIFS([1]PLM002!$K:$K,[1]PLM002!$J:$J,"&lt;"&amp;$B$3,[1]PLM002!$F:$F,$A26,[1]PLM002!$C:$C,L$6)</f>
        <v>57.5</v>
      </c>
      <c r="N26" s="13">
        <f>SUMIFS([1]PLM002!$K:$K,[1]PLM002!$J:$J,"&gt;="&amp;$B$3,[1]PLM002!$J:$J,"&lt;="&amp;$B$4,[1]PLM002!$F:$F,$A26,[1]PLM002!$C:$C,L$6)</f>
        <v>0</v>
      </c>
      <c r="O26" s="13">
        <f t="shared" si="24"/>
        <v>57.5</v>
      </c>
      <c r="P26" s="13">
        <f>SUMIFS('[1]PLM001-財務計算用'!$P:$P,'[1]PLM001-財務計算用'!$N:$N,"&lt;"&amp;$B$4,'[1]PLM001-財務計算用'!$A:$A,$A26,'[1]PLM001-財務計算用'!$J:$J,P$6)</f>
        <v>40</v>
      </c>
      <c r="Q26" s="13">
        <f>SUMIFS([1]PLM002!$K:$K,[1]PLM002!$J:$J,"&lt;"&amp;$B$3,[1]PLM002!$F:$F,$A26,[1]PLM002!$C:$C,P$6)</f>
        <v>16</v>
      </c>
      <c r="R26" s="13">
        <f>SUMIFS([1]PLM002!$K:$K,[1]PLM002!$J:$J,"&gt;="&amp;$B$3,[1]PLM002!$J:$J,"&lt;="&amp;$B$4,[1]PLM002!$F:$F,$A26,[1]PLM002!$C:$C,P$6)</f>
        <v>0</v>
      </c>
      <c r="S26" s="13">
        <f t="shared" si="5"/>
        <v>16</v>
      </c>
      <c r="T26" s="13">
        <f>SUMIFS('[1]PLM001-財務計算用'!$P:$P,'[1]PLM001-財務計算用'!$N:$N,"&lt;"&amp;$B$4,'[1]PLM001-財務計算用'!$A:$A,$A26,'[1]PLM001-財務計算用'!$J:$J,T$6)</f>
        <v>24</v>
      </c>
      <c r="U26" s="13">
        <f>SUMIFS([1]PLM002!$K:$K,[1]PLM002!$J:$J,"&lt;"&amp;$B$3,[1]PLM002!$F:$F,$A26,[1]PLM002!$C:$C,T$6)</f>
        <v>48</v>
      </c>
      <c r="V26" s="13">
        <f>SUMIFS([1]PLM002!$K:$K,[1]PLM002!$J:$J,"&gt;="&amp;$B$3,[1]PLM002!$J:$J,"&lt;="&amp;$B$4,[1]PLM002!$F:$F,$A26,[1]PLM002!$C:$C,T$6)</f>
        <v>0</v>
      </c>
      <c r="W26" s="13">
        <f t="shared" si="21"/>
        <v>48</v>
      </c>
    </row>
    <row r="27" spans="1:23" x14ac:dyDescent="0.15">
      <c r="A27" s="59" t="s">
        <v>107</v>
      </c>
      <c r="B27" s="15" t="str">
        <f>VLOOKUP(A27,[1]專案進度表!B:DT,2,FALSE)</f>
        <v>EPH連板電測治具</v>
      </c>
      <c r="C27" s="15" t="str">
        <f>VLOOKUP(A27,[1]總表!$A:$L,3,FALSE)</f>
        <v>研發一處</v>
      </c>
      <c r="D27" s="2" t="str">
        <f>VLOOKUP(A27,[1]總表!$A:$L,5,FALSE)</f>
        <v>Closed</v>
      </c>
      <c r="E27" s="76">
        <f t="shared" si="0"/>
        <v>0</v>
      </c>
      <c r="F27" s="76">
        <f t="shared" si="1"/>
        <v>0</v>
      </c>
      <c r="G27" s="5" t="e">
        <f t="shared" si="22"/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si="23"/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si="24"/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si="5"/>
        <v>0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0</v>
      </c>
      <c r="V27" s="13">
        <f>SUMIFS([1]PLM002!$K:$K,[1]PLM002!$J:$J,"&gt;="&amp;$B$3,[1]PLM002!$J:$J,"&lt;="&amp;$B$4,[1]PLM002!$F:$F,$A27,[1]PLM002!$C:$C,T$6)</f>
        <v>0</v>
      </c>
      <c r="W27" s="13">
        <f t="shared" si="21"/>
        <v>0</v>
      </c>
    </row>
    <row r="28" spans="1:23" x14ac:dyDescent="0.15">
      <c r="A28" s="59" t="s">
        <v>113</v>
      </c>
      <c r="B28" s="15" t="str">
        <f>VLOOKUP(A28,[1]專案進度表!B:DT,2,FALSE)</f>
        <v>申請量桶量槽製作資格</v>
      </c>
      <c r="C28" s="15" t="str">
        <f>VLOOKUP(A28,[1]總表!$A:$L,3,FALSE)</f>
        <v>研一部</v>
      </c>
      <c r="D28" s="2" t="str">
        <f>VLOOKUP(A28,[1]總表!$A:$L,5,FALSE)</f>
        <v>Closed</v>
      </c>
      <c r="E28" s="103">
        <f t="shared" ref="E28:E29" si="25">SUMIF($H$8:$O$8,E$8,H28:O28)</f>
        <v>0</v>
      </c>
      <c r="F28" s="103">
        <f t="shared" ref="F28:F29" si="26">SUMIF($H$8:$O$8,F$8,H28:O28)</f>
        <v>0</v>
      </c>
      <c r="G28" s="5" t="e">
        <f t="shared" ref="G28:G29" si="27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:K29" si="28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:O29" si="29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0</v>
      </c>
      <c r="R28" s="13">
        <f>SUMIFS([1]PLM002!$K:$K,[1]PLM002!$J:$J,"&gt;="&amp;$B$3,[1]PLM002!$J:$J,"&lt;="&amp;$B$4,[1]PLM002!$F:$F,$A28,[1]PLM002!$C:$C,P$6)</f>
        <v>0</v>
      </c>
      <c r="S28" s="13">
        <f t="shared" ref="S28:S29" si="30">Q28+R28</f>
        <v>0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0</v>
      </c>
      <c r="V28" s="13">
        <f>SUMIFS([1]PLM002!$K:$K,[1]PLM002!$J:$J,"&gt;="&amp;$B$3,[1]PLM002!$J:$J,"&lt;="&amp;$B$4,[1]PLM002!$F:$F,$A28,[1]PLM002!$C:$C,T$6)</f>
        <v>0</v>
      </c>
      <c r="W28" s="13">
        <f t="shared" ref="W28:W29" si="31">U28+V28</f>
        <v>0</v>
      </c>
    </row>
    <row r="29" spans="1:23" x14ac:dyDescent="0.15">
      <c r="A29" s="59" t="s">
        <v>118</v>
      </c>
      <c r="B29" s="15" t="str">
        <f>VLOOKUP(A29,[1]專案進度表!B:DT,2,FALSE)</f>
        <v>台大超音波探頭貼合技術技轉案</v>
      </c>
      <c r="C29" s="15" t="str">
        <f>VLOOKUP(A29,[1]總表!$A:$L,3,FALSE)</f>
        <v>研三部</v>
      </c>
      <c r="D29" s="2" t="str">
        <f>VLOOKUP(A29,[1]總表!$A:$L,5,FALSE)</f>
        <v>Closed</v>
      </c>
      <c r="E29" s="103">
        <f t="shared" si="25"/>
        <v>0</v>
      </c>
      <c r="F29" s="103">
        <f t="shared" si="26"/>
        <v>0</v>
      </c>
      <c r="G29" s="5" t="e">
        <f t="shared" si="27"/>
        <v>#DIV/0!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si="28"/>
        <v>0</v>
      </c>
      <c r="L29" s="13">
        <f>SUMIFS('[1]PLM001-財務計算用'!$P:$P,'[1]PLM001-財務計算用'!$N:$N,"&lt;"&amp;$B$4,'[1]PLM001-財務計算用'!$A:$A,$A29,'[1]PLM001-財務計算用'!$J:$J,L$6)</f>
        <v>0</v>
      </c>
      <c r="M29" s="13">
        <f>SUMIFS([1]PLM002!$K:$K,[1]PLM002!$J:$J,"&lt;"&amp;$B$3,[1]PLM002!$F:$F,$A29,[1]PLM002!$C:$C,L$6)</f>
        <v>0</v>
      </c>
      <c r="N29" s="13">
        <f>SUMIFS([1]PLM002!$K:$K,[1]PLM002!$J:$J,"&gt;="&amp;$B$3,[1]PLM002!$J:$J,"&lt;="&amp;$B$4,[1]PLM002!$F:$F,$A29,[1]PLM002!$C:$C,L$6)</f>
        <v>0</v>
      </c>
      <c r="O29" s="13">
        <f t="shared" si="29"/>
        <v>0</v>
      </c>
      <c r="P29" s="13">
        <f>SUMIFS('[1]PLM001-財務計算用'!$P:$P,'[1]PLM001-財務計算用'!$N:$N,"&lt;"&amp;$B$4,'[1]PLM001-財務計算用'!$A:$A,$A29,'[1]PLM001-財務計算用'!$J:$J,P$6)</f>
        <v>0</v>
      </c>
      <c r="Q29" s="13">
        <f>SUMIFS([1]PLM002!$K:$K,[1]PLM002!$J:$J,"&lt;"&amp;$B$3,[1]PLM002!$F:$F,$A29,[1]PLM002!$C:$C,P$6)</f>
        <v>16</v>
      </c>
      <c r="R29" s="13">
        <f>SUMIFS([1]PLM002!$K:$K,[1]PLM002!$J:$J,"&gt;="&amp;$B$3,[1]PLM002!$J:$J,"&lt;="&amp;$B$4,[1]PLM002!$F:$F,$A29,[1]PLM002!$C:$C,P$6)</f>
        <v>0</v>
      </c>
      <c r="S29" s="13">
        <f t="shared" si="30"/>
        <v>16</v>
      </c>
      <c r="T29" s="13">
        <f>SUMIFS('[1]PLM001-財務計算用'!$P:$P,'[1]PLM001-財務計算用'!$N:$N,"&lt;"&amp;$B$4,'[1]PLM001-財務計算用'!$A:$A,$A29,'[1]PLM001-財務計算用'!$J:$J,T$6)</f>
        <v>0</v>
      </c>
      <c r="U29" s="13">
        <f>SUMIFS([1]PLM002!$K:$K,[1]PLM002!$J:$J,"&lt;"&amp;$B$3,[1]PLM002!$F:$F,$A29,[1]PLM002!$C:$C,T$6)</f>
        <v>159.5</v>
      </c>
      <c r="V29" s="13">
        <f>SUMIFS([1]PLM002!$K:$K,[1]PLM002!$J:$J,"&gt;="&amp;$B$3,[1]PLM002!$J:$J,"&lt;="&amp;$B$4,[1]PLM002!$F:$F,$A29,[1]PLM002!$C:$C,T$6)</f>
        <v>0</v>
      </c>
      <c r="W29" s="13">
        <f t="shared" si="31"/>
        <v>159.5</v>
      </c>
    </row>
    <row r="30" spans="1:23" x14ac:dyDescent="0.15">
      <c r="A30" s="59" t="s">
        <v>105</v>
      </c>
      <c r="B30" s="15" t="str">
        <f>VLOOKUP(A30,[1]專案進度表!B:DT,2,FALSE)</f>
        <v>C級奧多曼電子水表先期研究</v>
      </c>
      <c r="C30" s="15" t="str">
        <f>VLOOKUP(A30,[1]總表!$A:$L,3,FALSE)</f>
        <v>產品開發</v>
      </c>
      <c r="D30" s="2" t="str">
        <f>VLOOKUP(A30,[1]總表!$A:$L,5,FALSE)</f>
        <v>Closed</v>
      </c>
      <c r="E30" s="104">
        <f t="shared" ref="E30" si="32">SUMIF($H$8:$O$8,E$8,H30:O30)</f>
        <v>0</v>
      </c>
      <c r="F30" s="104">
        <f t="shared" ref="F30" si="33">SUMIF($H$8:$O$8,F$8,H30:O30)</f>
        <v>0</v>
      </c>
      <c r="G30" s="5" t="e">
        <f t="shared" ref="G30" si="34">F30/E30</f>
        <v>#DIV/0!</v>
      </c>
      <c r="H30" s="13">
        <f>SUMIFS('[1]PLM001-財務計算用'!$P:$P,'[1]PLM001-財務計算用'!$N:$N,"&lt;"&amp;$B$4,'[1]PLM001-財務計算用'!$A:$A,$A30,'[1]PLM001-財務計算用'!$J:$J,H$6)</f>
        <v>0</v>
      </c>
      <c r="I30" s="13">
        <f>SUMIFS([1]PLM002!$K:$K,[1]PLM002!$J:$J,"&lt;"&amp;$B$3,[1]PLM002!$F:$F,$A30,[1]PLM002!$C:$C,H$6)</f>
        <v>0</v>
      </c>
      <c r="J30" s="13">
        <f>SUMIFS([1]PLM002!$K:$K,[1]PLM002!$J:$J,"&gt;="&amp;$B$3,[1]PLM002!$J:$J,"&lt;="&amp;$B$4,[1]PLM002!$F:$F,$A30,[1]PLM002!$C:$C,H$6)</f>
        <v>0</v>
      </c>
      <c r="K30" s="13">
        <f t="shared" ref="K30" si="35">I30+J30</f>
        <v>0</v>
      </c>
      <c r="L30" s="13">
        <f>SUMIFS('[1]PLM001-財務計算用'!$P:$P,'[1]PLM001-財務計算用'!$N:$N,"&lt;"&amp;$B$4,'[1]PLM001-財務計算用'!$A:$A,$A30,'[1]PLM001-財務計算用'!$J:$J,L$6)</f>
        <v>0</v>
      </c>
      <c r="M30" s="13">
        <f>SUMIFS([1]PLM002!$K:$K,[1]PLM002!$J:$J,"&lt;"&amp;$B$3,[1]PLM002!$F:$F,$A30,[1]PLM002!$C:$C,L$6)</f>
        <v>0</v>
      </c>
      <c r="N30" s="13">
        <f>SUMIFS([1]PLM002!$K:$K,[1]PLM002!$J:$J,"&gt;="&amp;$B$3,[1]PLM002!$J:$J,"&lt;="&amp;$B$4,[1]PLM002!$F:$F,$A30,[1]PLM002!$C:$C,L$6)</f>
        <v>0</v>
      </c>
      <c r="O30" s="13">
        <f t="shared" ref="O30" si="36">M30+N30</f>
        <v>0</v>
      </c>
      <c r="P30" s="13">
        <f>SUMIFS('[1]PLM001-財務計算用'!$P:$P,'[1]PLM001-財務計算用'!$N:$N,"&lt;"&amp;$B$4,'[1]PLM001-財務計算用'!$A:$A,$A30,'[1]PLM001-財務計算用'!$J:$J,P$6)</f>
        <v>0</v>
      </c>
      <c r="Q30" s="13">
        <f>SUMIFS([1]PLM002!$K:$K,[1]PLM002!$J:$J,"&lt;"&amp;$B$3,[1]PLM002!$F:$F,$A30,[1]PLM002!$C:$C,P$6)</f>
        <v>0</v>
      </c>
      <c r="R30" s="13">
        <f>SUMIFS([1]PLM002!$K:$K,[1]PLM002!$J:$J,"&gt;="&amp;$B$3,[1]PLM002!$J:$J,"&lt;="&amp;$B$4,[1]PLM002!$F:$F,$A30,[1]PLM002!$C:$C,P$6)</f>
        <v>0</v>
      </c>
      <c r="S30" s="13">
        <f t="shared" ref="S30" si="37">Q30+R30</f>
        <v>0</v>
      </c>
      <c r="T30" s="13">
        <f>SUMIFS('[1]PLM001-財務計算用'!$P:$P,'[1]PLM001-財務計算用'!$N:$N,"&lt;"&amp;$B$4,'[1]PLM001-財務計算用'!$A:$A,$A30,'[1]PLM001-財務計算用'!$J:$J,T$6)</f>
        <v>0</v>
      </c>
      <c r="U30" s="13">
        <f>SUMIFS([1]PLM002!$K:$K,[1]PLM002!$J:$J,"&lt;"&amp;$B$3,[1]PLM002!$F:$F,$A30,[1]PLM002!$C:$C,T$6)</f>
        <v>0</v>
      </c>
      <c r="V30" s="13">
        <f>SUMIFS([1]PLM002!$K:$K,[1]PLM002!$J:$J,"&gt;="&amp;$B$3,[1]PLM002!$J:$J,"&lt;="&amp;$B$4,[1]PLM002!$F:$F,$A30,[1]PLM002!$C:$C,T$6)</f>
        <v>0</v>
      </c>
      <c r="W30" s="13">
        <f t="shared" ref="W30" si="38">U30+V30</f>
        <v>0</v>
      </c>
    </row>
    <row r="31" spans="1:23" x14ac:dyDescent="0.15">
      <c r="A31" s="59" t="s">
        <v>87</v>
      </c>
      <c r="B31" s="15" t="str">
        <f>VLOOKUP(A31,[1]專案進度表!B:DT,2,FALSE)</f>
        <v>一體式夾管超音波流量計(DN25)[RD4]</v>
      </c>
      <c r="C31" s="15" t="str">
        <f>VLOOKUP(A31,[1]總表!$A:$L,3,FALSE)</f>
        <v>研三部</v>
      </c>
      <c r="D31" s="2" t="str">
        <f>VLOOKUP(A31,[1]總表!$A:$L,5,FALSE)</f>
        <v>Closed</v>
      </c>
      <c r="E31" s="117">
        <f t="shared" ref="E31" si="39">SUMIF($H$8:$O$8,E$8,H31:O31)</f>
        <v>292</v>
      </c>
      <c r="F31" s="117">
        <f t="shared" ref="F31" si="40">SUMIF($H$8:$O$8,F$8,H31:O31)</f>
        <v>1188.5999999999999</v>
      </c>
      <c r="G31" s="5">
        <f t="shared" ref="G31" si="41">F31/E31</f>
        <v>4.0705479452054796</v>
      </c>
      <c r="H31" s="13">
        <f>SUMIFS('[1]PLM001-財務計算用'!$P:$P,'[1]PLM001-財務計算用'!$N:$N,"&lt;"&amp;$B$4,'[1]PLM001-財務計算用'!$A:$A,$A31,'[1]PLM001-財務計算用'!$J:$J,H$6)</f>
        <v>8</v>
      </c>
      <c r="I31" s="13">
        <f>SUMIFS([1]PLM002!$K:$K,[1]PLM002!$J:$J,"&lt;"&amp;$B$3,[1]PLM002!$F:$F,$A31,[1]PLM002!$C:$C,H$6)</f>
        <v>460.6</v>
      </c>
      <c r="J31" s="13">
        <f>SUMIFS([1]PLM002!$K:$K,[1]PLM002!$J:$J,"&gt;="&amp;$B$3,[1]PLM002!$J:$J,"&lt;="&amp;$B$4,[1]PLM002!$F:$F,$A31,[1]PLM002!$C:$C,H$6)</f>
        <v>0</v>
      </c>
      <c r="K31" s="13">
        <f t="shared" ref="K31" si="42">I31+J31</f>
        <v>460.6</v>
      </c>
      <c r="L31" s="13">
        <f>SUMIFS('[1]PLM001-財務計算用'!$P:$P,'[1]PLM001-財務計算用'!$N:$N,"&lt;"&amp;$B$4,'[1]PLM001-財務計算用'!$A:$A,$A31,'[1]PLM001-財務計算用'!$J:$J,L$6)</f>
        <v>284</v>
      </c>
      <c r="M31" s="13">
        <f>SUMIFS([1]PLM002!$K:$K,[1]PLM002!$J:$J,"&lt;"&amp;$B$3,[1]PLM002!$F:$F,$A31,[1]PLM002!$C:$C,L$6)</f>
        <v>728</v>
      </c>
      <c r="N31" s="13">
        <f>SUMIFS([1]PLM002!$K:$K,[1]PLM002!$J:$J,"&gt;="&amp;$B$3,[1]PLM002!$J:$J,"&lt;="&amp;$B$4,[1]PLM002!$F:$F,$A31,[1]PLM002!$C:$C,L$6)</f>
        <v>0</v>
      </c>
      <c r="O31" s="13">
        <f t="shared" ref="O31" si="43">M31+N31</f>
        <v>728</v>
      </c>
      <c r="P31" s="13">
        <f>SUMIFS('[1]PLM001-財務計算用'!$P:$P,'[1]PLM001-財務計算用'!$N:$N,"&lt;"&amp;$B$4,'[1]PLM001-財務計算用'!$A:$A,$A31,'[1]PLM001-財務計算用'!$J:$J,P$6)</f>
        <v>480</v>
      </c>
      <c r="Q31" s="13">
        <f>SUMIFS([1]PLM002!$K:$K,[1]PLM002!$J:$J,"&lt;"&amp;$B$3,[1]PLM002!$F:$F,$A31,[1]PLM002!$C:$C,P$6)</f>
        <v>2738</v>
      </c>
      <c r="R31" s="13">
        <f>SUMIFS([1]PLM002!$K:$K,[1]PLM002!$J:$J,"&gt;="&amp;$B$3,[1]PLM002!$J:$J,"&lt;="&amp;$B$4,[1]PLM002!$F:$F,$A31,[1]PLM002!$C:$C,P$6)</f>
        <v>4</v>
      </c>
      <c r="S31" s="13">
        <f t="shared" ref="S31" si="44">Q31+R31</f>
        <v>2742</v>
      </c>
      <c r="T31" s="13">
        <f>SUMIFS('[1]PLM001-財務計算用'!$P:$P,'[1]PLM001-財務計算用'!$N:$N,"&lt;"&amp;$B$4,'[1]PLM001-財務計算用'!$A:$A,$A31,'[1]PLM001-財務計算用'!$J:$J,T$6)</f>
        <v>0</v>
      </c>
      <c r="U31" s="13">
        <f>SUMIFS([1]PLM002!$K:$K,[1]PLM002!$J:$J,"&lt;"&amp;$B$3,[1]PLM002!$F:$F,$A31,[1]PLM002!$C:$C,T$6)</f>
        <v>98.5</v>
      </c>
      <c r="V31" s="13">
        <f>SUMIFS([1]PLM002!$K:$K,[1]PLM002!$J:$J,"&gt;="&amp;$B$3,[1]PLM002!$J:$J,"&lt;="&amp;$B$4,[1]PLM002!$F:$F,$A31,[1]PLM002!$C:$C,T$6)</f>
        <v>0</v>
      </c>
      <c r="W31" s="13">
        <f t="shared" ref="W31" si="45">U31+V31</f>
        <v>98.5</v>
      </c>
    </row>
    <row r="32" spans="1:23" x14ac:dyDescent="0.15">
      <c r="A32" s="59" t="s">
        <v>132</v>
      </c>
      <c r="B32" s="15" t="str">
        <f>VLOOKUP(A32,[1]專案進度表!B:DT,2,FALSE)</f>
        <v>GPX 申請UL-61010認證</v>
      </c>
      <c r="C32" s="15" t="str">
        <f>VLOOKUP(A32,[1]總表!$A:$L,3,FALSE)</f>
        <v>研發一處</v>
      </c>
      <c r="D32" s="2" t="str">
        <f>VLOOKUP(A32,[1]總表!$A:$L,5,FALSE)</f>
        <v>Closed</v>
      </c>
      <c r="E32" s="125">
        <f t="shared" ref="E32" si="46">SUMIF($H$8:$O$8,E$8,H32:O32)</f>
        <v>0</v>
      </c>
      <c r="F32" s="125">
        <f t="shared" ref="F32" si="47">SUMIF($H$8:$O$8,F$8,H32:O32)</f>
        <v>0</v>
      </c>
      <c r="G32" s="5" t="e">
        <f t="shared" ref="G32" si="48">F32/E32</f>
        <v>#DIV/0!</v>
      </c>
      <c r="H32" s="13">
        <f>SUMIFS('[1]PLM001-財務計算用'!$P:$P,'[1]PLM001-財務計算用'!$N:$N,"&lt;"&amp;$B$4,'[1]PLM001-財務計算用'!$A:$A,$A32,'[1]PLM001-財務計算用'!$J:$J,H$6)</f>
        <v>0</v>
      </c>
      <c r="I32" s="13">
        <f>SUMIFS([1]PLM002!$K:$K,[1]PLM002!$J:$J,"&lt;"&amp;$B$3,[1]PLM002!$F:$F,$A32,[1]PLM002!$C:$C,H$6)</f>
        <v>0</v>
      </c>
      <c r="J32" s="13">
        <f>SUMIFS([1]PLM002!$K:$K,[1]PLM002!$J:$J,"&gt;="&amp;$B$3,[1]PLM002!$J:$J,"&lt;="&amp;$B$4,[1]PLM002!$F:$F,$A32,[1]PLM002!$C:$C,H$6)</f>
        <v>0</v>
      </c>
      <c r="K32" s="13">
        <f t="shared" ref="K32" si="49">I32+J32</f>
        <v>0</v>
      </c>
      <c r="L32" s="13">
        <f>SUMIFS('[1]PLM001-財務計算用'!$P:$P,'[1]PLM001-財務計算用'!$N:$N,"&lt;"&amp;$B$4,'[1]PLM001-財務計算用'!$A:$A,$A32,'[1]PLM001-財務計算用'!$J:$J,L$6)</f>
        <v>0</v>
      </c>
      <c r="M32" s="13">
        <f>SUMIFS([1]PLM002!$K:$K,[1]PLM002!$J:$J,"&lt;"&amp;$B$3,[1]PLM002!$F:$F,$A32,[1]PLM002!$C:$C,L$6)</f>
        <v>0</v>
      </c>
      <c r="N32" s="13">
        <f>SUMIFS([1]PLM002!$K:$K,[1]PLM002!$J:$J,"&gt;="&amp;$B$3,[1]PLM002!$J:$J,"&lt;="&amp;$B$4,[1]PLM002!$F:$F,$A32,[1]PLM002!$C:$C,L$6)</f>
        <v>0</v>
      </c>
      <c r="O32" s="13">
        <f t="shared" ref="O32" si="50">M32+N32</f>
        <v>0</v>
      </c>
      <c r="P32" s="13">
        <f>SUMIFS('[1]PLM001-財務計算用'!$P:$P,'[1]PLM001-財務計算用'!$N:$N,"&lt;"&amp;$B$4,'[1]PLM001-財務計算用'!$A:$A,$A32,'[1]PLM001-財務計算用'!$J:$J,P$6)</f>
        <v>0</v>
      </c>
      <c r="Q32" s="13">
        <f>SUMIFS([1]PLM002!$K:$K,[1]PLM002!$J:$J,"&lt;"&amp;$B$3,[1]PLM002!$F:$F,$A32,[1]PLM002!$C:$C,P$6)</f>
        <v>0</v>
      </c>
      <c r="R32" s="13">
        <f>SUMIFS([1]PLM002!$K:$K,[1]PLM002!$J:$J,"&gt;="&amp;$B$3,[1]PLM002!$J:$J,"&lt;="&amp;$B$4,[1]PLM002!$F:$F,$A32,[1]PLM002!$C:$C,P$6)</f>
        <v>0</v>
      </c>
      <c r="S32" s="13">
        <f t="shared" ref="S32" si="51">Q32+R32</f>
        <v>0</v>
      </c>
      <c r="T32" s="13">
        <f>SUMIFS('[1]PLM001-財務計算用'!$P:$P,'[1]PLM001-財務計算用'!$N:$N,"&lt;"&amp;$B$4,'[1]PLM001-財務計算用'!$A:$A,$A32,'[1]PLM001-財務計算用'!$J:$J,T$6)</f>
        <v>0</v>
      </c>
      <c r="U32" s="13">
        <f>SUMIFS([1]PLM002!$K:$K,[1]PLM002!$J:$J,"&lt;"&amp;$B$3,[1]PLM002!$F:$F,$A32,[1]PLM002!$C:$C,T$6)</f>
        <v>0</v>
      </c>
      <c r="V32" s="13">
        <f>SUMIFS([1]PLM002!$K:$K,[1]PLM002!$J:$J,"&gt;="&amp;$B$3,[1]PLM002!$J:$J,"&lt;="&amp;$B$4,[1]PLM002!$F:$F,$A32,[1]PLM002!$C:$C,T$6)</f>
        <v>0</v>
      </c>
      <c r="W32" s="13">
        <f t="shared" ref="W32" si="52">U32+V32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8:G27 G33:G1048576">
    <cfRule type="cellIs" dxfId="5" priority="12" operator="greaterThan">
      <formula>1</formula>
    </cfRule>
  </conditionalFormatting>
  <conditionalFormatting sqref="G1:G4 G6:G7">
    <cfRule type="cellIs" dxfId="4" priority="11" operator="greaterThan">
      <formula>1</formula>
    </cfRule>
  </conditionalFormatting>
  <conditionalFormatting sqref="G17">
    <cfRule type="cellIs" dxfId="3" priority="5" operator="greaterThan">
      <formula>1</formula>
    </cfRule>
  </conditionalFormatting>
  <conditionalFormatting sqref="G28">
    <cfRule type="cellIs" dxfId="2" priority="3" operator="greaterThan">
      <formula>1</formula>
    </cfRule>
  </conditionalFormatting>
  <conditionalFormatting sqref="G29:G32">
    <cfRule type="cellIs" dxfId="1" priority="2" operator="greaterThan">
      <formula>1</formula>
    </cfRule>
  </conditionalFormatting>
  <conditionalFormatting sqref="G14:G1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2"/>
  <sheetViews>
    <sheetView workbookViewId="0">
      <selection activeCell="E16" sqref="E16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96</v>
      </c>
      <c r="C2" s="67" t="s">
        <v>176</v>
      </c>
      <c r="D2" s="67" t="s">
        <v>103</v>
      </c>
      <c r="E2" s="120" t="s">
        <v>100</v>
      </c>
      <c r="F2" s="121" t="s">
        <v>94</v>
      </c>
      <c r="G2" s="60" t="s">
        <v>109</v>
      </c>
      <c r="H2" s="68" t="s">
        <v>106</v>
      </c>
      <c r="I2" s="69"/>
      <c r="J2" s="70">
        <v>80</v>
      </c>
      <c r="K2" s="71"/>
      <c r="L2" s="71" t="s">
        <v>35</v>
      </c>
      <c r="M2" s="72">
        <v>0</v>
      </c>
      <c r="N2" s="73" t="s">
        <v>234</v>
      </c>
      <c r="O2" s="122"/>
    </row>
    <row r="3" spans="1:15" s="1" customFormat="1" x14ac:dyDescent="0.25">
      <c r="A3" s="67" t="s">
        <v>83</v>
      </c>
      <c r="B3" s="67" t="s">
        <v>96</v>
      </c>
      <c r="C3" s="67" t="s">
        <v>176</v>
      </c>
      <c r="D3" s="67" t="s">
        <v>103</v>
      </c>
      <c r="E3" s="120" t="s">
        <v>100</v>
      </c>
      <c r="F3" s="121" t="s">
        <v>104</v>
      </c>
      <c r="G3" s="60" t="s">
        <v>110</v>
      </c>
      <c r="H3" s="68" t="s">
        <v>111</v>
      </c>
      <c r="I3" s="69"/>
      <c r="J3" s="70">
        <v>160</v>
      </c>
      <c r="K3" s="70">
        <v>40</v>
      </c>
      <c r="L3" s="71" t="s">
        <v>35</v>
      </c>
      <c r="M3" s="72">
        <v>0</v>
      </c>
      <c r="N3" s="73" t="s">
        <v>235</v>
      </c>
      <c r="O3" s="122"/>
    </row>
    <row r="4" spans="1:15" s="1" customFormat="1" x14ac:dyDescent="0.25">
      <c r="A4" s="67" t="s">
        <v>83</v>
      </c>
      <c r="B4" s="67" t="s">
        <v>96</v>
      </c>
      <c r="C4" s="67" t="s">
        <v>176</v>
      </c>
      <c r="D4" s="67" t="s">
        <v>103</v>
      </c>
      <c r="E4" s="120" t="s">
        <v>100</v>
      </c>
      <c r="F4" s="121" t="s">
        <v>112</v>
      </c>
      <c r="G4" s="60" t="s">
        <v>108</v>
      </c>
      <c r="H4" s="68" t="s">
        <v>108</v>
      </c>
      <c r="I4" s="69"/>
      <c r="J4" s="70">
        <v>64</v>
      </c>
      <c r="K4" s="71"/>
      <c r="L4" s="71" t="s">
        <v>35</v>
      </c>
      <c r="M4" s="72">
        <v>0</v>
      </c>
      <c r="N4" s="73" t="s">
        <v>236</v>
      </c>
      <c r="O4" s="122"/>
    </row>
    <row r="5" spans="1:15" s="1" customFormat="1" x14ac:dyDescent="0.25">
      <c r="A5" s="67" t="s">
        <v>83</v>
      </c>
      <c r="B5" s="67" t="s">
        <v>96</v>
      </c>
      <c r="C5" s="67" t="s">
        <v>176</v>
      </c>
      <c r="D5" s="67" t="s">
        <v>103</v>
      </c>
      <c r="E5" s="120" t="s">
        <v>100</v>
      </c>
      <c r="F5" s="121" t="s">
        <v>120</v>
      </c>
      <c r="G5" s="60" t="s">
        <v>121</v>
      </c>
      <c r="H5" s="68" t="s">
        <v>122</v>
      </c>
      <c r="I5" s="69"/>
      <c r="J5" s="70">
        <v>128</v>
      </c>
      <c r="K5" s="71"/>
      <c r="L5" s="71" t="s">
        <v>35</v>
      </c>
      <c r="M5" s="72">
        <v>0</v>
      </c>
      <c r="N5" s="73" t="s">
        <v>237</v>
      </c>
      <c r="O5" s="122"/>
    </row>
    <row r="6" spans="1:15" s="1" customFormat="1" x14ac:dyDescent="0.25">
      <c r="A6" s="67" t="s">
        <v>83</v>
      </c>
      <c r="B6" s="67" t="s">
        <v>96</v>
      </c>
      <c r="C6" s="67" t="s">
        <v>176</v>
      </c>
      <c r="D6" s="67" t="s">
        <v>103</v>
      </c>
      <c r="E6" s="120" t="s">
        <v>100</v>
      </c>
      <c r="F6" s="121" t="s">
        <v>116</v>
      </c>
      <c r="G6" s="60" t="s">
        <v>121</v>
      </c>
      <c r="H6" s="68" t="s">
        <v>123</v>
      </c>
      <c r="I6" s="69"/>
      <c r="J6" s="70">
        <v>800</v>
      </c>
      <c r="K6" s="113">
        <v>110.5</v>
      </c>
      <c r="L6" s="71" t="s">
        <v>35</v>
      </c>
      <c r="M6" s="72">
        <v>0</v>
      </c>
      <c r="N6" s="73" t="s">
        <v>237</v>
      </c>
      <c r="O6" s="122"/>
    </row>
    <row r="7" spans="1:15" s="1" customFormat="1" x14ac:dyDescent="0.25">
      <c r="A7" s="67" t="s">
        <v>83</v>
      </c>
      <c r="B7" s="67" t="s">
        <v>96</v>
      </c>
      <c r="C7" s="67" t="s">
        <v>176</v>
      </c>
      <c r="D7" s="67" t="s">
        <v>103</v>
      </c>
      <c r="E7" s="120" t="s">
        <v>100</v>
      </c>
      <c r="F7" s="121" t="s">
        <v>124</v>
      </c>
      <c r="G7" s="60" t="s">
        <v>121</v>
      </c>
      <c r="H7" s="68" t="s">
        <v>122</v>
      </c>
      <c r="I7" s="69"/>
      <c r="J7" s="70">
        <v>128</v>
      </c>
      <c r="K7" s="71"/>
      <c r="L7" s="71" t="s">
        <v>35</v>
      </c>
      <c r="M7" s="72">
        <v>0</v>
      </c>
      <c r="N7" s="73" t="s">
        <v>237</v>
      </c>
      <c r="O7" s="122"/>
    </row>
    <row r="8" spans="1:15" s="1" customFormat="1" x14ac:dyDescent="0.25">
      <c r="A8" s="67" t="s">
        <v>83</v>
      </c>
      <c r="B8" s="67" t="s">
        <v>96</v>
      </c>
      <c r="C8" s="67" t="s">
        <v>176</v>
      </c>
      <c r="D8" s="67" t="s">
        <v>103</v>
      </c>
      <c r="E8" s="120" t="s">
        <v>100</v>
      </c>
      <c r="F8" s="121" t="s">
        <v>126</v>
      </c>
      <c r="G8" s="60" t="s">
        <v>127</v>
      </c>
      <c r="H8" s="68" t="s">
        <v>125</v>
      </c>
      <c r="I8" s="69"/>
      <c r="J8" s="70">
        <v>128</v>
      </c>
      <c r="K8" s="70">
        <v>3</v>
      </c>
      <c r="L8" s="71" t="s">
        <v>35</v>
      </c>
      <c r="M8" s="72">
        <v>0</v>
      </c>
      <c r="N8" s="73" t="s">
        <v>206</v>
      </c>
      <c r="O8" s="122"/>
    </row>
    <row r="9" spans="1:15" s="1" customFormat="1" x14ac:dyDescent="0.25">
      <c r="A9" s="67" t="s">
        <v>83</v>
      </c>
      <c r="B9" s="67" t="s">
        <v>96</v>
      </c>
      <c r="C9" s="67" t="s">
        <v>176</v>
      </c>
      <c r="D9" s="67" t="s">
        <v>103</v>
      </c>
      <c r="E9" s="120" t="s">
        <v>100</v>
      </c>
      <c r="F9" s="121" t="s">
        <v>115</v>
      </c>
      <c r="G9" s="60" t="s">
        <v>127</v>
      </c>
      <c r="H9" s="68" t="s">
        <v>125</v>
      </c>
      <c r="I9" s="69"/>
      <c r="J9" s="70">
        <v>128</v>
      </c>
      <c r="K9" s="71"/>
      <c r="L9" s="71" t="s">
        <v>35</v>
      </c>
      <c r="M9" s="72">
        <v>0</v>
      </c>
      <c r="N9" s="73" t="s">
        <v>206</v>
      </c>
      <c r="O9" s="122"/>
    </row>
    <row r="10" spans="1:15" s="1" customFormat="1" x14ac:dyDescent="0.25">
      <c r="A10" s="67" t="s">
        <v>83</v>
      </c>
      <c r="B10" s="67" t="s">
        <v>96</v>
      </c>
      <c r="C10" s="67" t="s">
        <v>176</v>
      </c>
      <c r="D10" s="67" t="s">
        <v>103</v>
      </c>
      <c r="E10" s="120" t="s">
        <v>100</v>
      </c>
      <c r="F10" s="121" t="s">
        <v>117</v>
      </c>
      <c r="G10" s="60" t="s">
        <v>128</v>
      </c>
      <c r="H10" s="68" t="s">
        <v>125</v>
      </c>
      <c r="I10" s="69"/>
      <c r="J10" s="70">
        <v>64</v>
      </c>
      <c r="K10" s="71"/>
      <c r="L10" s="71" t="s">
        <v>35</v>
      </c>
      <c r="M10" s="72">
        <v>0</v>
      </c>
      <c r="N10" s="73" t="s">
        <v>238</v>
      </c>
      <c r="O10" s="122"/>
    </row>
    <row r="11" spans="1:15" s="1" customFormat="1" ht="27" x14ac:dyDescent="0.25">
      <c r="A11" s="67" t="s">
        <v>83</v>
      </c>
      <c r="B11" s="67" t="s">
        <v>96</v>
      </c>
      <c r="C11" s="67" t="s">
        <v>176</v>
      </c>
      <c r="D11" s="67" t="s">
        <v>103</v>
      </c>
      <c r="E11" s="120" t="s">
        <v>100</v>
      </c>
      <c r="F11" s="121" t="s">
        <v>129</v>
      </c>
      <c r="G11" s="60" t="s">
        <v>130</v>
      </c>
      <c r="H11" s="68" t="s">
        <v>131</v>
      </c>
      <c r="I11" s="69"/>
      <c r="J11" s="70">
        <v>256</v>
      </c>
      <c r="K11" s="70">
        <v>16</v>
      </c>
      <c r="L11" s="71" t="s">
        <v>35</v>
      </c>
      <c r="M11" s="72">
        <v>0</v>
      </c>
      <c r="N11" s="73" t="s">
        <v>239</v>
      </c>
      <c r="O11" s="122"/>
    </row>
    <row r="12" spans="1:15" s="1" customFormat="1" x14ac:dyDescent="0.25">
      <c r="A12" s="67" t="s">
        <v>83</v>
      </c>
      <c r="B12" s="67" t="s">
        <v>96</v>
      </c>
      <c r="C12" s="67" t="s">
        <v>176</v>
      </c>
      <c r="D12" s="67" t="s">
        <v>152</v>
      </c>
      <c r="E12" s="120" t="s">
        <v>134</v>
      </c>
      <c r="F12" s="121" t="s">
        <v>155</v>
      </c>
      <c r="G12" s="60" t="s">
        <v>154</v>
      </c>
      <c r="H12" s="68" t="s">
        <v>154</v>
      </c>
      <c r="I12" s="69"/>
      <c r="J12" s="70">
        <v>32</v>
      </c>
      <c r="K12" s="71"/>
      <c r="L12" s="71" t="s">
        <v>35</v>
      </c>
      <c r="M12" s="72">
        <v>0</v>
      </c>
      <c r="N12" s="73" t="s">
        <v>240</v>
      </c>
      <c r="O12" s="122"/>
    </row>
    <row r="13" spans="1:15" s="1" customFormat="1" x14ac:dyDescent="0.25">
      <c r="A13" s="67" t="s">
        <v>83</v>
      </c>
      <c r="B13" s="67" t="s">
        <v>96</v>
      </c>
      <c r="C13" s="67" t="s">
        <v>176</v>
      </c>
      <c r="D13" s="67" t="s">
        <v>152</v>
      </c>
      <c r="E13" s="120" t="s">
        <v>134</v>
      </c>
      <c r="F13" s="121" t="s">
        <v>153</v>
      </c>
      <c r="G13" s="60" t="s">
        <v>154</v>
      </c>
      <c r="H13" s="68" t="s">
        <v>154</v>
      </c>
      <c r="I13" s="69"/>
      <c r="J13" s="70">
        <v>32</v>
      </c>
      <c r="K13" s="71"/>
      <c r="L13" s="71" t="s">
        <v>35</v>
      </c>
      <c r="M13" s="72">
        <v>0</v>
      </c>
      <c r="N13" s="73" t="s">
        <v>240</v>
      </c>
      <c r="O13" s="122"/>
    </row>
    <row r="14" spans="1:15" s="1" customFormat="1" x14ac:dyDescent="0.25">
      <c r="A14" s="67" t="s">
        <v>83</v>
      </c>
      <c r="B14" s="67" t="s">
        <v>96</v>
      </c>
      <c r="C14" s="67" t="s">
        <v>176</v>
      </c>
      <c r="D14" s="67" t="s">
        <v>152</v>
      </c>
      <c r="E14" s="120" t="s">
        <v>134</v>
      </c>
      <c r="F14" s="121" t="s">
        <v>156</v>
      </c>
      <c r="G14" s="60" t="s">
        <v>157</v>
      </c>
      <c r="H14" s="68" t="s">
        <v>158</v>
      </c>
      <c r="I14" s="69"/>
      <c r="J14" s="70">
        <v>192</v>
      </c>
      <c r="K14" s="70">
        <v>1</v>
      </c>
      <c r="L14" s="71" t="s">
        <v>35</v>
      </c>
      <c r="M14" s="72">
        <v>0</v>
      </c>
      <c r="N14" s="73" t="s">
        <v>241</v>
      </c>
      <c r="O14" s="122"/>
    </row>
    <row r="15" spans="1:15" s="1" customFormat="1" ht="27" x14ac:dyDescent="0.25">
      <c r="A15" s="67" t="s">
        <v>83</v>
      </c>
      <c r="B15" s="67" t="s">
        <v>96</v>
      </c>
      <c r="C15" s="67" t="s">
        <v>176</v>
      </c>
      <c r="D15" s="67" t="s">
        <v>152</v>
      </c>
      <c r="E15" s="120" t="s">
        <v>134</v>
      </c>
      <c r="F15" s="121" t="s">
        <v>242</v>
      </c>
      <c r="G15" s="60" t="s">
        <v>159</v>
      </c>
      <c r="H15" s="68" t="s">
        <v>160</v>
      </c>
      <c r="I15" s="69"/>
      <c r="J15" s="70">
        <v>192</v>
      </c>
      <c r="K15" s="71"/>
      <c r="L15" s="71" t="s">
        <v>35</v>
      </c>
      <c r="M15" s="72">
        <v>0</v>
      </c>
      <c r="N15" s="73" t="s">
        <v>207</v>
      </c>
      <c r="O15" s="122"/>
    </row>
    <row r="16" spans="1:15" s="1" customFormat="1" x14ac:dyDescent="0.25">
      <c r="A16" s="67" t="s">
        <v>83</v>
      </c>
      <c r="B16" s="67" t="s">
        <v>96</v>
      </c>
      <c r="C16" s="67" t="s">
        <v>176</v>
      </c>
      <c r="D16" s="67" t="s">
        <v>152</v>
      </c>
      <c r="E16" s="120" t="s">
        <v>134</v>
      </c>
      <c r="F16" s="121" t="s">
        <v>161</v>
      </c>
      <c r="G16" s="60" t="s">
        <v>160</v>
      </c>
      <c r="H16" s="68" t="s">
        <v>160</v>
      </c>
      <c r="I16" s="69"/>
      <c r="J16" s="70">
        <v>32</v>
      </c>
      <c r="K16" s="71"/>
      <c r="L16" s="71" t="s">
        <v>35</v>
      </c>
      <c r="M16" s="72">
        <v>0</v>
      </c>
      <c r="N16" s="73" t="s">
        <v>208</v>
      </c>
      <c r="O16" s="122"/>
    </row>
    <row r="17" spans="1:15" s="1" customFormat="1" x14ac:dyDescent="0.25">
      <c r="A17" s="67" t="s">
        <v>83</v>
      </c>
      <c r="B17" s="67" t="s">
        <v>96</v>
      </c>
      <c r="C17" s="67" t="s">
        <v>176</v>
      </c>
      <c r="D17" s="67" t="s">
        <v>152</v>
      </c>
      <c r="E17" s="120" t="s">
        <v>134</v>
      </c>
      <c r="F17" s="121" t="s">
        <v>162</v>
      </c>
      <c r="G17" s="60" t="s">
        <v>163</v>
      </c>
      <c r="H17" s="68" t="s">
        <v>164</v>
      </c>
      <c r="I17" s="69"/>
      <c r="J17" s="70">
        <v>320</v>
      </c>
      <c r="K17" s="113">
        <v>111.5</v>
      </c>
      <c r="L17" s="71" t="s">
        <v>35</v>
      </c>
      <c r="M17" s="72">
        <v>0</v>
      </c>
      <c r="N17" s="73" t="s">
        <v>243</v>
      </c>
      <c r="O17" s="122"/>
    </row>
    <row r="18" spans="1:15" s="1" customFormat="1" x14ac:dyDescent="0.25">
      <c r="A18" s="67" t="s">
        <v>83</v>
      </c>
      <c r="B18" s="67" t="s">
        <v>96</v>
      </c>
      <c r="C18" s="67" t="s">
        <v>176</v>
      </c>
      <c r="D18" s="67" t="s">
        <v>152</v>
      </c>
      <c r="E18" s="120" t="s">
        <v>134</v>
      </c>
      <c r="F18" s="121" t="s">
        <v>165</v>
      </c>
      <c r="G18" s="60" t="s">
        <v>166</v>
      </c>
      <c r="H18" s="68" t="s">
        <v>167</v>
      </c>
      <c r="I18" s="69"/>
      <c r="J18" s="70">
        <v>168</v>
      </c>
      <c r="K18" s="70">
        <v>90</v>
      </c>
      <c r="L18" s="71" t="s">
        <v>35</v>
      </c>
      <c r="M18" s="72">
        <v>0</v>
      </c>
      <c r="N18" s="73" t="s">
        <v>244</v>
      </c>
      <c r="O18" s="122"/>
    </row>
    <row r="19" spans="1:15" s="1" customFormat="1" x14ac:dyDescent="0.25">
      <c r="A19" s="67" t="s">
        <v>83</v>
      </c>
      <c r="B19" s="67" t="s">
        <v>96</v>
      </c>
      <c r="C19" s="67" t="s">
        <v>176</v>
      </c>
      <c r="D19" s="67" t="s">
        <v>152</v>
      </c>
      <c r="E19" s="120" t="s">
        <v>134</v>
      </c>
      <c r="F19" s="121" t="s">
        <v>168</v>
      </c>
      <c r="G19" s="60" t="s">
        <v>169</v>
      </c>
      <c r="H19" s="68" t="s">
        <v>169</v>
      </c>
      <c r="I19" s="69"/>
      <c r="J19" s="70">
        <v>64</v>
      </c>
      <c r="K19" s="70">
        <v>20</v>
      </c>
      <c r="L19" s="71" t="s">
        <v>35</v>
      </c>
      <c r="M19" s="72">
        <v>0</v>
      </c>
      <c r="N19" s="73" t="s">
        <v>245</v>
      </c>
      <c r="O19" s="122"/>
    </row>
    <row r="20" spans="1:15" s="1" customFormat="1" ht="27" x14ac:dyDescent="0.25">
      <c r="A20" s="67" t="s">
        <v>101</v>
      </c>
      <c r="B20" s="67" t="s">
        <v>96</v>
      </c>
      <c r="C20" s="67" t="s">
        <v>93</v>
      </c>
      <c r="D20" s="67" t="s">
        <v>97</v>
      </c>
      <c r="E20" s="120" t="s">
        <v>99</v>
      </c>
      <c r="F20" s="121" t="s">
        <v>246</v>
      </c>
      <c r="G20" s="60" t="s">
        <v>177</v>
      </c>
      <c r="H20" s="68" t="s">
        <v>178</v>
      </c>
      <c r="I20" s="68" t="s">
        <v>179</v>
      </c>
      <c r="J20" s="70">
        <v>600</v>
      </c>
      <c r="K20" s="70">
        <v>41</v>
      </c>
      <c r="L20" s="71" t="s">
        <v>35</v>
      </c>
      <c r="M20" s="72">
        <v>0.75</v>
      </c>
      <c r="N20" s="73" t="s">
        <v>209</v>
      </c>
      <c r="O20" s="122"/>
    </row>
    <row r="21" spans="1:15" s="1" customFormat="1" x14ac:dyDescent="0.25">
      <c r="A21" s="67" t="s">
        <v>83</v>
      </c>
      <c r="B21" s="67" t="s">
        <v>96</v>
      </c>
      <c r="C21" s="67" t="s">
        <v>176</v>
      </c>
      <c r="D21" s="67" t="s">
        <v>152</v>
      </c>
      <c r="E21" s="120" t="s">
        <v>134</v>
      </c>
      <c r="F21" s="121" t="s">
        <v>94</v>
      </c>
      <c r="G21" s="60" t="s">
        <v>182</v>
      </c>
      <c r="H21" s="68" t="s">
        <v>183</v>
      </c>
      <c r="I21" s="69"/>
      <c r="J21" s="70">
        <v>640</v>
      </c>
      <c r="K21" s="70">
        <v>89</v>
      </c>
      <c r="L21" s="71" t="s">
        <v>35</v>
      </c>
      <c r="M21" s="72">
        <v>0</v>
      </c>
      <c r="N21" s="73" t="s">
        <v>247</v>
      </c>
      <c r="O21" s="122"/>
    </row>
    <row r="22" spans="1:15" s="1" customFormat="1" x14ac:dyDescent="0.25">
      <c r="A22" s="67" t="s">
        <v>83</v>
      </c>
      <c r="B22" s="67" t="s">
        <v>96</v>
      </c>
      <c r="C22" s="67" t="s">
        <v>176</v>
      </c>
      <c r="D22" s="67" t="s">
        <v>152</v>
      </c>
      <c r="E22" s="120" t="s">
        <v>134</v>
      </c>
      <c r="F22" s="121" t="s">
        <v>104</v>
      </c>
      <c r="G22" s="60" t="s">
        <v>187</v>
      </c>
      <c r="H22" s="68" t="s">
        <v>188</v>
      </c>
      <c r="I22" s="69"/>
      <c r="J22" s="70">
        <v>128</v>
      </c>
      <c r="K22" s="70">
        <v>31</v>
      </c>
      <c r="L22" s="71" t="s">
        <v>35</v>
      </c>
      <c r="M22" s="72">
        <v>0</v>
      </c>
      <c r="N22" s="73" t="s">
        <v>248</v>
      </c>
      <c r="O22" s="122"/>
    </row>
    <row r="23" spans="1:15" s="1" customFormat="1" x14ac:dyDescent="0.25">
      <c r="A23" s="67" t="s">
        <v>83</v>
      </c>
      <c r="B23" s="67" t="s">
        <v>96</v>
      </c>
      <c r="C23" s="67" t="s">
        <v>176</v>
      </c>
      <c r="D23" s="67" t="s">
        <v>152</v>
      </c>
      <c r="E23" s="120" t="s">
        <v>134</v>
      </c>
      <c r="F23" s="121" t="s">
        <v>189</v>
      </c>
      <c r="G23" s="60" t="s">
        <v>190</v>
      </c>
      <c r="H23" s="68" t="s">
        <v>191</v>
      </c>
      <c r="I23" s="69"/>
      <c r="J23" s="70">
        <v>128</v>
      </c>
      <c r="K23" s="70">
        <v>16</v>
      </c>
      <c r="L23" s="71" t="s">
        <v>35</v>
      </c>
      <c r="M23" s="72">
        <v>0</v>
      </c>
      <c r="N23" s="73" t="s">
        <v>249</v>
      </c>
      <c r="O23" s="122"/>
    </row>
    <row r="24" spans="1:15" s="1" customFormat="1" x14ac:dyDescent="0.25">
      <c r="A24" s="67" t="s">
        <v>101</v>
      </c>
      <c r="B24" s="67" t="s">
        <v>96</v>
      </c>
      <c r="C24" s="67" t="s">
        <v>93</v>
      </c>
      <c r="D24" s="67" t="s">
        <v>97</v>
      </c>
      <c r="E24" s="120" t="s">
        <v>99</v>
      </c>
      <c r="F24" s="121" t="s">
        <v>124</v>
      </c>
      <c r="G24" s="60" t="s">
        <v>191</v>
      </c>
      <c r="H24" s="68" t="s">
        <v>193</v>
      </c>
      <c r="I24" s="69"/>
      <c r="J24" s="70">
        <v>40</v>
      </c>
      <c r="K24" s="71"/>
      <c r="L24" s="71" t="s">
        <v>35</v>
      </c>
      <c r="M24" s="72">
        <v>0</v>
      </c>
      <c r="N24" s="73" t="s">
        <v>250</v>
      </c>
      <c r="O24" s="122"/>
    </row>
    <row r="25" spans="1:15" s="1" customFormat="1" ht="27" x14ac:dyDescent="0.25">
      <c r="A25" s="67" t="s">
        <v>101</v>
      </c>
      <c r="B25" s="67" t="s">
        <v>96</v>
      </c>
      <c r="C25" s="67" t="s">
        <v>93</v>
      </c>
      <c r="D25" s="67" t="s">
        <v>97</v>
      </c>
      <c r="E25" s="120" t="s">
        <v>99</v>
      </c>
      <c r="F25" s="121" t="s">
        <v>251</v>
      </c>
      <c r="G25" s="60" t="s">
        <v>191</v>
      </c>
      <c r="H25" s="68" t="s">
        <v>193</v>
      </c>
      <c r="I25" s="69"/>
      <c r="J25" s="70">
        <v>40</v>
      </c>
      <c r="K25" s="71"/>
      <c r="L25" s="71" t="s">
        <v>35</v>
      </c>
      <c r="M25" s="72">
        <v>0</v>
      </c>
      <c r="N25" s="73" t="s">
        <v>250</v>
      </c>
      <c r="O25" s="122"/>
    </row>
    <row r="26" spans="1:15" s="1" customFormat="1" x14ac:dyDescent="0.25">
      <c r="A26" s="67" t="s">
        <v>101</v>
      </c>
      <c r="B26" s="67" t="s">
        <v>96</v>
      </c>
      <c r="C26" s="67" t="s">
        <v>93</v>
      </c>
      <c r="D26" s="67" t="s">
        <v>97</v>
      </c>
      <c r="E26" s="120" t="s">
        <v>99</v>
      </c>
      <c r="F26" s="121" t="s">
        <v>115</v>
      </c>
      <c r="G26" s="60" t="s">
        <v>191</v>
      </c>
      <c r="H26" s="68" t="s">
        <v>193</v>
      </c>
      <c r="I26" s="69"/>
      <c r="J26" s="70">
        <v>40</v>
      </c>
      <c r="K26" s="71"/>
      <c r="L26" s="71" t="s">
        <v>35</v>
      </c>
      <c r="M26" s="72">
        <v>0</v>
      </c>
      <c r="N26" s="73" t="s">
        <v>250</v>
      </c>
      <c r="O26" s="122"/>
    </row>
    <row r="27" spans="1:15" s="1" customFormat="1" x14ac:dyDescent="0.25">
      <c r="A27" s="67" t="s">
        <v>101</v>
      </c>
      <c r="B27" s="67" t="s">
        <v>96</v>
      </c>
      <c r="C27" s="67" t="s">
        <v>93</v>
      </c>
      <c r="D27" s="67" t="s">
        <v>97</v>
      </c>
      <c r="E27" s="120" t="s">
        <v>99</v>
      </c>
      <c r="F27" s="121" t="s">
        <v>120</v>
      </c>
      <c r="G27" s="60" t="s">
        <v>191</v>
      </c>
      <c r="H27" s="68" t="s">
        <v>193</v>
      </c>
      <c r="I27" s="69"/>
      <c r="J27" s="70">
        <v>40</v>
      </c>
      <c r="K27" s="71"/>
      <c r="L27" s="71" t="s">
        <v>35</v>
      </c>
      <c r="M27" s="72">
        <v>0</v>
      </c>
      <c r="N27" s="73" t="s">
        <v>250</v>
      </c>
      <c r="O27" s="122"/>
    </row>
    <row r="28" spans="1:15" s="1" customFormat="1" ht="40.5" x14ac:dyDescent="0.25">
      <c r="A28" s="67" t="s">
        <v>101</v>
      </c>
      <c r="B28" s="67" t="s">
        <v>96</v>
      </c>
      <c r="C28" s="67" t="s">
        <v>93</v>
      </c>
      <c r="D28" s="67" t="s">
        <v>97</v>
      </c>
      <c r="E28" s="120" t="s">
        <v>99</v>
      </c>
      <c r="F28" s="121" t="s">
        <v>252</v>
      </c>
      <c r="G28" s="60" t="s">
        <v>191</v>
      </c>
      <c r="H28" s="68" t="s">
        <v>191</v>
      </c>
      <c r="I28" s="69"/>
      <c r="J28" s="70">
        <v>40</v>
      </c>
      <c r="K28" s="71"/>
      <c r="L28" s="71" t="s">
        <v>35</v>
      </c>
      <c r="M28" s="72">
        <v>0</v>
      </c>
      <c r="N28" s="73" t="s">
        <v>250</v>
      </c>
      <c r="O28" s="122"/>
    </row>
    <row r="29" spans="1:15" s="1" customFormat="1" x14ac:dyDescent="0.25">
      <c r="A29" s="67" t="s">
        <v>101</v>
      </c>
      <c r="B29" s="67" t="s">
        <v>96</v>
      </c>
      <c r="C29" s="67" t="s">
        <v>93</v>
      </c>
      <c r="D29" s="67" t="s">
        <v>97</v>
      </c>
      <c r="E29" s="120" t="s">
        <v>99</v>
      </c>
      <c r="F29" s="121" t="s">
        <v>126</v>
      </c>
      <c r="G29" s="60" t="s">
        <v>191</v>
      </c>
      <c r="H29" s="68" t="s">
        <v>193</v>
      </c>
      <c r="I29" s="69"/>
      <c r="J29" s="70">
        <v>40</v>
      </c>
      <c r="K29" s="71"/>
      <c r="L29" s="71" t="s">
        <v>35</v>
      </c>
      <c r="M29" s="72">
        <v>0</v>
      </c>
      <c r="N29" s="73" t="s">
        <v>250</v>
      </c>
      <c r="O29" s="122"/>
    </row>
    <row r="30" spans="1:15" s="1" customFormat="1" ht="27" x14ac:dyDescent="0.25">
      <c r="A30" s="67" t="s">
        <v>83</v>
      </c>
      <c r="B30" s="67" t="s">
        <v>96</v>
      </c>
      <c r="C30" s="67" t="s">
        <v>176</v>
      </c>
      <c r="D30" s="67" t="s">
        <v>152</v>
      </c>
      <c r="E30" s="120" t="s">
        <v>134</v>
      </c>
      <c r="F30" s="121" t="s">
        <v>246</v>
      </c>
      <c r="G30" s="60" t="s">
        <v>194</v>
      </c>
      <c r="H30" s="68" t="s">
        <v>195</v>
      </c>
      <c r="I30" s="69"/>
      <c r="J30" s="70">
        <v>1280</v>
      </c>
      <c r="K30" s="113">
        <v>224.5</v>
      </c>
      <c r="L30" s="71" t="s">
        <v>35</v>
      </c>
      <c r="M30" s="72">
        <v>0</v>
      </c>
      <c r="N30" s="73" t="s">
        <v>253</v>
      </c>
      <c r="O30" s="122"/>
    </row>
    <row r="31" spans="1:15" s="1" customFormat="1" ht="27" x14ac:dyDescent="0.25">
      <c r="A31" s="67" t="s">
        <v>101</v>
      </c>
      <c r="B31" s="67" t="s">
        <v>96</v>
      </c>
      <c r="C31" s="67" t="s">
        <v>93</v>
      </c>
      <c r="D31" s="67" t="s">
        <v>97</v>
      </c>
      <c r="E31" s="120" t="s">
        <v>99</v>
      </c>
      <c r="F31" s="121" t="s">
        <v>129</v>
      </c>
      <c r="G31" s="60" t="s">
        <v>196</v>
      </c>
      <c r="H31" s="68" t="s">
        <v>197</v>
      </c>
      <c r="I31" s="69"/>
      <c r="J31" s="70">
        <v>400</v>
      </c>
      <c r="K31" s="71"/>
      <c r="L31" s="71" t="s">
        <v>35</v>
      </c>
      <c r="M31" s="72">
        <v>0</v>
      </c>
      <c r="N31" s="126" t="s">
        <v>210</v>
      </c>
      <c r="O31" s="122"/>
    </row>
    <row r="32" spans="1:15" s="1" customFormat="1" x14ac:dyDescent="0.25">
      <c r="D32" s="192"/>
      <c r="E32" s="193"/>
      <c r="F32" s="193"/>
      <c r="O32" s="194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2"/>
  <sheetViews>
    <sheetView workbookViewId="0">
      <selection activeCell="B8" sqref="B8:B12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136</v>
      </c>
      <c r="C1" s="107"/>
      <c r="D1" s="107"/>
      <c r="E1" s="107"/>
      <c r="F1" s="107"/>
      <c r="G1" s="108"/>
      <c r="H1" s="174"/>
      <c r="I1" s="174"/>
      <c r="J1" s="174"/>
      <c r="K1" s="174"/>
      <c r="L1" s="174"/>
      <c r="M1" s="174"/>
      <c r="N1" s="174"/>
      <c r="O1" s="174"/>
      <c r="P1" s="174"/>
    </row>
    <row r="2" spans="1:16" x14ac:dyDescent="0.25">
      <c r="A2" s="109" t="s">
        <v>0</v>
      </c>
      <c r="B2" s="109" t="s">
        <v>137</v>
      </c>
      <c r="C2" s="128" t="s">
        <v>138</v>
      </c>
      <c r="D2" s="128" t="s">
        <v>139</v>
      </c>
      <c r="E2" s="128" t="s">
        <v>2</v>
      </c>
      <c r="F2" s="128" t="s">
        <v>137</v>
      </c>
      <c r="G2" s="109" t="s">
        <v>140</v>
      </c>
      <c r="H2" s="175" t="s">
        <v>141</v>
      </c>
      <c r="I2" s="176"/>
      <c r="J2" s="176"/>
      <c r="K2" s="176"/>
      <c r="L2" s="176"/>
      <c r="M2" s="176"/>
      <c r="N2" s="176"/>
      <c r="O2" s="176"/>
      <c r="P2" s="177"/>
    </row>
    <row r="3" spans="1:16" x14ac:dyDescent="0.25">
      <c r="A3" s="187" t="s">
        <v>152</v>
      </c>
      <c r="B3" s="187" t="s">
        <v>134</v>
      </c>
      <c r="C3" s="178" t="s">
        <v>83</v>
      </c>
      <c r="D3" s="179">
        <v>14</v>
      </c>
      <c r="E3" s="178" t="s">
        <v>35</v>
      </c>
      <c r="F3" s="178"/>
      <c r="G3" s="110" t="s">
        <v>142</v>
      </c>
      <c r="H3" s="114" t="s">
        <v>143</v>
      </c>
      <c r="I3" s="114" t="s">
        <v>144</v>
      </c>
      <c r="J3" s="114" t="s">
        <v>145</v>
      </c>
      <c r="K3" s="114" t="s">
        <v>146</v>
      </c>
      <c r="L3" s="114" t="s">
        <v>148</v>
      </c>
      <c r="M3" s="114" t="s">
        <v>147</v>
      </c>
      <c r="N3" s="114" t="s">
        <v>170</v>
      </c>
      <c r="O3" s="114"/>
      <c r="P3" s="114"/>
    </row>
    <row r="4" spans="1:16" x14ac:dyDescent="0.25">
      <c r="A4" s="188"/>
      <c r="B4" s="188"/>
      <c r="C4" s="189"/>
      <c r="D4" s="189"/>
      <c r="E4" s="189"/>
      <c r="F4" s="189"/>
      <c r="G4" s="110" t="s">
        <v>149</v>
      </c>
      <c r="H4" s="115">
        <v>10</v>
      </c>
      <c r="I4" s="115">
        <v>30</v>
      </c>
      <c r="J4" s="115">
        <v>42</v>
      </c>
      <c r="K4" s="115">
        <v>41</v>
      </c>
      <c r="L4" s="115">
        <v>29</v>
      </c>
      <c r="M4" s="115">
        <v>0</v>
      </c>
      <c r="N4" s="115">
        <v>0</v>
      </c>
      <c r="O4" s="115"/>
      <c r="P4" s="115"/>
    </row>
    <row r="5" spans="1:16" x14ac:dyDescent="0.25">
      <c r="A5" s="188"/>
      <c r="B5" s="188"/>
      <c r="C5" s="189"/>
      <c r="D5" s="189"/>
      <c r="E5" s="189"/>
      <c r="F5" s="189"/>
      <c r="G5" s="110" t="s">
        <v>150</v>
      </c>
      <c r="H5" s="116">
        <v>46024</v>
      </c>
      <c r="I5" s="116">
        <v>46036</v>
      </c>
      <c r="J5" s="116">
        <v>46036</v>
      </c>
      <c r="K5" s="116">
        <v>46036</v>
      </c>
      <c r="L5" s="116">
        <v>46036</v>
      </c>
      <c r="M5" s="116">
        <v>46136</v>
      </c>
      <c r="N5" s="116">
        <v>46136</v>
      </c>
      <c r="O5" s="116"/>
      <c r="P5" s="116"/>
    </row>
    <row r="6" spans="1:16" x14ac:dyDescent="0.25">
      <c r="A6" s="188"/>
      <c r="B6" s="188"/>
      <c r="C6" s="189"/>
      <c r="D6" s="189"/>
      <c r="E6" s="189"/>
      <c r="F6" s="189"/>
      <c r="G6" s="110" t="s">
        <v>36</v>
      </c>
      <c r="H6" s="116">
        <v>46035</v>
      </c>
      <c r="I6" s="116">
        <v>46164</v>
      </c>
      <c r="J6" s="116">
        <v>46099</v>
      </c>
      <c r="K6" s="116">
        <v>46164</v>
      </c>
      <c r="L6" s="116">
        <v>46098</v>
      </c>
      <c r="M6" s="116">
        <v>46203</v>
      </c>
      <c r="N6" s="116">
        <v>46258</v>
      </c>
      <c r="O6" s="116"/>
      <c r="P6" s="116"/>
    </row>
    <row r="7" spans="1:16" ht="67.5" x14ac:dyDescent="0.25">
      <c r="A7" s="190"/>
      <c r="B7" s="190"/>
      <c r="C7" s="189"/>
      <c r="D7" s="189"/>
      <c r="E7" s="189"/>
      <c r="F7" s="189"/>
      <c r="G7" s="110" t="s">
        <v>151</v>
      </c>
      <c r="H7" s="112" t="s">
        <v>171</v>
      </c>
      <c r="I7" s="112" t="s">
        <v>172</v>
      </c>
      <c r="J7" s="112" t="s">
        <v>173</v>
      </c>
      <c r="K7" s="112" t="s">
        <v>199</v>
      </c>
      <c r="L7" s="112" t="s">
        <v>192</v>
      </c>
      <c r="M7" s="112" t="s">
        <v>175</v>
      </c>
      <c r="N7" s="112" t="s">
        <v>174</v>
      </c>
      <c r="O7" s="111"/>
      <c r="P7" s="111"/>
    </row>
    <row r="8" spans="1:16" x14ac:dyDescent="0.25">
      <c r="A8" s="187" t="s">
        <v>213</v>
      </c>
      <c r="B8" s="187" t="s">
        <v>221</v>
      </c>
      <c r="C8" s="178" t="s">
        <v>52</v>
      </c>
      <c r="D8" s="179">
        <v>22</v>
      </c>
      <c r="E8" s="178" t="s">
        <v>35</v>
      </c>
      <c r="F8" s="178"/>
      <c r="G8" s="110" t="s">
        <v>142</v>
      </c>
      <c r="H8" s="123" t="s">
        <v>222</v>
      </c>
      <c r="I8" s="123" t="s">
        <v>223</v>
      </c>
      <c r="J8" s="123" t="s">
        <v>224</v>
      </c>
      <c r="K8" s="123" t="s">
        <v>225</v>
      </c>
      <c r="L8" s="123" t="s">
        <v>226</v>
      </c>
      <c r="M8" s="123" t="s">
        <v>227</v>
      </c>
      <c r="N8" s="123" t="s">
        <v>228</v>
      </c>
      <c r="O8" s="123"/>
      <c r="P8" s="123"/>
    </row>
    <row r="9" spans="1:16" x14ac:dyDescent="0.25">
      <c r="A9" s="188"/>
      <c r="B9" s="188"/>
      <c r="C9" s="189"/>
      <c r="D9" s="189"/>
      <c r="E9" s="189"/>
      <c r="F9" s="189"/>
      <c r="G9" s="110" t="s">
        <v>149</v>
      </c>
      <c r="H9" s="124">
        <v>0</v>
      </c>
      <c r="I9" s="124">
        <v>76</v>
      </c>
      <c r="J9" s="124">
        <v>0</v>
      </c>
      <c r="K9" s="124">
        <v>0</v>
      </c>
      <c r="L9" s="124">
        <v>0</v>
      </c>
      <c r="M9" s="124">
        <v>0</v>
      </c>
      <c r="N9" s="124">
        <v>0</v>
      </c>
      <c r="O9" s="124"/>
      <c r="P9" s="124"/>
    </row>
    <row r="10" spans="1:16" x14ac:dyDescent="0.25">
      <c r="A10" s="188"/>
      <c r="B10" s="188"/>
      <c r="C10" s="189"/>
      <c r="D10" s="189"/>
      <c r="E10" s="189"/>
      <c r="F10" s="189"/>
      <c r="G10" s="110" t="s">
        <v>150</v>
      </c>
      <c r="H10" s="111">
        <v>46148</v>
      </c>
      <c r="I10" s="111">
        <v>46149</v>
      </c>
      <c r="J10" s="111">
        <v>46163</v>
      </c>
      <c r="K10" s="111">
        <v>46163</v>
      </c>
      <c r="L10" s="111">
        <v>46163</v>
      </c>
      <c r="M10" s="111">
        <v>46163</v>
      </c>
      <c r="N10" s="111">
        <v>46167</v>
      </c>
      <c r="O10" s="111"/>
      <c r="P10" s="111"/>
    </row>
    <row r="11" spans="1:16" x14ac:dyDescent="0.25">
      <c r="A11" s="188"/>
      <c r="B11" s="188"/>
      <c r="C11" s="189"/>
      <c r="D11" s="189"/>
      <c r="E11" s="189"/>
      <c r="F11" s="189"/>
      <c r="G11" s="110" t="s">
        <v>36</v>
      </c>
      <c r="H11" s="111">
        <v>46167</v>
      </c>
      <c r="I11" s="111">
        <v>46163</v>
      </c>
      <c r="J11" s="111">
        <v>46163</v>
      </c>
      <c r="K11" s="111">
        <v>46163</v>
      </c>
      <c r="L11" s="111">
        <v>46163</v>
      </c>
      <c r="M11" s="111">
        <v>46163</v>
      </c>
      <c r="N11" s="111">
        <v>46189</v>
      </c>
      <c r="O11" s="111"/>
      <c r="P11" s="111"/>
    </row>
    <row r="12" spans="1:16" ht="54" x14ac:dyDescent="0.25">
      <c r="A12" s="190"/>
      <c r="B12" s="190"/>
      <c r="C12" s="191"/>
      <c r="D12" s="191"/>
      <c r="E12" s="191"/>
      <c r="F12" s="191"/>
      <c r="G12" s="110" t="s">
        <v>151</v>
      </c>
      <c r="H12" s="111"/>
      <c r="I12" s="112" t="s">
        <v>229</v>
      </c>
      <c r="J12" s="112" t="s">
        <v>230</v>
      </c>
      <c r="K12" s="112" t="s">
        <v>231</v>
      </c>
      <c r="L12" s="112" t="s">
        <v>232</v>
      </c>
      <c r="M12" s="112" t="s">
        <v>233</v>
      </c>
      <c r="N12" s="111"/>
      <c r="O12" s="111"/>
      <c r="P12" s="111"/>
    </row>
  </sheetData>
  <mergeCells count="14">
    <mergeCell ref="F8:F12"/>
    <mergeCell ref="A8:A12"/>
    <mergeCell ref="B8:B12"/>
    <mergeCell ref="C8:C12"/>
    <mergeCell ref="D8:D12"/>
    <mergeCell ref="E8:E12"/>
    <mergeCell ref="H1:P1"/>
    <mergeCell ref="H2:P2"/>
    <mergeCell ref="A3:A7"/>
    <mergeCell ref="B3:B7"/>
    <mergeCell ref="C3:C7"/>
    <mergeCell ref="D3:D7"/>
    <mergeCell ref="E3:E7"/>
    <mergeCell ref="F3:F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11"/>
  <sheetViews>
    <sheetView workbookViewId="0">
      <selection activeCell="K10" sqref="K10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21" s="1" customFormat="1" ht="16.5" customHeight="1" x14ac:dyDescent="0.25">
      <c r="A1" s="81" t="s">
        <v>10</v>
      </c>
      <c r="B1" s="81"/>
      <c r="C1" s="82" t="s">
        <v>218</v>
      </c>
      <c r="D1" s="83" t="s">
        <v>11</v>
      </c>
      <c r="E1" s="83"/>
      <c r="F1" s="83"/>
      <c r="G1" s="83"/>
      <c r="H1" s="83"/>
      <c r="I1" s="84" t="s">
        <v>98</v>
      </c>
      <c r="J1" s="84"/>
      <c r="K1" s="85"/>
    </row>
    <row r="2" spans="1:21" s="1" customFormat="1" ht="16.5" customHeight="1" x14ac:dyDescent="0.25">
      <c r="A2" s="180" t="s">
        <v>12</v>
      </c>
      <c r="B2" s="180"/>
      <c r="C2" s="180"/>
      <c r="D2" s="180"/>
      <c r="E2" s="86"/>
      <c r="F2" s="86"/>
      <c r="G2" s="86"/>
      <c r="H2" s="86"/>
      <c r="I2" s="86"/>
      <c r="J2" s="86"/>
      <c r="K2" s="183" t="s">
        <v>13</v>
      </c>
      <c r="L2" s="183"/>
      <c r="M2" s="183"/>
      <c r="N2" s="183"/>
      <c r="O2" s="183" t="s">
        <v>90</v>
      </c>
      <c r="P2" s="183"/>
      <c r="Q2" s="183"/>
      <c r="R2" s="183"/>
      <c r="S2" s="183"/>
      <c r="T2" s="183"/>
      <c r="U2" s="130" t="s">
        <v>14</v>
      </c>
    </row>
    <row r="3" spans="1:21" s="1" customFormat="1" ht="16.5" customHeight="1" x14ac:dyDescent="0.25">
      <c r="A3" s="87"/>
      <c r="B3" s="88"/>
      <c r="C3" s="181" t="s">
        <v>15</v>
      </c>
      <c r="D3" s="181"/>
      <c r="E3" s="182" t="s">
        <v>16</v>
      </c>
      <c r="F3" s="182"/>
      <c r="G3" s="182"/>
      <c r="H3" s="182"/>
      <c r="I3" s="89"/>
      <c r="J3" s="89"/>
      <c r="K3" s="90" t="s">
        <v>214</v>
      </c>
      <c r="L3" s="90" t="s">
        <v>219</v>
      </c>
      <c r="M3" s="90" t="s">
        <v>134</v>
      </c>
      <c r="N3" s="90" t="s">
        <v>17</v>
      </c>
      <c r="O3" s="90" t="s">
        <v>215</v>
      </c>
      <c r="P3" s="90" t="s">
        <v>220</v>
      </c>
      <c r="Q3" s="90" t="s">
        <v>216</v>
      </c>
      <c r="R3" s="90" t="s">
        <v>217</v>
      </c>
      <c r="S3" s="90" t="s">
        <v>203</v>
      </c>
      <c r="T3" s="90" t="s">
        <v>17</v>
      </c>
      <c r="U3" s="90"/>
    </row>
    <row r="4" spans="1:21" s="1" customFormat="1" ht="54" customHeight="1" x14ac:dyDescent="0.25">
      <c r="A4" s="91" t="s">
        <v>9</v>
      </c>
      <c r="B4" s="129" t="s">
        <v>18</v>
      </c>
      <c r="C4" s="129" t="s">
        <v>19</v>
      </c>
      <c r="D4" s="129" t="s">
        <v>20</v>
      </c>
      <c r="E4" s="129" t="s">
        <v>21</v>
      </c>
      <c r="F4" s="129" t="s">
        <v>22</v>
      </c>
      <c r="G4" s="129" t="s">
        <v>23</v>
      </c>
      <c r="H4" s="129" t="s">
        <v>24</v>
      </c>
      <c r="I4" s="129" t="s">
        <v>25</v>
      </c>
      <c r="J4" s="92" t="s">
        <v>86</v>
      </c>
      <c r="K4" s="185" t="s">
        <v>26</v>
      </c>
      <c r="L4" s="185"/>
      <c r="M4" s="185"/>
      <c r="N4" s="185"/>
      <c r="O4" s="185"/>
      <c r="P4" s="185"/>
      <c r="Q4" s="185"/>
      <c r="R4" s="185"/>
      <c r="S4" s="185"/>
      <c r="T4" s="185"/>
      <c r="U4" s="185"/>
    </row>
    <row r="5" spans="1:21" s="1" customFormat="1" ht="16.5" customHeight="1" x14ac:dyDescent="0.25">
      <c r="A5" s="93"/>
      <c r="B5" s="94" t="s">
        <v>27</v>
      </c>
      <c r="C5" s="95" t="s">
        <v>93</v>
      </c>
      <c r="D5" s="95" t="s">
        <v>135</v>
      </c>
      <c r="E5" s="94"/>
      <c r="F5" s="94"/>
      <c r="G5" s="94"/>
      <c r="H5" s="94"/>
      <c r="I5" s="94"/>
      <c r="J5" s="94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</row>
    <row r="6" spans="1:21" s="1" customFormat="1" ht="16.5" customHeight="1" x14ac:dyDescent="0.25">
      <c r="A6" s="96" t="s">
        <v>96</v>
      </c>
      <c r="B6" s="96" t="s">
        <v>101</v>
      </c>
      <c r="C6" s="97">
        <v>0</v>
      </c>
      <c r="D6" s="98">
        <v>1</v>
      </c>
      <c r="E6" s="102">
        <v>0</v>
      </c>
      <c r="F6" s="102">
        <v>0</v>
      </c>
      <c r="G6" s="98">
        <v>0</v>
      </c>
      <c r="H6" s="98">
        <v>0</v>
      </c>
      <c r="I6" s="101" t="s">
        <v>200</v>
      </c>
      <c r="J6" s="100"/>
      <c r="K6" s="102">
        <v>0</v>
      </c>
      <c r="L6" s="102">
        <v>0</v>
      </c>
      <c r="M6" s="102">
        <v>0</v>
      </c>
      <c r="N6" s="102">
        <v>0</v>
      </c>
      <c r="O6" s="99">
        <v>16</v>
      </c>
      <c r="P6" s="102">
        <v>0</v>
      </c>
      <c r="Q6" s="102">
        <v>0</v>
      </c>
      <c r="R6" s="102">
        <v>0</v>
      </c>
      <c r="S6" s="102">
        <v>0</v>
      </c>
      <c r="T6" s="99">
        <v>16</v>
      </c>
      <c r="U6" s="99">
        <v>16</v>
      </c>
    </row>
    <row r="7" spans="1:21" s="1" customFormat="1" ht="16.5" customHeight="1" x14ac:dyDescent="0.25">
      <c r="A7" s="93"/>
      <c r="B7" s="94" t="s">
        <v>27</v>
      </c>
      <c r="C7" s="95" t="s">
        <v>176</v>
      </c>
      <c r="D7" s="95" t="s">
        <v>135</v>
      </c>
      <c r="E7" s="94"/>
      <c r="F7" s="94"/>
      <c r="G7" s="94"/>
      <c r="H7" s="94"/>
      <c r="I7" s="94"/>
      <c r="J7" s="94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</row>
    <row r="8" spans="1:21" s="1" customFormat="1" ht="16.5" customHeight="1" x14ac:dyDescent="0.25">
      <c r="A8" s="96" t="s">
        <v>96</v>
      </c>
      <c r="B8" s="96" t="s">
        <v>83</v>
      </c>
      <c r="C8" s="97">
        <v>0.6875</v>
      </c>
      <c r="D8" s="98">
        <v>0.3125</v>
      </c>
      <c r="E8" s="102">
        <v>0</v>
      </c>
      <c r="F8" s="131">
        <v>27.5</v>
      </c>
      <c r="G8" s="98">
        <v>0</v>
      </c>
      <c r="H8" s="98">
        <v>0.21249999999999999</v>
      </c>
      <c r="I8" s="101" t="s">
        <v>202</v>
      </c>
      <c r="J8" s="100" t="s">
        <v>204</v>
      </c>
      <c r="K8" s="102">
        <v>0</v>
      </c>
      <c r="L8" s="102">
        <v>0</v>
      </c>
      <c r="M8" s="131">
        <v>27.5</v>
      </c>
      <c r="N8" s="131">
        <v>27.5</v>
      </c>
      <c r="O8" s="131">
        <v>0.5</v>
      </c>
      <c r="P8" s="99">
        <v>4</v>
      </c>
      <c r="Q8" s="99">
        <v>2</v>
      </c>
      <c r="R8" s="99">
        <v>2</v>
      </c>
      <c r="S8" s="99">
        <v>4</v>
      </c>
      <c r="T8" s="131">
        <v>12.5</v>
      </c>
      <c r="U8" s="99">
        <v>40</v>
      </c>
    </row>
    <row r="9" spans="1:21" s="1" customFormat="1" ht="16.5" customHeight="1" x14ac:dyDescent="0.25">
      <c r="A9" s="93"/>
      <c r="B9" s="94" t="s">
        <v>27</v>
      </c>
      <c r="C9" s="95" t="s">
        <v>184</v>
      </c>
      <c r="D9" s="95" t="s">
        <v>185</v>
      </c>
      <c r="E9" s="94"/>
      <c r="F9" s="94"/>
      <c r="G9" s="94"/>
      <c r="H9" s="94"/>
      <c r="I9" s="94"/>
      <c r="J9" s="94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</row>
    <row r="10" spans="1:21" s="1" customFormat="1" ht="16.5" customHeight="1" x14ac:dyDescent="0.25">
      <c r="A10" s="96" t="s">
        <v>96</v>
      </c>
      <c r="B10" s="96" t="s">
        <v>186</v>
      </c>
      <c r="C10" s="97">
        <v>0.82499999999999996</v>
      </c>
      <c r="D10" s="98">
        <v>0.17499999999999999</v>
      </c>
      <c r="E10" s="102">
        <v>0</v>
      </c>
      <c r="F10" s="99">
        <v>33</v>
      </c>
      <c r="G10" s="98">
        <v>0</v>
      </c>
      <c r="H10" s="98">
        <v>0</v>
      </c>
      <c r="I10" s="100"/>
      <c r="J10" s="100"/>
      <c r="K10" s="99">
        <v>29</v>
      </c>
      <c r="L10" s="99">
        <v>4</v>
      </c>
      <c r="M10" s="102">
        <v>0</v>
      </c>
      <c r="N10" s="99">
        <v>33</v>
      </c>
      <c r="O10" s="102">
        <v>0</v>
      </c>
      <c r="P10" s="102">
        <v>0</v>
      </c>
      <c r="Q10" s="99">
        <v>3</v>
      </c>
      <c r="R10" s="99">
        <v>4</v>
      </c>
      <c r="S10" s="102">
        <v>0</v>
      </c>
      <c r="T10" s="99">
        <v>7</v>
      </c>
      <c r="U10" s="99">
        <v>40</v>
      </c>
    </row>
    <row r="11" spans="1:21" s="1" customFormat="1" ht="16.5" customHeight="1" x14ac:dyDescent="0.25">
      <c r="A11" s="118" t="s">
        <v>201</v>
      </c>
      <c r="B11" s="118"/>
      <c r="C11" s="118"/>
      <c r="D11" s="118"/>
      <c r="E11" s="118"/>
      <c r="F11" s="118"/>
      <c r="G11" s="118"/>
      <c r="H11" s="118"/>
      <c r="I11" s="118"/>
      <c r="J11" s="119"/>
      <c r="K11" s="184"/>
      <c r="L11" s="184"/>
      <c r="M11" s="184"/>
      <c r="N11" s="184"/>
      <c r="O11" s="184"/>
      <c r="P11" s="184"/>
      <c r="Q11" s="184"/>
    </row>
  </sheetData>
  <mergeCells count="10">
    <mergeCell ref="K11:Q11"/>
    <mergeCell ref="K4:U4"/>
    <mergeCell ref="K5:U5"/>
    <mergeCell ref="K7:U7"/>
    <mergeCell ref="K9:U9"/>
    <mergeCell ref="A2:D2"/>
    <mergeCell ref="C3:D3"/>
    <mergeCell ref="E3:H3"/>
    <mergeCell ref="K2:N2"/>
    <mergeCell ref="O2:T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2026-05-21T06:31:11Z</dcterms:modified>
</cp:coreProperties>
</file>