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Microsoft JhengHei"/>
      <b val="1"/>
      <color rgb="00FFFFFF"/>
      <sz val="12"/>
    </font>
    <font>
      <name val="Microsoft JhengHei"/>
      <b val="1"/>
      <color rgb="00FFFFFF"/>
      <sz val="9"/>
    </font>
    <font>
      <name val="Microsoft JhengHei"/>
      <b val="1"/>
      <sz val="8"/>
    </font>
    <font>
      <name val="Arial"/>
      <sz val="8.5"/>
    </font>
    <font>
      <name val="Microsoft JhengHei"/>
      <sz val="8.5"/>
    </font>
    <font>
      <name val="Arial"/>
      <b val="1"/>
      <color rgb="00FFFFFF"/>
      <sz val="9"/>
    </font>
    <font>
      <name val="Arial"/>
      <b val="1"/>
      <sz val="9"/>
    </font>
    <font>
      <name val="Microsoft JhengHei"/>
      <b val="1"/>
      <color rgb="00D4AC0D"/>
      <sz val="8"/>
    </font>
    <font>
      <name val="Microsoft JhengHei"/>
      <b val="1"/>
      <color rgb="00D35400"/>
      <sz val="8"/>
    </font>
    <font>
      <name val="Microsoft JhengHei"/>
      <b val="1"/>
      <color rgb="00C0392B"/>
      <sz val="8"/>
    </font>
    <font>
      <name val="Microsoft JhengHei"/>
      <b val="1"/>
      <color rgb="0027AE60"/>
      <sz val="8"/>
    </font>
  </fonts>
  <fills count="2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980B9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7F8C8D"/>
      </patternFill>
    </fill>
    <fill>
      <patternFill patternType="solid">
        <fgColor rgb="0016A085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1948A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EAECEE"/>
      </patternFill>
    </fill>
    <fill>
      <patternFill patternType="solid">
        <fgColor rgb="00D1F2EB"/>
      </patternFill>
    </fill>
    <fill>
      <patternFill patternType="solid">
        <fgColor rgb="00F8F9FA"/>
      </patternFill>
    </fill>
    <fill>
      <patternFill patternType="solid">
        <fgColor rgb="00E59866"/>
      </patternFill>
    </fill>
    <fill>
      <patternFill patternType="solid">
        <fgColor rgb="00F9E79F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F0B27A"/>
      </patternFill>
    </fill>
    <fill>
      <patternFill patternType="solid">
        <fgColor rgb="00FFFF00"/>
      </patternFill>
    </fill>
    <fill>
      <patternFill patternType="solid">
        <fgColor rgb="00FAD7A0"/>
      </patternFill>
    </fill>
    <fill>
      <patternFill patternType="solid">
        <fgColor rgb="00A9DFBF"/>
      </patternFill>
    </fill>
    <fill>
      <patternFill patternType="solid">
        <fgColor rgb="00F5B7B1"/>
      </patternFill>
    </fill>
  </fills>
  <borders count="2">
    <border>
      <left/>
      <right/>
      <top/>
      <bottom/>
      <diagonal/>
    </border>
    <border>
      <left style="thin">
        <color rgb="00B0B7BC"/>
      </left>
      <right style="thin">
        <color rgb="00B0B7BC"/>
      </right>
      <top style="thin">
        <color rgb="00B0B7BC"/>
      </top>
      <bottom style="thin">
        <color rgb="00B0B7B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2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164" fontId="4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center" wrapText="1"/>
    </xf>
    <xf numFmtId="0" fontId="7" fillId="24" borderId="1" applyAlignment="1" pivotButton="0" quotePrefix="0" xfId="0">
      <alignment horizontal="center" vertical="center" wrapText="1"/>
    </xf>
    <xf numFmtId="164" fontId="4" fillId="23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center" vertical="center" wrapText="1"/>
    </xf>
    <xf numFmtId="0" fontId="7" fillId="26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7" fillId="28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30" customWidth="1" min="4" max="4"/>
    <col width="21.9" customWidth="1" min="5" max="5"/>
    <col width="25" customWidth="1" min="6" max="6"/>
    <col width="25" customWidth="1" min="7" max="7"/>
    <col width="10" customWidth="1" min="8" max="8"/>
    <col width="30" customWidth="1" min="9" max="9"/>
    <col width="28" customWidth="1" min="10" max="10"/>
    <col width="10" customWidth="1" min="11" max="11"/>
    <col width="28" customWidth="1" min="12" max="12"/>
    <col width="10" customWidth="1" min="13" max="13"/>
    <col width="8" customWidth="1" min="14" max="14"/>
    <col width="13.7" customWidth="1" min="15" max="15"/>
    <col width="32" customWidth="1" min="16" max="16"/>
    <col width="12" customWidth="1" min="17" max="17"/>
    <col width="12" customWidth="1" min="18" max="18"/>
    <col width="54.4" customWidth="1" min="19" max="19"/>
    <col width="8" customWidth="1" min="20" max="20"/>
    <col width="8" customWidth="1" min="21" max="21"/>
    <col width="8" customWidth="1" min="22" max="22"/>
    <col width="10" customWidth="1" min="23" max="23"/>
  </cols>
  <sheetData>
    <row r="1" ht="24" customHeight="1">
      <c r="A1" s="1" t="inlineStr">
        <is>
          <t>DFMEA — EPH 多重噴嘴電子水量計 DN13~DN50（ESI 電子式）｜主板 EPHBE1M-0002 D0／顯示板 EPHBE1D-0001 D0｜V0.1 草案 2026-08-13（LCD 常時顯示）｜黃色＝數值/規格待確認｜負責人/目標日為暫填，待跨機能會議定案</t>
        </is>
      </c>
    </row>
    <row r="2" ht="18" customHeight="1">
      <c r="A2" s="2" t="inlineStr">
        <is>
          <t>結構分析 Structure</t>
        </is>
      </c>
      <c r="B2" s="3" t="n"/>
      <c r="C2" s="3" t="n"/>
      <c r="D2" s="3" t="n"/>
      <c r="E2" s="4" t="inlineStr">
        <is>
          <t>功能/失效分析 Failure Analysis</t>
        </is>
      </c>
      <c r="F2" s="5" t="n"/>
      <c r="G2" s="5" t="n"/>
      <c r="H2" s="6" t="inlineStr">
        <is>
          <t>S</t>
        </is>
      </c>
      <c r="I2" s="7" t="inlineStr">
        <is>
          <t>原因/管制分析 Cause &amp; Control</t>
        </is>
      </c>
      <c r="J2" s="8" t="n"/>
      <c r="K2" s="8" t="n"/>
      <c r="L2" s="9" t="inlineStr">
        <is>
          <t>D / RPN</t>
        </is>
      </c>
      <c r="M2" s="10" t="n"/>
      <c r="N2" s="10" t="n"/>
      <c r="O2" s="11" t="inlineStr">
        <is>
          <t>改善措施 Improvement</t>
        </is>
      </c>
      <c r="P2" s="12" t="n"/>
      <c r="Q2" s="13" t="inlineStr">
        <is>
          <t>行動追蹤 Action Tracking</t>
        </is>
      </c>
      <c r="R2" s="14" t="n"/>
      <c r="S2" s="14" t="n"/>
      <c r="T2" s="15" t="inlineStr">
        <is>
          <t>修訂後RPN Revised</t>
        </is>
      </c>
      <c r="U2" s="16" t="n"/>
      <c r="V2" s="16" t="n"/>
      <c r="W2" s="16" t="n"/>
    </row>
    <row r="3" ht="42" customHeight="1">
      <c r="A3" s="17" t="inlineStr">
        <is>
          <t>項次
No.</t>
        </is>
      </c>
      <c r="B3" s="17" t="inlineStr">
        <is>
          <t>子系統/模組
Sub-system/Module</t>
        </is>
      </c>
      <c r="C3" s="17" t="inlineStr">
        <is>
          <t>零件/功能
Item/Function</t>
        </is>
      </c>
      <c r="D3" s="17" t="inlineStr">
        <is>
          <t>功能說明
Function Description</t>
        </is>
      </c>
      <c r="E3" s="18" t="inlineStr">
        <is>
          <t>潛在失效模式
Potential Failure Mode</t>
        </is>
      </c>
      <c r="F3" s="18" t="inlineStr">
        <is>
          <t>失效效應(系統)
Effect(System)</t>
        </is>
      </c>
      <c r="G3" s="18" t="inlineStr">
        <is>
          <t>失效效應(使用者)
Effect(End User)</t>
        </is>
      </c>
      <c r="H3" s="19" t="inlineStr">
        <is>
          <t>嚴重度
Severity(S)
1~10</t>
        </is>
      </c>
      <c r="I3" s="20" t="inlineStr">
        <is>
          <t>潛在失效原因
Potential Cause</t>
        </is>
      </c>
      <c r="J3" s="20" t="inlineStr">
        <is>
          <t>現有預防管制
Prevention Controls</t>
        </is>
      </c>
      <c r="K3" s="20" t="inlineStr">
        <is>
          <t>發生度
Occurrence(O)
1~10</t>
        </is>
      </c>
      <c r="L3" s="21" t="inlineStr">
        <is>
          <t>現有偵測管制
Detection Controls</t>
        </is>
      </c>
      <c r="M3" s="21" t="inlineStr">
        <is>
          <t>偵測度
Detection(D)
1~10</t>
        </is>
      </c>
      <c r="N3" s="21" t="inlineStr">
        <is>
          <t>RPN
S×O×D</t>
        </is>
      </c>
      <c r="O3" s="22" t="inlineStr">
        <is>
          <t>風險等級
Risk Level</t>
        </is>
      </c>
      <c r="P3" s="22" t="inlineStr">
        <is>
          <t>建議改善措施
Recommended Action</t>
        </is>
      </c>
      <c r="Q3" s="23" t="inlineStr">
        <is>
          <t>負責人
Owner</t>
        </is>
      </c>
      <c r="R3" s="23" t="inlineStr">
        <is>
          <t>目標完成日
Due Date</t>
        </is>
      </c>
      <c r="S3" s="23" t="inlineStr">
        <is>
          <t>採取措施
Action Taken</t>
        </is>
      </c>
      <c r="T3" s="24" t="inlineStr">
        <is>
          <t>修訂S
New S</t>
        </is>
      </c>
      <c r="U3" s="24" t="inlineStr">
        <is>
          <t>修訂O
New O</t>
        </is>
      </c>
      <c r="V3" s="24" t="inlineStr">
        <is>
          <t>修訂D
New D</t>
        </is>
      </c>
      <c r="W3" s="24" t="inlineStr">
        <is>
          <t>修訂RPN
New RPN</t>
        </is>
      </c>
    </row>
    <row r="4" ht="52" customHeight="1">
      <c r="A4" s="25" t="n">
        <v>1</v>
      </c>
      <c r="B4" s="26" t="inlineStr">
        <is>
          <t>電源次系統
Power Subsystem</t>
        </is>
      </c>
      <c r="C4" s="26" t="inlineStr">
        <is>
          <t>電池 ER26500（Li/SOCl₂ 3.6V/9Ah）
(SC)</t>
        </is>
      </c>
      <c r="D4" s="26" t="inlineStr">
        <is>
          <t>提供整機壽命期（≥8 年，型錄）之能量；電池不可更換</t>
        </is>
      </c>
      <c r="E4" s="26" t="inlineStr">
        <is>
          <t>容量提早耗盡</t>
        </is>
      </c>
      <c r="F4" s="26" t="inlineStr">
        <is>
          <t>整機停止計量與通訊</t>
        </is>
      </c>
      <c r="G4" s="26" t="inlineStr">
        <is>
          <t>錶提前報廢須整錶更換，計費中斷</t>
        </is>
      </c>
      <c r="H4" s="27" t="n">
        <v>8</v>
      </c>
      <c r="I4" s="26" t="inlineStr">
        <is>
          <t>誤喚醒未逾時返回睡眠
ESI 掃描率設定過高
改版新增常時漏電</t>
        </is>
      </c>
      <c r="J4" s="26" t="inlineStr">
        <is>
          <t>電流預算設計規則（手冊 2.3、式 2-1）
喚醒逾時返回睡眠韌體</t>
        </is>
      </c>
      <c r="K4" s="28" t="n">
        <v>3</v>
      </c>
      <c r="L4" s="26" t="inlineStr">
        <is>
          <t>低電壓旗標（V_BAT&lt;3.4V）＝LCD 電量 &lt;15% 閃爍（同一機制，B6）
電力不足天數（LbAt）計數（B6 診斷頁 5.6）
喚醒事件計數</t>
        </is>
      </c>
      <c r="M4" s="29" t="n">
        <v>4</v>
      </c>
      <c r="N4" s="30">
        <f>H4*K4*M4</f>
        <v/>
      </c>
      <c r="O4" s="31" t="inlineStr">
        <is>
          <t>🟡 中 Medium</t>
        </is>
      </c>
      <c r="P4" s="26" t="inlineStr">
        <is>
          <t>以 I_avg(max) ≤ 50 µA 建立壽命預算表並納入量產管制</t>
        </is>
      </c>
      <c r="Q4" s="25" t="inlineStr">
        <is>
          <t>R&amp;D-HW/FW</t>
        </is>
      </c>
      <c r="R4" s="32" t="n">
        <v>46295</v>
      </c>
      <c r="S4" s="26" t="inlineStr">
        <is>
          <t>已確認（2026-08-13）：I_avg ≤ 50 µA（max）→ 理論壽命 ≈ 9.0 Ah／50 µA ≈ 20.5 年（未計自放電），對宣告 8 年裕度 &gt;2 倍</t>
        </is>
      </c>
      <c r="T4" s="33" t="inlineStr"/>
      <c r="U4" s="33" t="inlineStr"/>
      <c r="V4" s="33" t="inlineStr"/>
      <c r="W4" s="33" t="inlineStr"/>
    </row>
    <row r="5" ht="52" customHeight="1">
      <c r="A5" s="34" t="n">
        <v>2</v>
      </c>
      <c r="B5" s="35" t="inlineStr">
        <is>
          <t>電源次系統
Power Subsystem</t>
        </is>
      </c>
      <c r="C5" s="35" t="inlineStr">
        <is>
          <t>電池 ER26500
(SC)</t>
        </is>
      </c>
      <c r="D5" s="35" t="inlineStr">
        <is>
          <t>脈衝負載（通訊）期間端電壓 ≥2.7 V</t>
        </is>
      </c>
      <c r="E5" s="35" t="inlineStr">
        <is>
          <t>鈍化致通訊時電壓瞬降</t>
        </is>
      </c>
      <c r="F5" s="35" t="inlineStr">
        <is>
          <t>MCU 掉電重置、交易中斷</t>
        </is>
      </c>
      <c r="G5" s="35" t="inlineStr">
        <is>
          <t>抄讀失敗、資料缺漏</t>
        </is>
      </c>
      <c r="H5" s="36" t="n">
        <v>6</v>
      </c>
      <c r="I5" s="35" t="inlineStr">
        <is>
          <t>Li/SOCl₂ 長期靜置後首次大電流放電之電壓遲滯（鈍化）</t>
        </is>
      </c>
      <c r="J5" s="35" t="inlineStr">
        <is>
          <t>輸出儲能 C2/C3/C4
通訊前小負載預熱（建議）</t>
        </is>
      </c>
      <c r="K5" s="28" t="n">
        <v>3</v>
      </c>
      <c r="L5" s="35" t="inlineStr">
        <is>
          <t>BOR 重置旗標記錄</t>
        </is>
      </c>
      <c r="M5" s="29" t="n">
        <v>5</v>
      </c>
      <c r="N5" s="30">
        <f>H5*K5*M5</f>
        <v/>
      </c>
      <c r="O5" s="31" t="inlineStr">
        <is>
          <t>🟡 中 Medium</t>
        </is>
      </c>
      <c r="P5" s="35" t="inlineStr">
        <is>
          <t>韌體實作通訊前電池預熱程序並驗證</t>
        </is>
      </c>
      <c r="Q5" s="34" t="inlineStr">
        <is>
          <t>R&amp;D-FW</t>
        </is>
      </c>
      <c r="R5" s="37" t="n">
        <v>46295</v>
      </c>
      <c r="S5" s="38" t="inlineStr">
        <is>
          <t>待確認：預熱程序是否已實作</t>
        </is>
      </c>
      <c r="T5" s="39" t="inlineStr"/>
      <c r="U5" s="39" t="inlineStr"/>
      <c r="V5" s="39" t="inlineStr"/>
      <c r="W5" s="39" t="inlineStr"/>
    </row>
    <row r="6" ht="52" customHeight="1">
      <c r="A6" s="25" t="n">
        <v>3</v>
      </c>
      <c r="B6" s="26" t="inlineStr">
        <is>
          <t>電源次系統
Power Subsystem</t>
        </is>
      </c>
      <c r="C6" s="26" t="inlineStr">
        <is>
          <t>LDO 穩壓（U1 TPS7A2033）
(SC)</t>
        </is>
      </c>
      <c r="D6" s="26" t="inlineStr">
        <is>
          <t>V_BAT 全宣告範圍內 VDD_3V3 穩定 3.3 V</t>
        </is>
      </c>
      <c r="E6" s="26" t="inlineStr">
        <is>
          <t>LDO 失調（電池末期＋大負載）</t>
        </is>
      </c>
      <c r="F6" s="26" t="inlineStr">
        <is>
          <t>ADC/ESI 參考劣化 → 器差超差</t>
        </is>
      </c>
      <c r="G6" s="26" t="inlineStr">
        <is>
          <t>計量不準（CNPA49 8.8 不合格風險）</t>
        </is>
      </c>
      <c r="H6" s="36" t="n">
        <v>7</v>
      </c>
      <c r="I6" s="26" t="inlineStr">
        <is>
          <t>電池內阻上升＋通訊負載使瞬時 V_IN 低於穩壓需求（式 4-1）</t>
        </is>
      </c>
      <c r="J6" s="26" t="inlineStr">
        <is>
          <t>低電壓門檻 3.4 V 提前警示
LDO 壓差隨輕載縮小（140mV 為滿載值）</t>
        </is>
      </c>
      <c r="K6" s="28" t="n">
        <v>3</v>
      </c>
      <c r="L6" s="26" t="inlineStr">
        <is>
          <t>低電壓旗標＋8.8 型式試驗（Ubmin 兩端驗證）</t>
        </is>
      </c>
      <c r="M6" s="29" t="n">
        <v>4</v>
      </c>
      <c r="N6" s="30">
        <f>H6*K6*M6</f>
        <v/>
      </c>
      <c r="O6" s="31" t="inlineStr">
        <is>
          <t>🟡 中 Medium</t>
        </is>
      </c>
      <c r="P6" s="38" t="inlineStr">
        <is>
          <t>Ubmin 宣告值（擬 3.4 V）向驗證機構提報確認</t>
        </is>
      </c>
      <c r="Q6" s="25" t="inlineStr">
        <is>
          <t>QA</t>
        </is>
      </c>
      <c r="R6" s="32" t="n">
        <v>46310</v>
      </c>
      <c r="S6" s="38" t="inlineStr">
        <is>
          <t>待確認：Ubmin 宣告值之驗證機構確認</t>
        </is>
      </c>
      <c r="T6" s="33" t="inlineStr"/>
      <c r="U6" s="33" t="inlineStr"/>
      <c r="V6" s="33" t="inlineStr"/>
      <c r="W6" s="33" t="inlineStr"/>
    </row>
    <row r="7" ht="52" customHeight="1">
      <c r="A7" s="34" t="n">
        <v>4</v>
      </c>
      <c r="B7" s="35" t="inlineStr">
        <is>
          <t>電源次系統
Power Subsystem</t>
        </is>
      </c>
      <c r="C7" s="35" t="inlineStr">
        <is>
          <t>電池電壓偵測（R3/R5 分壓）</t>
        </is>
      </c>
      <c r="D7" s="35" t="inlineStr">
        <is>
          <t>BAT_DET 準確反映電池電壓（增益 0.5）</t>
        </is>
      </c>
      <c r="E7" s="35" t="inlineStr">
        <is>
          <t>BAT_DET 誤判</t>
        </is>
      </c>
      <c r="F7" s="35" t="inlineStr">
        <is>
          <t>低電量誤報／漏報</t>
        </is>
      </c>
      <c r="G7" s="35" t="inlineStr">
        <is>
          <t>低電量不動作或提早鎖定通訊</t>
        </is>
      </c>
      <c r="H7" s="40" t="n">
        <v>5</v>
      </c>
      <c r="I7" s="35" t="inlineStr">
        <is>
          <t>高濕下 1 MΩ 高阻節點表面漏電（CNPA49 8.6）
ADC 取樣時間不足（源阻抗 500 kΩ）</t>
        </is>
      </c>
      <c r="J7" s="35" t="inlineStr">
        <is>
          <t>C5 取樣電荷庫
ADC 取樣時間設計規則（手冊 4.4）</t>
        </is>
      </c>
      <c r="K7" s="41" t="n">
        <v>4</v>
      </c>
      <c r="L7" s="35" t="inlineStr">
        <is>
          <t>濕熱循環試驗（8.6）前後讀值比對</t>
        </is>
      </c>
      <c r="M7" s="29" t="n">
        <v>5</v>
      </c>
      <c r="N7" s="30">
        <f>H7*K7*M7</f>
        <v/>
      </c>
      <c r="O7" s="42" t="inlineStr">
        <is>
          <t>🟠 高 High</t>
        </is>
      </c>
      <c r="P7" s="35" t="inlineStr">
        <is>
          <t>高阻節點三防漆塗佈與護環導入</t>
        </is>
      </c>
      <c r="Q7" s="34" t="inlineStr">
        <is>
          <t>R&amp;D-HW/MFG</t>
        </is>
      </c>
      <c r="R7" s="37" t="n">
        <v>46326</v>
      </c>
      <c r="S7" s="38" t="inlineStr">
        <is>
          <t>已確認（2026-08-13）：現行板未塗佈三防漆；導入之材質/塗佈範圍待定</t>
        </is>
      </c>
      <c r="T7" s="39" t="inlineStr"/>
      <c r="U7" s="39" t="inlineStr"/>
      <c r="V7" s="39" t="inlineStr"/>
      <c r="W7" s="39" t="inlineStr"/>
    </row>
    <row r="8" ht="52" customHeight="1">
      <c r="A8" s="25" t="n">
        <v>5</v>
      </c>
      <c r="B8" s="26" t="inlineStr">
        <is>
          <t>電源次系統
Power Subsystem</t>
        </is>
      </c>
      <c r="C8" s="26" t="inlineStr">
        <is>
          <t>電源入口保護（D1 @ 預留）</t>
        </is>
      </c>
      <c r="D8" s="26" t="inlineStr">
        <is>
          <t>入口突波不損壞電路</t>
        </is>
      </c>
      <c r="E8" s="26" t="inlineStr">
        <is>
          <t>突波損壞</t>
        </is>
      </c>
      <c r="F8" s="26" t="inlineStr">
        <is>
          <t>電源入口元件損壞</t>
        </is>
      </c>
      <c r="G8" s="26" t="inlineStr">
        <is>
          <t>錶失效</t>
        </is>
      </c>
      <c r="H8" s="27" t="n">
        <v>8</v>
      </c>
      <c r="I8" s="26" t="inlineStr">
        <is>
          <t>外部突波經電池線耦合（D1 為 @ 不上件預留位置）</t>
        </is>
      </c>
      <c r="J8" s="26" t="inlineStr">
        <is>
          <t>電池內建於錶內、入口線路短
錶體密封（IP68）</t>
        </is>
      </c>
      <c r="K8" s="28" t="n">
        <v>2</v>
      </c>
      <c r="L8" s="26" t="inlineStr">
        <is>
          <t>CNPA49 8.16 型式試驗</t>
        </is>
      </c>
      <c r="M8" s="43" t="n">
        <v>6</v>
      </c>
      <c r="N8" s="30">
        <f>H8*K8*M8</f>
        <v/>
      </c>
      <c r="O8" s="31" t="inlineStr">
        <is>
          <t>🟡 中 Medium</t>
        </is>
      </c>
      <c r="P8" s="26" t="inlineStr">
        <is>
          <t>維持 @ 不上件；8.16 型式試驗後檢討上件必要性</t>
        </is>
      </c>
      <c r="Q8" s="25" t="inlineStr">
        <is>
          <t>R&amp;D-HW</t>
        </is>
      </c>
      <c r="R8" s="32" t="n">
        <v>46310</v>
      </c>
      <c r="S8" s="26" t="inlineStr">
        <is>
          <t>已決策（2026-08-13）：維持不上件，依 8.16 型式試驗結果再檢討</t>
        </is>
      </c>
      <c r="T8" s="33" t="inlineStr"/>
      <c r="U8" s="33" t="inlineStr"/>
      <c r="V8" s="33" t="inlineStr"/>
      <c r="W8" s="33" t="inlineStr"/>
    </row>
    <row r="9" ht="52" customHeight="1">
      <c r="A9" s="34" t="n">
        <v>6</v>
      </c>
      <c r="B9" s="35" t="inlineStr">
        <is>
          <t>感測次系統（ESI）
Sensing Subsystem</t>
        </is>
      </c>
      <c r="C9" s="35" t="inlineStr">
        <is>
          <t>LC 諧振電路（L1/L2＋C22/C24）
(SC)</t>
        </is>
      </c>
      <c r="D9" s="35" t="inlineStr">
        <is>
          <t>葉輪轉動 → 正確之正交計數（不漏計）</t>
        </is>
      </c>
      <c r="E9" s="35" t="inlineStr">
        <is>
          <t>漏計</t>
        </is>
      </c>
      <c r="F9" s="35" t="inlineStr">
        <is>
          <t>累計水量少計、器差超差（表 1 公差）</t>
        </is>
      </c>
      <c r="G9" s="35" t="inlineStr">
        <is>
          <t>少計費；型式/檢定不合格</t>
        </is>
      </c>
      <c r="H9" s="27" t="n">
        <v>8</v>
      </c>
      <c r="I9" s="35" t="inlineStr">
        <is>
          <t>衰減對比不足（感測距離機構公差）
圖面未標 C0G 之替料風險（現行用料已確認 C0G/NP0）
門檻未隨溫度自適應</t>
        </is>
      </c>
      <c r="J9" s="35" t="inlineStr">
        <is>
          <t>現行用料 C0G/NP0（已確認）
比例式/自適應門檻＋定期重校</t>
        </is>
      </c>
      <c r="K9" s="28" t="n">
        <v>3</v>
      </c>
      <c r="L9" s="35" t="inlineStr">
        <is>
          <t>流量台校驗
自我診斷旗標</t>
        </is>
      </c>
      <c r="M9" s="29" t="n">
        <v>4</v>
      </c>
      <c r="N9" s="30">
        <f>H9*K9*M9</f>
        <v/>
      </c>
      <c r="O9" s="31" t="inlineStr">
        <is>
          <t>🟡 中 Medium</t>
        </is>
      </c>
      <c r="P9" s="35" t="inlineStr">
        <is>
          <t>圖面補標 C0G/NP0 並鎖定替料規格（防止未來誤用）</t>
        </is>
      </c>
      <c r="Q9" s="34" t="inlineStr">
        <is>
          <t>R&amp;D-HW/採購</t>
        </is>
      </c>
      <c r="R9" s="37" t="n">
        <v>46280</v>
      </c>
      <c r="S9" s="35" t="inlineStr">
        <is>
          <t>已確認（2026-08-13）：現行量產用料為 C0G/NP0；圖面補標待執行</t>
        </is>
      </c>
      <c r="T9" s="39" t="inlineStr"/>
      <c r="U9" s="39" t="inlineStr"/>
      <c r="V9" s="39" t="inlineStr"/>
      <c r="W9" s="39" t="inlineStr"/>
    </row>
    <row r="10" ht="52" customHeight="1">
      <c r="A10" s="25" t="n">
        <v>7</v>
      </c>
      <c r="B10" s="26" t="inlineStr">
        <is>
          <t>感測次系統（ESI）
Sensing Subsystem</t>
        </is>
      </c>
      <c r="C10" s="26" t="inlineStr">
        <is>
          <t>ESI 計數（含 PSM 去彈跳）
(SC)</t>
        </is>
      </c>
      <c r="D10" s="26" t="inlineStr">
        <is>
          <t>無流時計數為零（CNPA49 8.19）</t>
        </is>
      </c>
      <c r="E10" s="26" t="inlineStr">
        <is>
          <t>無流爬數（多計）</t>
        </is>
      </c>
      <c r="F10" s="26" t="inlineStr">
        <is>
          <t>無流時讀數增加</t>
        </is>
      </c>
      <c r="G10" s="26" t="inlineStr">
        <is>
          <t>多計費、8.19 斷流測試不合格</t>
        </is>
      </c>
      <c r="H10" s="27" t="n">
        <v>8</v>
      </c>
      <c r="I10" s="26" t="inlineStr">
        <is>
          <t>外接線共地雜訊抬升底噪（EMC-IR-2026-001 機制 #1）
門檻裕度不足</t>
        </is>
      </c>
      <c r="J10" s="26" t="inlineStr">
        <is>
          <t>ESI 地島＋星狀接地（改版 B3）
遲滯＋最小脈寬＋方向驗證</t>
        </is>
      </c>
      <c r="K10" s="44" t="n">
        <v>5</v>
      </c>
      <c r="L10" s="38" t="inlineStr">
        <is>
          <t>斷流測試（充水/排空各 15 分）
底噪頻譜量測（V1–V3）</t>
        </is>
      </c>
      <c r="M10" s="29" t="n">
        <v>4</v>
      </c>
      <c r="N10" s="30">
        <f>H10*K10*M10</f>
        <v/>
      </c>
      <c r="O10" s="45" t="inlineStr">
        <is>
          <t>🔴 極高 Critical</t>
        </is>
      </c>
      <c r="P10" s="26" t="inlineStr">
        <is>
          <t>實測接線前後 ESI 底噪並確立裕度目標（基準 +3dB 內）</t>
        </is>
      </c>
      <c r="Q10" s="25" t="inlineStr">
        <is>
          <t>R&amp;D-HW/EMC</t>
        </is>
      </c>
      <c r="R10" s="32" t="n">
        <v>46295</v>
      </c>
      <c r="S10" s="38" t="inlineStr">
        <is>
          <t>待確認：ESI 底噪實測值與裕度目標</t>
        </is>
      </c>
      <c r="T10" s="33" t="inlineStr"/>
      <c r="U10" s="33" t="inlineStr"/>
      <c r="V10" s="33" t="inlineStr"/>
      <c r="W10" s="33" t="inlineStr"/>
    </row>
    <row r="11" ht="52" customHeight="1">
      <c r="A11" s="34" t="n">
        <v>8</v>
      </c>
      <c r="B11" s="35" t="inlineStr">
        <is>
          <t>感測次系統（ESI）
Sensing Subsystem</t>
        </is>
      </c>
      <c r="C11" s="35" t="inlineStr">
        <is>
          <t>正交雙通道（L1/L2 相位）</t>
        </is>
      </c>
      <c r="D11" s="35" t="inlineStr">
        <is>
          <t>流向判別正確（正流/逆流）</t>
        </is>
      </c>
      <c r="E11" s="35" t="inlineStr">
        <is>
          <t>方向誤判</t>
        </is>
      </c>
      <c r="F11" s="35" t="inlineStr">
        <is>
          <t>逆流計為正流</t>
        </is>
      </c>
      <c r="G11" s="35" t="inlineStr">
        <is>
          <t>計費爭議</t>
        </is>
      </c>
      <c r="H11" s="36" t="n">
        <v>6</v>
      </c>
      <c r="I11" s="35" t="inlineStr">
        <is>
          <t>單通道失效或機構裝配相位異常</t>
        </is>
      </c>
      <c r="J11" s="35" t="inlineStr">
        <is>
          <t>PSM 正交狀態機：僅完整循序計數（硬體去彈跳）</t>
        </is>
      </c>
      <c r="K11" s="28" t="n">
        <v>3</v>
      </c>
      <c r="L11" s="35" t="inlineStr">
        <is>
          <t>雙向流量測試</t>
        </is>
      </c>
      <c r="M11" s="29" t="n">
        <v>4</v>
      </c>
      <c r="N11" s="30">
        <f>H11*K11*M11</f>
        <v/>
      </c>
      <c r="O11" s="31" t="inlineStr">
        <is>
          <t>🟡 中 Medium</t>
        </is>
      </c>
      <c r="P11" s="35" t="inlineStr">
        <is>
          <t>—</t>
        </is>
      </c>
      <c r="Q11" s="34" t="inlineStr">
        <is>
          <t>—</t>
        </is>
      </c>
      <c r="R11" s="39" t="inlineStr">
        <is>
          <t>—</t>
        </is>
      </c>
      <c r="S11" s="35" t="inlineStr"/>
      <c r="T11" s="39" t="inlineStr"/>
      <c r="U11" s="39" t="inlineStr"/>
      <c r="V11" s="39" t="inlineStr"/>
      <c r="W11" s="39" t="inlineStr"/>
    </row>
    <row r="12" ht="52" customHeight="1">
      <c r="A12" s="25" t="n">
        <v>9</v>
      </c>
      <c r="B12" s="26" t="inlineStr">
        <is>
          <t>感測次系統（ESI）
Sensing Subsystem</t>
        </is>
      </c>
      <c r="C12" s="26" t="inlineStr">
        <is>
          <t>感測線圈抗磁（L1/L2 鐵芯）
(SC)</t>
        </is>
      </c>
      <c r="D12" s="26" t="inlineStr">
        <is>
          <t>1500 G 靜磁場下器差合格（CNPA49 8.18）</t>
        </is>
      </c>
      <c r="E12" s="26" t="inlineStr">
        <is>
          <t>強磁下漏計／竄改</t>
        </is>
      </c>
      <c r="F12" s="26" t="inlineStr">
        <is>
          <t>鐵芯飽和 → 電感下降、f0 偏移 → 漏計</t>
        </is>
      </c>
      <c r="G12" s="26" t="inlineStr">
        <is>
          <t>竊水（磁竄改）；認證不合格</t>
        </is>
      </c>
      <c r="H12" s="27" t="n">
        <v>8</v>
      </c>
      <c r="I12" s="26" t="inlineStr">
        <is>
          <t>外加強磁使鐵芯部分飽和
外磁竄改行為</t>
        </is>
      </c>
      <c r="J12" s="26" t="inlineStr">
        <is>
          <t>非磁傳動架構（無磁石）</t>
        </is>
      </c>
      <c r="K12" s="28" t="n">
        <v>3</v>
      </c>
      <c r="L12" s="38" t="inlineStr">
        <is>
          <t>8.18 型式試驗
LCD 受磁符號顯示＋磁干擾天數計數（B6 5.7，現行已實作）</t>
        </is>
      </c>
      <c r="M12" s="29" t="n">
        <v>5</v>
      </c>
      <c r="N12" s="30">
        <f>H12*K12*M12</f>
        <v/>
      </c>
      <c r="O12" s="42" t="inlineStr">
        <is>
          <t>🟠 高 High</t>
        </is>
      </c>
      <c r="P12" s="26" t="inlineStr">
        <is>
          <t>量測 L1/L2 於 1500 G 之電感變化；評估屏蔽必要性</t>
        </is>
      </c>
      <c r="Q12" s="25" t="inlineStr">
        <is>
          <t>R&amp;D-HW</t>
        </is>
      </c>
      <c r="R12" s="32" t="n">
        <v>46326</v>
      </c>
      <c r="S12" s="38" t="inlineStr">
        <is>
          <t>待確認：L1/L2 飽和特性數據（尚未量測）；偵測欄已依操作手冊 B6 納入受磁符號＋磁干擾天數（2026-08-13，D 7→5）</t>
        </is>
      </c>
      <c r="T12" s="33" t="inlineStr"/>
      <c r="U12" s="33" t="inlineStr"/>
      <c r="V12" s="33" t="inlineStr"/>
      <c r="W12" s="33" t="inlineStr"/>
    </row>
    <row r="13" ht="52" customHeight="1">
      <c r="A13" s="34" t="n">
        <v>10</v>
      </c>
      <c r="B13" s="35" t="inlineStr">
        <is>
          <t>感測次系統（ESI）
Sensing Subsystem</t>
        </is>
      </c>
      <c r="C13" s="35" t="inlineStr">
        <is>
          <t>ESI 掃描率設定（韌體）
(SC)</t>
        </is>
      </c>
      <c r="D13" s="35" t="inlineStr">
        <is>
          <t>滿量程（qs）不漏計：f_scan ≥ 4·f_rot,max（式 6-5）</t>
        </is>
      </c>
      <c r="E13" s="35" t="inlineStr">
        <is>
          <t>高流量漏計</t>
        </is>
      </c>
      <c r="F13" s="35" t="inlineStr">
        <is>
          <t>超載流量段少計</t>
        </is>
      </c>
      <c r="G13" s="35" t="inlineStr">
        <is>
          <t>器差超差</t>
        </is>
      </c>
      <c r="H13" s="36" t="n">
        <v>7</v>
      </c>
      <c r="I13" s="35" t="inlineStr">
        <is>
          <t>掃描率設定低於 4×f_rot,max</t>
        </is>
      </c>
      <c r="J13" s="35" t="inlineStr">
        <is>
          <t>f_scan=500Hz vs f_rot,max=50 圈/s → 最低 200Hz，裕度 2.5 倍（10×f_rot,max，滿足 ≥8 倍建議）</t>
        </is>
      </c>
      <c r="K13" s="28" t="n">
        <v>2</v>
      </c>
      <c r="L13" s="35" t="inlineStr">
        <is>
          <t>流量台滿量程（qs）驗證</t>
        </is>
      </c>
      <c r="M13" s="28" t="n">
        <v>3</v>
      </c>
      <c r="N13" s="30">
        <f>H13*K13*M13</f>
        <v/>
      </c>
      <c r="O13" s="46" t="inlineStr">
        <is>
          <t>🟢 低 Low</t>
        </is>
      </c>
      <c r="P13" s="35" t="inlineStr">
        <is>
          <t>—</t>
        </is>
      </c>
      <c r="Q13" s="34" t="inlineStr">
        <is>
          <t>—</t>
        </is>
      </c>
      <c r="R13" s="39" t="inlineStr">
        <is>
          <t>—</t>
        </is>
      </c>
      <c r="S13" s="35" t="inlineStr">
        <is>
          <t>已確認（2026-08-13）：f_scan=500Hz、f_rot,max=50 圈/s，式 (6-5) 成立（500 ≥ 200Hz）；改量程/葉輪時重新核算</t>
        </is>
      </c>
      <c r="T13" s="39" t="inlineStr"/>
      <c r="U13" s="39" t="inlineStr"/>
      <c r="V13" s="39" t="inlineStr"/>
      <c r="W13" s="39" t="inlineStr"/>
    </row>
    <row r="14" ht="52" customHeight="1">
      <c r="A14" s="25" t="n">
        <v>11</v>
      </c>
      <c r="B14" s="26" t="inlineStr">
        <is>
          <t>電子控制次系統
Electronic Control Subsystem</t>
        </is>
      </c>
      <c r="C14" s="26" t="inlineStr">
        <is>
          <t>MCU FRAM（U2 MSP430FR5989）
(SC)</t>
        </is>
      </c>
      <c r="D14" s="26" t="inlineStr">
        <is>
          <t>累計讀數斷電不失、不毀損</t>
        </is>
      </c>
      <c r="E14" s="26" t="inlineStr">
        <is>
          <t>累計讀數毀損</t>
        </is>
      </c>
      <c r="F14" s="26" t="inlineStr">
        <is>
          <t>計費基準遺失（最嚴重單一失效）</t>
        </is>
      </c>
      <c r="G14" s="26" t="inlineStr">
        <is>
          <t>計費錯誤、客訴/法遵風險</t>
        </is>
      </c>
      <c r="H14" s="27" t="n">
        <v>9</v>
      </c>
      <c r="I14" s="26" t="inlineStr">
        <is>
          <t>寫入中掉電
FRAM 寫入異常</t>
        </is>
      </c>
      <c r="J14" s="38" t="inlineStr">
        <is>
          <t>FRAM 非揮發架構
SVS/BOR 低壓禁寫</t>
        </is>
      </c>
      <c r="K14" s="28" t="n">
        <v>2</v>
      </c>
      <c r="L14" s="26" t="inlineStr">
        <is>
          <t>讀數 CRC／鏡像備份比對（韌體）</t>
        </is>
      </c>
      <c r="M14" s="29" t="n">
        <v>4</v>
      </c>
      <c r="N14" s="30">
        <f>H14*K14*M14</f>
        <v/>
      </c>
      <c r="O14" s="31" t="inlineStr">
        <is>
          <t>🟡 中 Medium</t>
        </is>
      </c>
      <c r="P14" s="26" t="inlineStr">
        <is>
          <t>確認 SVS/BOR 門檻與低壓禁寫實作；讀數雙備份</t>
        </is>
      </c>
      <c r="Q14" s="25" t="inlineStr">
        <is>
          <t>R&amp;D-FW</t>
        </is>
      </c>
      <c r="R14" s="32" t="n">
        <v>46280</v>
      </c>
      <c r="S14" s="38" t="inlineStr">
        <is>
          <t>待確認：SVS/BOR 設定與低壓禁寫實作</t>
        </is>
      </c>
      <c r="T14" s="33" t="inlineStr"/>
      <c r="U14" s="33" t="inlineStr"/>
      <c r="V14" s="33" t="inlineStr"/>
      <c r="W14" s="33" t="inlineStr"/>
    </row>
    <row r="15" ht="52" customHeight="1">
      <c r="A15" s="34" t="n">
        <v>12</v>
      </c>
      <c r="B15" s="35" t="inlineStr">
        <is>
          <t>電子控制次系統
Electronic Control Subsystem</t>
        </is>
      </c>
      <c r="C15" s="35" t="inlineStr">
        <is>
          <t>MCU 重置電路（R32/C20）</t>
        </is>
      </c>
      <c r="D15" s="35" t="inlineStr">
        <is>
          <t>不發生非預期重置</t>
        </is>
      </c>
      <c r="E15" s="35" t="inlineStr">
        <is>
          <t>EMC 干擾致重置</t>
        </is>
      </c>
      <c r="F15" s="35" t="inlineStr">
        <is>
          <t>時戳錯亂、狀態遺失</t>
        </is>
      </c>
      <c r="G15" s="35" t="inlineStr">
        <is>
          <t>記錄不連續</t>
        </is>
      </c>
      <c r="H15" s="40" t="n">
        <v>5</v>
      </c>
      <c r="I15" s="35" t="inlineStr">
        <is>
          <t>EFT/ESD/RF 進入 RST／時脈腳（8.11/8.13/8.14）</t>
        </is>
      </c>
      <c r="J15" s="35" t="inlineStr">
        <is>
          <t>C20 重置去彈跳
訊號 22Ω 串阻＋電源腳去耦</t>
        </is>
      </c>
      <c r="K15" s="28" t="n">
        <v>3</v>
      </c>
      <c r="L15" s="35" t="inlineStr">
        <is>
          <t>BOR/WDT 旗標記錄
EMC 型式試驗</t>
        </is>
      </c>
      <c r="M15" s="29" t="n">
        <v>5</v>
      </c>
      <c r="N15" s="30">
        <f>H15*K15*M15</f>
        <v/>
      </c>
      <c r="O15" s="31" t="inlineStr">
        <is>
          <t>🟡 中 Medium</t>
        </is>
      </c>
      <c r="P15" s="35" t="inlineStr">
        <is>
          <t>—</t>
        </is>
      </c>
      <c r="Q15" s="34" t="inlineStr">
        <is>
          <t>—</t>
        </is>
      </c>
      <c r="R15" s="39" t="inlineStr">
        <is>
          <t>—</t>
        </is>
      </c>
      <c r="S15" s="35" t="inlineStr"/>
      <c r="T15" s="39" t="inlineStr"/>
      <c r="U15" s="39" t="inlineStr"/>
      <c r="V15" s="39" t="inlineStr"/>
      <c r="W15" s="39" t="inlineStr"/>
    </row>
    <row r="16" ht="52" customHeight="1">
      <c r="A16" s="25" t="n">
        <v>13</v>
      </c>
      <c r="B16" s="26" t="inlineStr">
        <is>
          <t>電子控制次系統
Electronic Control Subsystem</t>
        </is>
      </c>
      <c r="C16" s="26" t="inlineStr">
        <is>
          <t>時基（Y1 32.768kHz＋C21/C23）</t>
        </is>
      </c>
      <c r="D16" s="26" t="inlineStr">
        <is>
          <t>時基誤差在設計預算內</t>
        </is>
      </c>
      <c r="E16" s="26" t="inlineStr">
        <is>
          <t>時基漂移</t>
        </is>
      </c>
      <c r="F16" s="26" t="inlineStr">
        <is>
          <t>時戳/流量積分誤差</t>
        </is>
      </c>
      <c r="G16" s="26" t="inlineStr">
        <is>
          <t>記錄時間不準</t>
        </is>
      </c>
      <c r="H16" s="40" t="n">
        <v>4</v>
      </c>
      <c r="I16" s="26" t="inlineStr">
        <is>
          <t>負載電容 CL 失配（式 5-1）
溫漂（55°C 約 −31ppm，式 5-3）</t>
        </is>
      </c>
      <c r="J16" s="26" t="inlineStr">
        <is>
          <t>CL 匹配計算＋溫漂預算</t>
        </is>
      </c>
      <c r="K16" s="41" t="n">
        <v>4</v>
      </c>
      <c r="L16" s="26" t="inlineStr">
        <is>
          <t>產測頻率量測</t>
        </is>
      </c>
      <c r="M16" s="29" t="n">
        <v>4</v>
      </c>
      <c r="N16" s="30">
        <f>H16*K16*M16</f>
        <v/>
      </c>
      <c r="O16" s="31" t="inlineStr">
        <is>
          <t>🟡 中 Medium</t>
        </is>
      </c>
      <c r="P16" s="26" t="inlineStr">
        <is>
          <t>—</t>
        </is>
      </c>
      <c r="Q16" s="25" t="inlineStr">
        <is>
          <t>—</t>
        </is>
      </c>
      <c r="R16" s="33" t="inlineStr">
        <is>
          <t>—</t>
        </is>
      </c>
      <c r="S16" s="26" t="inlineStr"/>
      <c r="T16" s="33" t="inlineStr"/>
      <c r="U16" s="33" t="inlineStr"/>
      <c r="V16" s="33" t="inlineStr"/>
      <c r="W16" s="33" t="inlineStr"/>
    </row>
    <row r="17" ht="52" customHeight="1">
      <c r="A17" s="34" t="n">
        <v>14</v>
      </c>
      <c r="B17" s="35" t="inlineStr">
        <is>
          <t>電子控制次系統
Electronic Control Subsystem</t>
        </is>
      </c>
      <c r="C17" s="35" t="inlineStr">
        <is>
          <t>外部記憶體（U4 MX25V2033F）</t>
        </is>
      </c>
      <c r="D17" s="35" t="inlineStr">
        <is>
          <t>歷史用量/事件紀錄正確保存</t>
        </is>
      </c>
      <c r="E17" s="35" t="inlineStr">
        <is>
          <t>Flash 資料毀損</t>
        </is>
      </c>
      <c r="F17" s="35" t="inlineStr">
        <is>
          <t>歷史紀錄遺失（計費讀數不受影響）</t>
        </is>
      </c>
      <c r="G17" s="35" t="inlineStr">
        <is>
          <t>用水分析資料缺漏</t>
        </is>
      </c>
      <c r="H17" s="40" t="n">
        <v>5</v>
      </c>
      <c r="I17" s="35" t="inlineStr">
        <is>
          <t>寫入中掉電
抹寫壽命耗盡</t>
        </is>
      </c>
      <c r="J17" s="35" t="inlineStr">
        <is>
          <t>低壓禁寫
循序日誌＋磨損平均</t>
        </is>
      </c>
      <c r="K17" s="28" t="n">
        <v>3</v>
      </c>
      <c r="L17" s="35" t="inlineStr">
        <is>
          <t>寫入後讀回驗證</t>
        </is>
      </c>
      <c r="M17" s="29" t="n">
        <v>4</v>
      </c>
      <c r="N17" s="30">
        <f>H17*K17*M17</f>
        <v/>
      </c>
      <c r="O17" s="31" t="inlineStr">
        <is>
          <t>🟡 中 Medium</t>
        </is>
      </c>
      <c r="P17" s="35" t="inlineStr">
        <is>
          <t>—</t>
        </is>
      </c>
      <c r="Q17" s="34" t="inlineStr">
        <is>
          <t>—</t>
        </is>
      </c>
      <c r="R17" s="39" t="inlineStr">
        <is>
          <t>—</t>
        </is>
      </c>
      <c r="S17" s="35" t="inlineStr"/>
      <c r="T17" s="39" t="inlineStr"/>
      <c r="U17" s="39" t="inlineStr"/>
      <c r="V17" s="39" t="inlineStr"/>
      <c r="W17" s="39" t="inlineStr"/>
    </row>
    <row r="18" ht="52" customHeight="1">
      <c r="A18" s="25" t="n">
        <v>15</v>
      </c>
      <c r="B18" s="26" t="inlineStr">
        <is>
          <t>顯示次系統
Display Subsystem</t>
        </is>
      </c>
      <c r="C18" s="26" t="inlineStr">
        <is>
          <t>LCD 顯示（BU9795AFV＋LCM1）</t>
        </is>
      </c>
      <c r="D18" s="26" t="inlineStr">
        <is>
          <t>常時正確顯示累計量/旗標（LCD 不關閉）</t>
        </is>
      </c>
      <c r="E18" s="26" t="inlineStr">
        <is>
          <t>LCD 無顯示／亂碼</t>
        </is>
      </c>
      <c r="F18" s="26" t="inlineStr">
        <is>
          <t>顯示內容錯誤或無法顯示</t>
        </is>
      </c>
      <c r="G18" s="26" t="inlineStr">
        <is>
          <t>現場無法讀表</t>
        </is>
      </c>
      <c r="H18" s="36" t="n">
        <v>6</v>
      </c>
      <c r="I18" s="26" t="inlineStr">
        <is>
          <t>跨板排線 ESD（8.13）
連接器接觸不良</t>
        </is>
      </c>
      <c r="J18" s="26" t="inlineStr">
        <is>
          <t>介面線 22Ω 串阻＋顯示板本地去耦
上拉（@ 預留可啟用）</t>
        </is>
      </c>
      <c r="K18" s="28" t="n">
        <v>3</v>
      </c>
      <c r="L18" s="26" t="inlineStr">
        <is>
          <t>目視＋換頁測試
8.13 型式試驗</t>
        </is>
      </c>
      <c r="M18" s="29" t="n">
        <v>5</v>
      </c>
      <c r="N18" s="30">
        <f>H18*K18*M18</f>
        <v/>
      </c>
      <c r="O18" s="31" t="inlineStr">
        <is>
          <t>🟡 中 Medium</t>
        </is>
      </c>
      <c r="P18" s="26" t="inlineStr">
        <is>
          <t>改版於 J2 入口加低電容 ESD 保護元件</t>
        </is>
      </c>
      <c r="Q18" s="25" t="inlineStr">
        <is>
          <t>R&amp;D-HW</t>
        </is>
      </c>
      <c r="R18" s="32" t="n">
        <v>46356</v>
      </c>
      <c r="S18" s="26" t="inlineStr"/>
      <c r="T18" s="33" t="inlineStr"/>
      <c r="U18" s="33" t="inlineStr"/>
      <c r="V18" s="33" t="inlineStr"/>
      <c r="W18" s="33" t="inlineStr"/>
    </row>
    <row r="19" ht="52" customHeight="1">
      <c r="A19" s="34" t="n">
        <v>16</v>
      </c>
      <c r="B19" s="35" t="inlineStr">
        <is>
          <t>顯示次系統
Display Subsystem</t>
        </is>
      </c>
      <c r="C19" s="35" t="inlineStr">
        <is>
          <t>LCD 玻璃低溫工作（LCM1）</t>
        </is>
      </c>
      <c r="D19" s="35" t="inlineStr">
        <is>
          <t>於產品宣告 −25~70°C 全範圍可讀顯示</t>
        </is>
      </c>
      <c r="E19" s="35" t="inlineStr">
        <is>
          <t>低溫顯示遲緩／對比劣化</t>
        </is>
      </c>
      <c r="F19" s="35" t="inlineStr">
        <is>
          <t>顯示更新緩慢、對比下降致難以讀表（計量與資料保存不受影響）</t>
        </is>
      </c>
      <c r="G19" s="35" t="inlineStr">
        <is>
          <t>低溫現場讀表困難</t>
        </is>
      </c>
      <c r="H19" s="40" t="n">
        <v>4</v>
      </c>
      <c r="I19" s="38" t="inlineStr">
        <is>
          <t>玻璃規格工作溫度 −20°C 下限與產品宣告 −25°C 有 5°C 缺口
TN 液晶低溫響應變慢（規格書 0°C Tr typ 160ms/max 450ms）</t>
        </is>
      </c>
      <c r="J19" s="35" t="inlineStr">
        <is>
          <t>無（現行規格缺口，2026-08-13 依 LC-T16214C 規格書發現）</t>
        </is>
      </c>
      <c r="K19" s="28" t="n">
        <v>3</v>
      </c>
      <c r="L19" s="35" t="inlineStr">
        <is>
          <t>8.4 低溫器差試驗附帶目視檢查</t>
        </is>
      </c>
      <c r="M19" s="43" t="n">
        <v>6</v>
      </c>
      <c r="N19" s="30">
        <f>H19*K19*M19</f>
        <v/>
      </c>
      <c r="O19" s="31" t="inlineStr">
        <is>
          <t>🟡 中 Medium</t>
        </is>
      </c>
      <c r="P19" s="35" t="inlineStr">
        <is>
          <t>向供應商確認 −25°C 實際能力（客製加嚴）或限縮顯示低溫宣告</t>
        </is>
      </c>
      <c r="Q19" s="34" t="inlineStr">
        <is>
          <t>R&amp;D-HW/採購</t>
        </is>
      </c>
      <c r="R19" s="37" t="n">
        <v>46310</v>
      </c>
      <c r="S19" s="38" t="inlineStr">
        <is>
          <t>待確認：LCD −25°C 低溫能力（規格書下限 −20°C）</t>
        </is>
      </c>
      <c r="T19" s="39" t="inlineStr"/>
      <c r="U19" s="39" t="inlineStr"/>
      <c r="V19" s="39" t="inlineStr"/>
      <c r="W19" s="39" t="inlineStr"/>
    </row>
    <row r="20" ht="52" customHeight="1">
      <c r="A20" s="25" t="n">
        <v>17</v>
      </c>
      <c r="B20" s="26" t="inlineStr">
        <is>
          <t>顯示次系統
Display Subsystem</t>
        </is>
      </c>
      <c r="C20" s="26" t="inlineStr">
        <is>
          <t>磁簧開關（SW1）</t>
        </is>
      </c>
      <c r="D20" s="26" t="inlineStr">
        <is>
          <t>顯示選單切換（5 選項；LCD 常時顯示）</t>
        </is>
      </c>
      <c r="E20" s="26" t="inlineStr">
        <is>
          <t>磁簧誤觸發（誤換頁）</t>
        </is>
      </c>
      <c r="F20" s="26" t="inlineStr">
        <is>
          <t>顯示選單非預期跳動；無操作 4 分鐘自動返回主畫面</t>
        </is>
      </c>
      <c r="G20" s="26" t="inlineStr">
        <is>
          <t>影響輕微（短暫讀表混淆，自動復歸）</t>
        </is>
      </c>
      <c r="H20" s="40" t="n">
        <v>2</v>
      </c>
      <c r="I20" s="26" t="inlineStr">
        <is>
          <t>外部強磁
振動</t>
        </is>
      </c>
      <c r="J20" s="26" t="inlineStr">
        <is>
          <t>韌體去彈跳＋長按判斷
無操作 4 分鐘自動返回主畫面</t>
        </is>
      </c>
      <c r="K20" s="28" t="n">
        <v>3</v>
      </c>
      <c r="L20" s="26" t="inlineStr">
        <is>
          <t>功能測試（選單操作）
LCD 受磁符號＋磁干擾天數計數（B6 5.7）</t>
        </is>
      </c>
      <c r="M20" s="29" t="n">
        <v>4</v>
      </c>
      <c r="N20" s="30">
        <f>H20*K20*M20</f>
        <v/>
      </c>
      <c r="O20" s="46" t="inlineStr">
        <is>
          <t>🟢 低 Low</t>
        </is>
      </c>
      <c r="P20" s="26" t="inlineStr">
        <is>
          <t>—（觸發高斯值無需定義；8.18 之 1500 G 係驗證計量不受影響，見感測次系統列）</t>
        </is>
      </c>
      <c r="Q20" s="25" t="inlineStr">
        <is>
          <t>—</t>
        </is>
      </c>
      <c r="R20" s="33" t="inlineStr">
        <is>
          <t>—</t>
        </is>
      </c>
      <c r="S20" s="26" t="inlineStr">
        <is>
          <t>已確認（2026-08-13）：誤動作 4 分鐘自動復歸、不影響功能；觸發高斯值無需定義</t>
        </is>
      </c>
      <c r="T20" s="33" t="inlineStr"/>
      <c r="U20" s="33" t="inlineStr"/>
      <c r="V20" s="33" t="inlineStr"/>
      <c r="W20" s="33" t="inlineStr"/>
    </row>
    <row r="21" ht="52" customHeight="1">
      <c r="A21" s="34" t="n">
        <v>18</v>
      </c>
      <c r="B21" s="35" t="inlineStr">
        <is>
          <t>通訊次系統（RS-485）
Communication Subsystem</t>
        </is>
      </c>
      <c r="C21" s="35" t="inlineStr">
        <is>
          <t>RS-485 收發（U5 ADM3485EAR）</t>
        </is>
      </c>
      <c r="D21" s="35" t="inlineStr">
        <is>
          <t>抄讀資料正確無誤碼</t>
        </is>
      </c>
      <c r="E21" s="35" t="inlineStr">
        <is>
          <t>通訊誤碼／中斷</t>
        </is>
      </c>
      <c r="F21" s="35" t="inlineStr">
        <is>
          <t>抄讀失敗、重試</t>
        </is>
      </c>
      <c r="G21" s="35" t="inlineStr">
        <is>
          <t>遠端讀表失敗、耗電增加</t>
        </is>
      </c>
      <c r="H21" s="36" t="n">
        <v>6</v>
      </c>
      <c r="I21" s="35" t="inlineStr">
        <is>
          <t>共模雜訊
匯流排空閒偏壓（R42/R49 @ 不上件）
現場加終端電阻致偏壓不足（式 9-3）</t>
        </is>
      </c>
      <c r="J21" s="35" t="inlineStr">
        <is>
          <t>fail-safe 偏壓設計計算（式 9-1~9-3，焊位預留）
協定 CRC＋重試＋逾時</t>
        </is>
      </c>
      <c r="K21" s="41" t="n">
        <v>4</v>
      </c>
      <c r="L21" s="35" t="inlineStr">
        <is>
          <t>Gateway 端重試率統計
錶端通訊次數計數（B6 診斷頁 5.14）交叉比對</t>
        </is>
      </c>
      <c r="M21" s="29" t="n">
        <v>4</v>
      </c>
      <c r="N21" s="30">
        <f>H21*K21*M21</f>
        <v/>
      </c>
      <c r="O21" s="31" t="inlineStr">
        <is>
          <t>🟡 中 Medium</t>
        </is>
      </c>
      <c r="P21" s="35" t="inlineStr">
        <is>
          <t>安裝規範載明本介面禁用終端電阻（點對點對接 Gateway）；空閒誤碼實測列入驗證</t>
        </is>
      </c>
      <c r="Q21" s="34" t="inlineStr">
        <is>
          <t>R&amp;D-HW/系統</t>
        </is>
      </c>
      <c r="R21" s="37" t="n">
        <v>46295</v>
      </c>
      <c r="S21" s="38" t="inlineStr">
        <is>
          <t>已決策（2026-08-13）：維持不上件＋禁用終端電阻；待驗證：不上件組態之空閒誤碼實測</t>
        </is>
      </c>
      <c r="T21" s="39" t="inlineStr"/>
      <c r="U21" s="39" t="inlineStr"/>
      <c r="V21" s="39" t="inlineStr"/>
      <c r="W21" s="39" t="inlineStr"/>
    </row>
    <row r="22" ht="52" customHeight="1">
      <c r="A22" s="25" t="n">
        <v>19</v>
      </c>
      <c r="B22" s="26" t="inlineStr">
        <is>
          <t>通訊次系統（RS-485）
Communication Subsystem</t>
        </is>
      </c>
      <c r="C22" s="26" t="inlineStr">
        <is>
          <t>突波防護（TVS1/TVS2）</t>
        </is>
      </c>
      <c r="D22" s="26" t="inlineStr">
        <is>
          <t>承受訊號線突波（8.16 E2：2kV 對地）</t>
        </is>
      </c>
      <c r="E22" s="26" t="inlineStr">
        <is>
          <t>突波損壞收發器</t>
        </is>
      </c>
      <c r="F22" s="26" t="inlineStr">
        <is>
          <t>通訊永久失效</t>
        </is>
      </c>
      <c r="G22" s="26" t="inlineStr">
        <is>
          <t>須更換錶/現場維修</t>
        </is>
      </c>
      <c r="H22" s="36" t="n">
        <v>7</v>
      </c>
      <c r="I22" s="26" t="inlineStr">
        <is>
          <t>TVS 能量協調未核算
爬電間隙不足</t>
        </is>
      </c>
      <c r="J22" s="26" t="inlineStr">
        <is>
          <t>TVS 兩級鉗位＋R45/R47 二級限流</t>
        </is>
      </c>
      <c r="K22" s="28" t="n">
        <v>3</v>
      </c>
      <c r="L22" s="38" t="inlineStr">
        <is>
          <t>8.16 型式試驗</t>
        </is>
      </c>
      <c r="M22" s="43" t="n">
        <v>6</v>
      </c>
      <c r="N22" s="30">
        <f>H22*K22*M22</f>
        <v/>
      </c>
      <c r="O22" s="42" t="inlineStr">
        <is>
          <t>🟠 高 High</t>
        </is>
      </c>
      <c r="P22" s="26" t="inlineStr">
        <is>
          <t>核算 SM712 Ipp vs 2kV 讓穿；量測 J3/J4 爬電間隙 ≥2mm</t>
        </is>
      </c>
      <c r="Q22" s="25" t="inlineStr">
        <is>
          <t>R&amp;D-HW</t>
        </is>
      </c>
      <c r="R22" s="32" t="n">
        <v>46310</v>
      </c>
      <c r="S22" s="38" t="inlineStr">
        <is>
          <t>待確認：TVS 協調核算與爬電間隙量測</t>
        </is>
      </c>
      <c r="T22" s="33" t="inlineStr"/>
      <c r="U22" s="33" t="inlineStr"/>
      <c r="V22" s="33" t="inlineStr"/>
      <c r="W22" s="33" t="inlineStr"/>
    </row>
    <row r="23" ht="52" customHeight="1">
      <c r="A23" s="34" t="n">
        <v>20</v>
      </c>
      <c r="B23" s="35" t="inlineStr">
        <is>
          <t>Gateway 介面
Gateway Interface</t>
        </is>
      </c>
      <c r="C23" s="35" t="inlineStr">
        <is>
          <t>J4 共地介面（GND）
(SC)</t>
        </is>
      </c>
      <c r="D23" s="35" t="inlineStr">
        <is>
          <t>外接線不得干擾計量</t>
        </is>
      </c>
      <c r="E23" s="35" t="inlineStr">
        <is>
          <t>共地雜訊干擾 ESI</t>
        </is>
      </c>
      <c r="F23" s="35" t="inlineStr">
        <is>
          <t>ESI 底噪抬升 → 計數不穩/爬數</t>
        </is>
      </c>
      <c r="G23" s="35" t="inlineStr">
        <is>
          <t>計量不準（跨方塊失效）</t>
        </is>
      </c>
      <c r="H23" s="27" t="n">
        <v>8</v>
      </c>
      <c r="I23" s="35" t="inlineStr">
        <is>
          <t>Gateway 接地雜訊經 J4 GND 進入 DGND（機制 #1，實測已重現）</t>
        </is>
      </c>
      <c r="J23" s="35" t="inlineStr">
        <is>
          <t>改版對策：CMC（B1）＋ESI 地島（B3）＋π 濾波（B5）</t>
        </is>
      </c>
      <c r="K23" s="41" t="n">
        <v>5</v>
      </c>
      <c r="L23" s="35" t="inlineStr">
        <is>
          <t>接線前後底噪比對（V1–V3）</t>
        </is>
      </c>
      <c r="M23" s="29" t="n">
        <v>4</v>
      </c>
      <c r="N23" s="30">
        <f>H23*K23*M23</f>
        <v/>
      </c>
      <c r="O23" s="45" t="inlineStr">
        <is>
          <t>🔴 極高 Critical</t>
        </is>
      </c>
      <c r="P23" s="35" t="inlineStr">
        <is>
          <t>確認 EMC A/B 級對策導入時程與驗證計畫</t>
        </is>
      </c>
      <c r="Q23" s="34" t="inlineStr">
        <is>
          <t>R&amp;D-HW/EMC</t>
        </is>
      </c>
      <c r="R23" s="37" t="n">
        <v>46295</v>
      </c>
      <c r="S23" s="38" t="inlineStr">
        <is>
          <t>待確認：對策導入時程</t>
        </is>
      </c>
      <c r="T23" s="39" t="inlineStr"/>
      <c r="U23" s="39" t="inlineStr"/>
      <c r="V23" s="39" t="inlineStr"/>
      <c r="W23" s="39" t="inlineStr"/>
    </row>
    <row r="24" ht="52" customHeight="1">
      <c r="A24" s="25" t="n">
        <v>21</v>
      </c>
      <c r="B24" s="26" t="inlineStr">
        <is>
          <t>喚醒輸入次系統
Wake-up Input Subsystem</t>
        </is>
      </c>
      <c r="C24" s="26" t="inlineStr">
        <is>
          <t>光耦喚醒（U3 KPC357NT）
(SC)</t>
        </is>
      </c>
      <c r="D24" s="26" t="inlineStr">
        <is>
          <t>僅 Gateway 訊號可喚醒（EXT_I/O_2）</t>
        </is>
      </c>
      <c r="E24" s="26" t="inlineStr">
        <is>
          <t>誤喚醒</t>
        </is>
      </c>
      <c r="F24" s="26" t="inlineStr">
        <is>
          <t>MCU 頻繁醒來空耗電</t>
        </is>
      </c>
      <c r="G24" s="26" t="inlineStr">
        <is>
          <t>電池壽命縮短（不可更換）</t>
        </is>
      </c>
      <c r="H24" s="36" t="n">
        <v>7</v>
      </c>
      <c r="I24" s="26" t="inlineStr">
        <is>
          <t>EFT/雜訊經 EXT_I/O_2 入侵
EXT_I/O_2 直連 MCU 未隔離路徑（機制 #6）</t>
        </is>
      </c>
      <c r="J24" s="26" t="inlineStr">
        <is>
          <t>光耦隔離＋TVS3 入口鉗位
韌體去彈跳＋通訊逾時返回睡眠</t>
        </is>
      </c>
      <c r="K24" s="41" t="n">
        <v>4</v>
      </c>
      <c r="L24" s="26" t="inlineStr">
        <is>
          <t>喚醒事件計數器（韌體）</t>
        </is>
      </c>
      <c r="M24" s="29" t="n">
        <v>5</v>
      </c>
      <c r="N24" s="30">
        <f>H24*K24*M24</f>
        <v/>
      </c>
      <c r="O24" s="42" t="inlineStr">
        <is>
          <t>🟠 高 High</t>
        </is>
      </c>
      <c r="P24" s="26" t="inlineStr">
        <is>
          <t>依 EMC 驗證（V1–V5）結果定案處置：切斷直連或加 π 濾波（B5）</t>
        </is>
      </c>
      <c r="Q24" s="25" t="inlineStr">
        <is>
          <t>R&amp;D-HW</t>
        </is>
      </c>
      <c r="R24" s="32" t="n">
        <v>46326</v>
      </c>
      <c r="S24" s="38" t="inlineStr">
        <is>
          <t>已決策（2026-08-13）：現階段維持現狀，處置方案待 EMC 驗證結果定案</t>
        </is>
      </c>
      <c r="T24" s="33" t="inlineStr"/>
      <c r="U24" s="33" t="inlineStr"/>
      <c r="V24" s="33" t="inlineStr"/>
      <c r="W24" s="33" t="inlineStr"/>
    </row>
    <row r="25" ht="52" customHeight="1">
      <c r="A25" s="34" t="n">
        <v>22</v>
      </c>
      <c r="B25" s="35" t="inlineStr">
        <is>
          <t>喚醒輸入次系統
Wake-up Input Subsystem</t>
        </is>
      </c>
      <c r="C25" s="35" t="inlineStr">
        <is>
          <t>光耦工作點（R33 887Ω）</t>
        </is>
      </c>
      <c r="D25" s="35" t="inlineStr">
        <is>
          <t>Gateway 喚醒必達（不漏抄）</t>
        </is>
      </c>
      <c r="E25" s="35" t="inlineStr">
        <is>
          <t>不喚醒／漏抄</t>
        </is>
      </c>
      <c r="F25" s="35" t="inlineStr">
        <is>
          <t>EXT_WAKE_UP 未產生</t>
        </is>
      </c>
      <c r="G25" s="35" t="inlineStr">
        <is>
          <t>抄讀失敗</t>
        </is>
      </c>
      <c r="H25" s="36" t="n">
        <v>6</v>
      </c>
      <c r="I25" s="35" t="inlineStr">
        <is>
          <t>光耦 CTR 老化不足（If 僅 2.37mA，低電流降額）
佈線壓降</t>
        </is>
      </c>
      <c r="J25" s="35" t="inlineStr">
        <is>
          <t>CTR 餘裕 ≥2 倍設計（式 10-2）
承認料 KPC357NT0B：CTR Rank B＝130~260%（IF=5mA）</t>
        </is>
      </c>
      <c r="K25" s="28" t="n">
        <v>3</v>
      </c>
      <c r="L25" s="35" t="inlineStr">
        <is>
          <t>Gateway 重試統計</t>
        </is>
      </c>
      <c r="M25" s="29" t="n">
        <v>4</v>
      </c>
      <c r="N25" s="30">
        <f>H25*K25*M25</f>
        <v/>
      </c>
      <c r="O25" s="31" t="inlineStr">
        <is>
          <t>🟡 中 Medium</t>
        </is>
      </c>
      <c r="P25" s="35" t="inlineStr">
        <is>
          <t>取得 KPC357NT LED 老化率數據（或依業界通則保守設計）</t>
        </is>
      </c>
      <c r="Q25" s="34" t="inlineStr">
        <is>
          <t>R&amp;D-HW/系統</t>
        </is>
      </c>
      <c r="R25" s="37" t="n">
        <v>46295</v>
      </c>
      <c r="S25" s="38" t="inlineStr">
        <is>
          <t>已確認（2026-08-13）：CTR(min)=130%（Rank B，承認書）；Gateway 驅動位準 3.3~3.6V → If=2.37~2.71mA（式 10-1 成立）
待確認：LED 老化率（規格書未載）</t>
        </is>
      </c>
      <c r="T25" s="39" t="inlineStr"/>
      <c r="U25" s="39" t="inlineStr"/>
      <c r="V25" s="39" t="inlineStr"/>
      <c r="W25" s="39" t="inlineStr"/>
    </row>
    <row r="26" ht="52" customHeight="1">
      <c r="A26" s="25" t="n">
        <v>23</v>
      </c>
      <c r="B26" s="26" t="inlineStr">
        <is>
          <t>系統整合／環境
System Integration &amp; Environment</t>
        </is>
      </c>
      <c r="C26" s="26" t="inlineStr">
        <is>
          <t>高阻節點防潮（全板）
(SC)</t>
        </is>
      </c>
      <c r="D26" s="26" t="inlineStr">
        <is>
          <t>濕熱循環後器差差值 ≤ 半公差（CNPA49 8.6）</t>
        </is>
      </c>
      <c r="E26" s="26" t="inlineStr">
        <is>
          <t>濕熱漏電致漂移</t>
        </is>
      </c>
      <c r="F26" s="26" t="inlineStr">
        <is>
          <t>BAT_DET/ESI 基準漂移</t>
        </is>
      </c>
      <c r="G26" s="26" t="inlineStr">
        <is>
          <t>8.6 嚴苛允收不合格</t>
        </is>
      </c>
      <c r="H26" s="36" t="n">
        <v>7</v>
      </c>
      <c r="I26" s="26" t="inlineStr">
        <is>
          <t>&gt;95%RH 下高阻節點（ESI 前端、1MΩ 分壓）表面漏電</t>
        </is>
      </c>
      <c r="J26" s="26" t="inlineStr">
        <is>
          <t>護環佈局規則（手冊 13.2）；現行未塗佈三防漆（已確認）</t>
        </is>
      </c>
      <c r="K26" s="41" t="n">
        <v>4</v>
      </c>
      <c r="L26" s="26" t="inlineStr">
        <is>
          <t>濕熱循環試驗（IEC 60068-2-30）前後器差比對</t>
        </is>
      </c>
      <c r="M26" s="29" t="n">
        <v>5</v>
      </c>
      <c r="N26" s="30">
        <f>H26*K26*M26</f>
        <v/>
      </c>
      <c r="O26" s="42" t="inlineStr">
        <is>
          <t>🟠 高 High</t>
        </is>
      </c>
      <c r="P26" s="26" t="inlineStr">
        <is>
          <t>定義三防漆材質、塗佈範圍與製程管制</t>
        </is>
      </c>
      <c r="Q26" s="25" t="inlineStr">
        <is>
          <t>R&amp;D-HW/MFG</t>
        </is>
      </c>
      <c r="R26" s="32" t="n">
        <v>46326</v>
      </c>
      <c r="S26" s="38" t="inlineStr">
        <is>
          <t>已確認（2026-08-13）：現行未塗佈；導入之材質/塗佈範圍待定</t>
        </is>
      </c>
      <c r="T26" s="33" t="inlineStr"/>
      <c r="U26" s="33" t="inlineStr"/>
      <c r="V26" s="33" t="inlineStr"/>
      <c r="W26" s="33" t="inlineStr"/>
    </row>
    <row r="27" ht="52" customHeight="1">
      <c r="A27" s="34" t="n">
        <v>24</v>
      </c>
      <c r="B27" s="35" t="inlineStr">
        <is>
          <t>系統整合／環境
System Integration &amp; Environment</t>
        </is>
      </c>
      <c r="C27" s="35" t="inlineStr">
        <is>
          <t>溫度特性（諧振頻率/晶振）
(SC)</t>
        </is>
      </c>
      <c r="D27" s="35" t="inlineStr">
        <is>
          <t>高低溫器差合格（CNPA49 8.4/8.5）</t>
        </is>
      </c>
      <c r="E27" s="35" t="inlineStr">
        <is>
          <t>溫度致 f0/門檻漂移</t>
        </is>
      </c>
      <c r="F27" s="35" t="inlineStr">
        <is>
          <t>計數增益偏移</t>
        </is>
      </c>
      <c r="G27" s="35" t="inlineStr">
        <is>
          <t>高低溫器差超差</t>
        </is>
      </c>
      <c r="H27" s="36" t="n">
        <v>7</v>
      </c>
      <c r="I27" s="35" t="inlineStr">
        <is>
          <t>晶振拋物線溫漂（C22/C24 已確認 C0G，介電質溫漂貢獻低）</t>
        </is>
      </c>
      <c r="J27" s="35" t="inlineStr">
        <is>
          <t>C0G 指定（改版）＋比例式門檻
溫漂預算（式 5-2/5-3）</t>
        </is>
      </c>
      <c r="K27" s="28" t="n">
        <v>3</v>
      </c>
      <c r="L27" s="38" t="inlineStr">
        <is>
          <t>溫箱 f0-溫度曲線量測
8.4/8.5 型式試驗</t>
        </is>
      </c>
      <c r="M27" s="29" t="n">
        <v>4</v>
      </c>
      <c r="N27" s="30">
        <f>H27*K27*M27</f>
        <v/>
      </c>
      <c r="O27" s="31" t="inlineStr">
        <is>
          <t>🟡 中 Medium</t>
        </is>
      </c>
      <c r="P27" s="35" t="inlineStr">
        <is>
          <t>執行 f0-溫度曲線量測並回饋門檻設計</t>
        </is>
      </c>
      <c r="Q27" s="34" t="inlineStr">
        <is>
          <t>R&amp;D-HW</t>
        </is>
      </c>
      <c r="R27" s="37" t="n">
        <v>46295</v>
      </c>
      <c r="S27" s="38" t="inlineStr">
        <is>
          <t>待確認：f0-溫度曲線（尚未量測）</t>
        </is>
      </c>
      <c r="T27" s="39" t="inlineStr"/>
      <c r="U27" s="39" t="inlineStr"/>
      <c r="V27" s="39" t="inlineStr"/>
      <c r="W27" s="39" t="inlineStr"/>
    </row>
    <row r="28" ht="52" customHeight="1">
      <c r="A28" s="25" t="n">
        <v>25</v>
      </c>
      <c r="B28" s="26" t="inlineStr">
        <is>
          <t>系統整合／環境
System Integration &amp; Environment</t>
        </is>
      </c>
      <c r="C28" s="26" t="inlineStr">
        <is>
          <t>讀數保存（斷電）</t>
        </is>
      </c>
      <c r="D28" s="26" t="inlineStr">
        <is>
          <t>電池中斷後儲存值不變（CNPA49 8.9）</t>
        </is>
      </c>
      <c r="E28" s="26" t="inlineStr">
        <is>
          <t>斷電讀數遺失</t>
        </is>
      </c>
      <c r="F28" s="26" t="inlineStr">
        <is>
          <t>累計讀數歸零/錯誤</t>
        </is>
      </c>
      <c r="G28" s="26" t="inlineStr">
        <is>
          <t>認證不合格、計費錯誤</t>
        </is>
      </c>
      <c r="H28" s="36" t="n">
        <v>6</v>
      </c>
      <c r="I28" s="26" t="inlineStr">
        <is>
          <t>掉電（本機電池不可更換，本項適用性特殊）</t>
        </is>
      </c>
      <c r="J28" s="26" t="inlineStr">
        <is>
          <t>FRAM＋Flash 非揮發架構</t>
        </is>
      </c>
      <c r="K28" s="28" t="n">
        <v>2</v>
      </c>
      <c r="L28" s="26" t="inlineStr">
        <is>
          <t>8.9 型式試驗</t>
        </is>
      </c>
      <c r="M28" s="28" t="n">
        <v>3</v>
      </c>
      <c r="N28" s="30">
        <f>H28*K28*M28</f>
        <v/>
      </c>
      <c r="O28" s="46" t="inlineStr">
        <is>
          <t>🟢 低 Low</t>
        </is>
      </c>
      <c r="P28" s="26" t="inlineStr">
        <is>
          <t>比照可更換電池執行 8.9 測試（產線治具斷電 1 小時，驗證讀數保存）</t>
        </is>
      </c>
      <c r="Q28" s="25" t="inlineStr">
        <is>
          <t>QA</t>
        </is>
      </c>
      <c r="R28" s="32" t="n">
        <v>46310</v>
      </c>
      <c r="S28" s="26" t="inlineStr">
        <is>
          <t>已決策（2026-08-13）：比照可更換電池執行測試</t>
        </is>
      </c>
      <c r="T28" s="33" t="inlineStr"/>
      <c r="U28" s="33" t="inlineStr"/>
      <c r="V28" s="33" t="inlineStr"/>
      <c r="W28" s="33" t="inlineStr"/>
    </row>
  </sheetData>
  <mergeCells count="9">
    <mergeCell ref="O2:P2"/>
    <mergeCell ref="E2:G2"/>
    <mergeCell ref="A1:W1"/>
    <mergeCell ref="I2:K2"/>
    <mergeCell ref="H2"/>
    <mergeCell ref="T2:W2"/>
    <mergeCell ref="A2:D2"/>
    <mergeCell ref="L2:N2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2026-08-13T09:47:02Z</dcterms:created>
  <dcterms:modified xmlns:dcterms="http://purl.org/dc/terms/" xmlns:xsi="http://www.w3.org/2001/XMLSchema-instance" xsi:type="dcterms:W3CDTF">2026-08-13T09:47:02Z</dcterms:modified>
</cp:coreProperties>
</file>